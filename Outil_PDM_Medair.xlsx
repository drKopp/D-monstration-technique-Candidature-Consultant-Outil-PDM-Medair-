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rain\Downloads\"/>
    </mc:Choice>
  </mc:AlternateContent>
  <bookViews>
    <workbookView minimized="1" xWindow="0" yWindow="0" windowWidth="16380" windowHeight="8190" tabRatio="500"/>
  </bookViews>
  <sheets>
    <sheet name="Guide" sheetId="1" r:id="rId1"/>
    <sheet name="Config" sheetId="2" r:id="rId2"/>
    <sheet name="Raw_Data" sheetId="3" r:id="rId3"/>
    <sheet name="Data_Clean" sheetId="4" r:id="rId4"/>
    <sheet name="QC_Qualite" sheetId="5" r:id="rId5"/>
    <sheet name="Indicateurs" sheetId="6" r:id="rId6"/>
    <sheet name="Desagregation" sheetId="7" r:id="rId7"/>
    <sheet name="Dashboard" sheetId="8" r:id="rId8"/>
    <sheet name="Rapport" sheetId="9" r:id="rId9"/>
  </sheets>
  <definedNames>
    <definedName name="DonnéesExternes_1" localSheetId="2" hidden="1">Raw_Data!$A$1:$AV$5</definedName>
    <definedName name="_xlnm.Print_Area" localSheetId="8">Rapport!$B$1:$C$34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" i="9" l="1"/>
  <c r="H3" i="8"/>
  <c r="B9" i="5"/>
  <c r="AC1000" i="4"/>
  <c r="AB1000" i="4"/>
  <c r="AA1000" i="4"/>
  <c r="Z1000" i="4"/>
  <c r="Y1000" i="4"/>
  <c r="X1000" i="4"/>
  <c r="W1000" i="4"/>
  <c r="V1000" i="4"/>
  <c r="T1000" i="4"/>
  <c r="U1000" i="4" s="1"/>
  <c r="R1000" i="4"/>
  <c r="S1000" i="4" s="1"/>
  <c r="P1000" i="4"/>
  <c r="Q1000" i="4" s="1"/>
  <c r="O1000" i="4"/>
  <c r="N1000" i="4"/>
  <c r="M1000" i="4"/>
  <c r="K1000" i="4"/>
  <c r="L1000" i="4" s="1"/>
  <c r="J1000" i="4"/>
  <c r="H1000" i="4"/>
  <c r="I1000" i="4" s="1"/>
  <c r="G1000" i="4"/>
  <c r="F1000" i="4"/>
  <c r="E1000" i="4"/>
  <c r="D1000" i="4"/>
  <c r="C1000" i="4"/>
  <c r="B1000" i="4"/>
  <c r="A1000" i="4"/>
  <c r="AC999" i="4"/>
  <c r="AB999" i="4"/>
  <c r="AA999" i="4"/>
  <c r="Z999" i="4"/>
  <c r="Y999" i="4"/>
  <c r="X999" i="4"/>
  <c r="W999" i="4"/>
  <c r="V999" i="4"/>
  <c r="T999" i="4"/>
  <c r="U999" i="4" s="1"/>
  <c r="R999" i="4"/>
  <c r="S999" i="4" s="1"/>
  <c r="Q999" i="4"/>
  <c r="P999" i="4"/>
  <c r="N999" i="4"/>
  <c r="O999" i="4" s="1"/>
  <c r="M999" i="4"/>
  <c r="K999" i="4"/>
  <c r="L999" i="4" s="1"/>
  <c r="J999" i="4"/>
  <c r="H999" i="4"/>
  <c r="I999" i="4" s="1"/>
  <c r="G999" i="4"/>
  <c r="F999" i="4"/>
  <c r="E999" i="4"/>
  <c r="D999" i="4"/>
  <c r="C999" i="4"/>
  <c r="B999" i="4"/>
  <c r="A999" i="4"/>
  <c r="AF999" i="4" s="1"/>
  <c r="AC998" i="4"/>
  <c r="AB998" i="4"/>
  <c r="AA998" i="4"/>
  <c r="Z998" i="4"/>
  <c r="Y998" i="4"/>
  <c r="X998" i="4"/>
  <c r="W998" i="4"/>
  <c r="V998" i="4"/>
  <c r="T998" i="4"/>
  <c r="U998" i="4" s="1"/>
  <c r="R998" i="4"/>
  <c r="S998" i="4" s="1"/>
  <c r="Q998" i="4"/>
  <c r="P998" i="4"/>
  <c r="N998" i="4"/>
  <c r="O998" i="4" s="1"/>
  <c r="M998" i="4"/>
  <c r="K998" i="4"/>
  <c r="L998" i="4" s="1"/>
  <c r="J998" i="4"/>
  <c r="H998" i="4"/>
  <c r="I998" i="4" s="1"/>
  <c r="G998" i="4"/>
  <c r="F998" i="4"/>
  <c r="E998" i="4"/>
  <c r="D998" i="4"/>
  <c r="C998" i="4"/>
  <c r="B998" i="4"/>
  <c r="A998" i="4"/>
  <c r="AC997" i="4"/>
  <c r="AB997" i="4"/>
  <c r="AA997" i="4"/>
  <c r="Z997" i="4"/>
  <c r="Y997" i="4"/>
  <c r="X997" i="4"/>
  <c r="W997" i="4"/>
  <c r="V997" i="4"/>
  <c r="T997" i="4"/>
  <c r="U997" i="4" s="1"/>
  <c r="R997" i="4"/>
  <c r="S997" i="4" s="1"/>
  <c r="P997" i="4"/>
  <c r="Q997" i="4" s="1"/>
  <c r="N997" i="4"/>
  <c r="O997" i="4" s="1"/>
  <c r="M997" i="4"/>
  <c r="K997" i="4"/>
  <c r="L997" i="4" s="1"/>
  <c r="J997" i="4"/>
  <c r="H997" i="4"/>
  <c r="I997" i="4" s="1"/>
  <c r="G997" i="4"/>
  <c r="F997" i="4"/>
  <c r="E997" i="4"/>
  <c r="D997" i="4"/>
  <c r="C997" i="4"/>
  <c r="B997" i="4"/>
  <c r="A997" i="4"/>
  <c r="AG997" i="4" s="1"/>
  <c r="AC996" i="4"/>
  <c r="AB996" i="4"/>
  <c r="AA996" i="4"/>
  <c r="Z996" i="4"/>
  <c r="Y996" i="4"/>
  <c r="X996" i="4"/>
  <c r="W996" i="4"/>
  <c r="V996" i="4"/>
  <c r="T996" i="4"/>
  <c r="U996" i="4" s="1"/>
  <c r="R996" i="4"/>
  <c r="S996" i="4" s="1"/>
  <c r="P996" i="4"/>
  <c r="Q996" i="4" s="1"/>
  <c r="N996" i="4"/>
  <c r="O996" i="4" s="1"/>
  <c r="M996" i="4"/>
  <c r="K996" i="4"/>
  <c r="L996" i="4" s="1"/>
  <c r="J996" i="4"/>
  <c r="H996" i="4"/>
  <c r="I996" i="4" s="1"/>
  <c r="G996" i="4"/>
  <c r="F996" i="4"/>
  <c r="E996" i="4"/>
  <c r="D996" i="4"/>
  <c r="C996" i="4"/>
  <c r="B996" i="4"/>
  <c r="A996" i="4"/>
  <c r="AG996" i="4" s="1"/>
  <c r="AC995" i="4"/>
  <c r="AB995" i="4"/>
  <c r="AA995" i="4"/>
  <c r="Z995" i="4"/>
  <c r="Y995" i="4"/>
  <c r="X995" i="4"/>
  <c r="W995" i="4"/>
  <c r="V995" i="4"/>
  <c r="T995" i="4"/>
  <c r="U995" i="4" s="1"/>
  <c r="R995" i="4"/>
  <c r="S995" i="4" s="1"/>
  <c r="P995" i="4"/>
  <c r="Q995" i="4" s="1"/>
  <c r="N995" i="4"/>
  <c r="O995" i="4" s="1"/>
  <c r="M995" i="4"/>
  <c r="K995" i="4"/>
  <c r="L995" i="4" s="1"/>
  <c r="J995" i="4"/>
  <c r="H995" i="4"/>
  <c r="I995" i="4" s="1"/>
  <c r="G995" i="4"/>
  <c r="F995" i="4"/>
  <c r="E995" i="4"/>
  <c r="D995" i="4"/>
  <c r="C995" i="4"/>
  <c r="B995" i="4"/>
  <c r="A995" i="4"/>
  <c r="AC994" i="4"/>
  <c r="AB994" i="4"/>
  <c r="AA994" i="4"/>
  <c r="Z994" i="4"/>
  <c r="Y994" i="4"/>
  <c r="X994" i="4"/>
  <c r="W994" i="4"/>
  <c r="V994" i="4"/>
  <c r="T994" i="4"/>
  <c r="U994" i="4" s="1"/>
  <c r="R994" i="4"/>
  <c r="S994" i="4" s="1"/>
  <c r="P994" i="4"/>
  <c r="Q994" i="4" s="1"/>
  <c r="N994" i="4"/>
  <c r="O994" i="4" s="1"/>
  <c r="M994" i="4"/>
  <c r="K994" i="4"/>
  <c r="L994" i="4" s="1"/>
  <c r="J994" i="4"/>
  <c r="H994" i="4"/>
  <c r="I994" i="4" s="1"/>
  <c r="G994" i="4"/>
  <c r="F994" i="4"/>
  <c r="E994" i="4"/>
  <c r="D994" i="4"/>
  <c r="C994" i="4"/>
  <c r="B994" i="4"/>
  <c r="A994" i="4"/>
  <c r="AC993" i="4"/>
  <c r="AB993" i="4"/>
  <c r="AA993" i="4"/>
  <c r="Z993" i="4"/>
  <c r="Y993" i="4"/>
  <c r="X993" i="4"/>
  <c r="W993" i="4"/>
  <c r="V993" i="4"/>
  <c r="T993" i="4"/>
  <c r="U993" i="4" s="1"/>
  <c r="R993" i="4"/>
  <c r="S993" i="4" s="1"/>
  <c r="P993" i="4"/>
  <c r="Q993" i="4" s="1"/>
  <c r="N993" i="4"/>
  <c r="O993" i="4" s="1"/>
  <c r="M993" i="4"/>
  <c r="K993" i="4"/>
  <c r="L993" i="4" s="1"/>
  <c r="J993" i="4"/>
  <c r="H993" i="4"/>
  <c r="I993" i="4" s="1"/>
  <c r="G993" i="4"/>
  <c r="F993" i="4"/>
  <c r="E993" i="4"/>
  <c r="D993" i="4"/>
  <c r="C993" i="4"/>
  <c r="B993" i="4"/>
  <c r="A993" i="4"/>
  <c r="AF993" i="4" s="1"/>
  <c r="AC992" i="4"/>
  <c r="AB992" i="4"/>
  <c r="AA992" i="4"/>
  <c r="Z992" i="4"/>
  <c r="Y992" i="4"/>
  <c r="X992" i="4"/>
  <c r="W992" i="4"/>
  <c r="V992" i="4"/>
  <c r="T992" i="4"/>
  <c r="U992" i="4" s="1"/>
  <c r="R992" i="4"/>
  <c r="S992" i="4" s="1"/>
  <c r="P992" i="4"/>
  <c r="Q992" i="4" s="1"/>
  <c r="O992" i="4"/>
  <c r="N992" i="4"/>
  <c r="M992" i="4"/>
  <c r="K992" i="4"/>
  <c r="L992" i="4" s="1"/>
  <c r="J992" i="4"/>
  <c r="H992" i="4"/>
  <c r="I992" i="4" s="1"/>
  <c r="G992" i="4"/>
  <c r="F992" i="4"/>
  <c r="E992" i="4"/>
  <c r="D992" i="4"/>
  <c r="C992" i="4"/>
  <c r="B992" i="4"/>
  <c r="A992" i="4"/>
  <c r="AD992" i="4" s="1"/>
  <c r="AE992" i="4" s="1"/>
  <c r="AC991" i="4"/>
  <c r="AB991" i="4"/>
  <c r="AA991" i="4"/>
  <c r="Z991" i="4"/>
  <c r="Y991" i="4"/>
  <c r="X991" i="4"/>
  <c r="W991" i="4"/>
  <c r="V991" i="4"/>
  <c r="T991" i="4"/>
  <c r="U991" i="4" s="1"/>
  <c r="R991" i="4"/>
  <c r="S991" i="4" s="1"/>
  <c r="P991" i="4"/>
  <c r="Q991" i="4" s="1"/>
  <c r="N991" i="4"/>
  <c r="O991" i="4" s="1"/>
  <c r="M991" i="4"/>
  <c r="K991" i="4"/>
  <c r="L991" i="4" s="1"/>
  <c r="J991" i="4"/>
  <c r="H991" i="4"/>
  <c r="I991" i="4" s="1"/>
  <c r="G991" i="4"/>
  <c r="F991" i="4"/>
  <c r="E991" i="4"/>
  <c r="D991" i="4"/>
  <c r="C991" i="4"/>
  <c r="B991" i="4"/>
  <c r="A991" i="4"/>
  <c r="AC990" i="4"/>
  <c r="AB990" i="4"/>
  <c r="AA990" i="4"/>
  <c r="Z990" i="4"/>
  <c r="Y990" i="4"/>
  <c r="X990" i="4"/>
  <c r="W990" i="4"/>
  <c r="V990" i="4"/>
  <c r="T990" i="4"/>
  <c r="U990" i="4" s="1"/>
  <c r="R990" i="4"/>
  <c r="S990" i="4" s="1"/>
  <c r="P990" i="4"/>
  <c r="Q990" i="4" s="1"/>
  <c r="N990" i="4"/>
  <c r="O990" i="4" s="1"/>
  <c r="M990" i="4"/>
  <c r="K990" i="4"/>
  <c r="L990" i="4" s="1"/>
  <c r="J990" i="4"/>
  <c r="H990" i="4"/>
  <c r="I990" i="4" s="1"/>
  <c r="G990" i="4"/>
  <c r="F990" i="4"/>
  <c r="E990" i="4"/>
  <c r="D990" i="4"/>
  <c r="C990" i="4"/>
  <c r="B990" i="4"/>
  <c r="A990" i="4"/>
  <c r="AF990" i="4" s="1"/>
  <c r="AC989" i="4"/>
  <c r="AB989" i="4"/>
  <c r="AA989" i="4"/>
  <c r="Z989" i="4"/>
  <c r="Y989" i="4"/>
  <c r="X989" i="4"/>
  <c r="W989" i="4"/>
  <c r="V989" i="4"/>
  <c r="T989" i="4"/>
  <c r="U989" i="4" s="1"/>
  <c r="R989" i="4"/>
  <c r="S989" i="4" s="1"/>
  <c r="P989" i="4"/>
  <c r="Q989" i="4" s="1"/>
  <c r="N989" i="4"/>
  <c r="O989" i="4" s="1"/>
  <c r="M989" i="4"/>
  <c r="L989" i="4"/>
  <c r="K989" i="4"/>
  <c r="J989" i="4"/>
  <c r="H989" i="4"/>
  <c r="I989" i="4" s="1"/>
  <c r="G989" i="4"/>
  <c r="F989" i="4"/>
  <c r="E989" i="4"/>
  <c r="D989" i="4"/>
  <c r="C989" i="4"/>
  <c r="B989" i="4"/>
  <c r="A989" i="4"/>
  <c r="AG989" i="4" s="1"/>
  <c r="AC988" i="4"/>
  <c r="AB988" i="4"/>
  <c r="AA988" i="4"/>
  <c r="Z988" i="4"/>
  <c r="Y988" i="4"/>
  <c r="X988" i="4"/>
  <c r="W988" i="4"/>
  <c r="V988" i="4"/>
  <c r="T988" i="4"/>
  <c r="U988" i="4" s="1"/>
  <c r="S988" i="4"/>
  <c r="R988" i="4"/>
  <c r="P988" i="4"/>
  <c r="Q988" i="4" s="1"/>
  <c r="N988" i="4"/>
  <c r="O988" i="4" s="1"/>
  <c r="M988" i="4"/>
  <c r="K988" i="4"/>
  <c r="L988" i="4" s="1"/>
  <c r="J988" i="4"/>
  <c r="H988" i="4"/>
  <c r="I988" i="4" s="1"/>
  <c r="G988" i="4"/>
  <c r="F988" i="4"/>
  <c r="E988" i="4"/>
  <c r="D988" i="4"/>
  <c r="C988" i="4"/>
  <c r="B988" i="4"/>
  <c r="A988" i="4"/>
  <c r="AD988" i="4" s="1"/>
  <c r="AE988" i="4" s="1"/>
  <c r="AC987" i="4"/>
  <c r="AB987" i="4"/>
  <c r="AA987" i="4"/>
  <c r="Z987" i="4"/>
  <c r="Y987" i="4"/>
  <c r="X987" i="4"/>
  <c r="W987" i="4"/>
  <c r="V987" i="4"/>
  <c r="T987" i="4"/>
  <c r="U987" i="4" s="1"/>
  <c r="R987" i="4"/>
  <c r="S987" i="4" s="1"/>
  <c r="P987" i="4"/>
  <c r="Q987" i="4" s="1"/>
  <c r="N987" i="4"/>
  <c r="O987" i="4" s="1"/>
  <c r="M987" i="4"/>
  <c r="K987" i="4"/>
  <c r="L987" i="4" s="1"/>
  <c r="J987" i="4"/>
  <c r="H987" i="4"/>
  <c r="I987" i="4" s="1"/>
  <c r="G987" i="4"/>
  <c r="F987" i="4"/>
  <c r="E987" i="4"/>
  <c r="D987" i="4"/>
  <c r="C987" i="4"/>
  <c r="B987" i="4"/>
  <c r="A987" i="4"/>
  <c r="AC986" i="4"/>
  <c r="AB986" i="4"/>
  <c r="AA986" i="4"/>
  <c r="Z986" i="4"/>
  <c r="Y986" i="4"/>
  <c r="X986" i="4"/>
  <c r="W986" i="4"/>
  <c r="V986" i="4"/>
  <c r="T986" i="4"/>
  <c r="U986" i="4" s="1"/>
  <c r="R986" i="4"/>
  <c r="S986" i="4" s="1"/>
  <c r="P986" i="4"/>
  <c r="Q986" i="4" s="1"/>
  <c r="N986" i="4"/>
  <c r="O986" i="4" s="1"/>
  <c r="M986" i="4"/>
  <c r="K986" i="4"/>
  <c r="L986" i="4" s="1"/>
  <c r="J986" i="4"/>
  <c r="H986" i="4"/>
  <c r="I986" i="4" s="1"/>
  <c r="G986" i="4"/>
  <c r="F986" i="4"/>
  <c r="E986" i="4"/>
  <c r="D986" i="4"/>
  <c r="C986" i="4"/>
  <c r="B986" i="4"/>
  <c r="A986" i="4"/>
  <c r="AF986" i="4" s="1"/>
  <c r="AC985" i="4"/>
  <c r="AB985" i="4"/>
  <c r="AA985" i="4"/>
  <c r="Z985" i="4"/>
  <c r="Y985" i="4"/>
  <c r="X985" i="4"/>
  <c r="W985" i="4"/>
  <c r="V985" i="4"/>
  <c r="T985" i="4"/>
  <c r="U985" i="4" s="1"/>
  <c r="R985" i="4"/>
  <c r="S985" i="4" s="1"/>
  <c r="P985" i="4"/>
  <c r="Q985" i="4" s="1"/>
  <c r="N985" i="4"/>
  <c r="O985" i="4" s="1"/>
  <c r="M985" i="4"/>
  <c r="K985" i="4"/>
  <c r="L985" i="4" s="1"/>
  <c r="J985" i="4"/>
  <c r="H985" i="4"/>
  <c r="I985" i="4" s="1"/>
  <c r="G985" i="4"/>
  <c r="F985" i="4"/>
  <c r="E985" i="4"/>
  <c r="D985" i="4"/>
  <c r="C985" i="4"/>
  <c r="B985" i="4"/>
  <c r="A985" i="4"/>
  <c r="AG985" i="4" s="1"/>
  <c r="AC984" i="4"/>
  <c r="AB984" i="4"/>
  <c r="AA984" i="4"/>
  <c r="Z984" i="4"/>
  <c r="Y984" i="4"/>
  <c r="X984" i="4"/>
  <c r="W984" i="4"/>
  <c r="V984" i="4"/>
  <c r="T984" i="4"/>
  <c r="U984" i="4" s="1"/>
  <c r="R984" i="4"/>
  <c r="S984" i="4" s="1"/>
  <c r="Q984" i="4"/>
  <c r="P984" i="4"/>
  <c r="O984" i="4"/>
  <c r="N984" i="4"/>
  <c r="M984" i="4"/>
  <c r="K984" i="4"/>
  <c r="L984" i="4" s="1"/>
  <c r="J984" i="4"/>
  <c r="H984" i="4"/>
  <c r="I984" i="4" s="1"/>
  <c r="G984" i="4"/>
  <c r="F984" i="4"/>
  <c r="E984" i="4"/>
  <c r="D984" i="4"/>
  <c r="C984" i="4"/>
  <c r="B984" i="4"/>
  <c r="A984" i="4"/>
  <c r="AC983" i="4"/>
  <c r="AB983" i="4"/>
  <c r="AA983" i="4"/>
  <c r="Z983" i="4"/>
  <c r="Y983" i="4"/>
  <c r="X983" i="4"/>
  <c r="W983" i="4"/>
  <c r="V983" i="4"/>
  <c r="T983" i="4"/>
  <c r="U983" i="4" s="1"/>
  <c r="R983" i="4"/>
  <c r="S983" i="4" s="1"/>
  <c r="P983" i="4"/>
  <c r="Q983" i="4" s="1"/>
  <c r="N983" i="4"/>
  <c r="O983" i="4" s="1"/>
  <c r="M983" i="4"/>
  <c r="K983" i="4"/>
  <c r="L983" i="4" s="1"/>
  <c r="J983" i="4"/>
  <c r="H983" i="4"/>
  <c r="I983" i="4" s="1"/>
  <c r="G983" i="4"/>
  <c r="F983" i="4"/>
  <c r="E983" i="4"/>
  <c r="D983" i="4"/>
  <c r="C983" i="4"/>
  <c r="B983" i="4"/>
  <c r="A983" i="4"/>
  <c r="AC982" i="4"/>
  <c r="AB982" i="4"/>
  <c r="AA982" i="4"/>
  <c r="Z982" i="4"/>
  <c r="Y982" i="4"/>
  <c r="X982" i="4"/>
  <c r="W982" i="4"/>
  <c r="V982" i="4"/>
  <c r="T982" i="4"/>
  <c r="U982" i="4" s="1"/>
  <c r="R982" i="4"/>
  <c r="S982" i="4" s="1"/>
  <c r="Q982" i="4"/>
  <c r="P982" i="4"/>
  <c r="N982" i="4"/>
  <c r="O982" i="4" s="1"/>
  <c r="M982" i="4"/>
  <c r="K982" i="4"/>
  <c r="L982" i="4" s="1"/>
  <c r="J982" i="4"/>
  <c r="H982" i="4"/>
  <c r="I982" i="4" s="1"/>
  <c r="G982" i="4"/>
  <c r="F982" i="4"/>
  <c r="E982" i="4"/>
  <c r="D982" i="4"/>
  <c r="C982" i="4"/>
  <c r="B982" i="4"/>
  <c r="A982" i="4"/>
  <c r="AG982" i="4" s="1"/>
  <c r="AC981" i="4"/>
  <c r="AB981" i="4"/>
  <c r="AA981" i="4"/>
  <c r="Z981" i="4"/>
  <c r="Y981" i="4"/>
  <c r="X981" i="4"/>
  <c r="W981" i="4"/>
  <c r="V981" i="4"/>
  <c r="T981" i="4"/>
  <c r="U981" i="4" s="1"/>
  <c r="R981" i="4"/>
  <c r="S981" i="4" s="1"/>
  <c r="P981" i="4"/>
  <c r="Q981" i="4" s="1"/>
  <c r="N981" i="4"/>
  <c r="O981" i="4" s="1"/>
  <c r="M981" i="4"/>
  <c r="K981" i="4"/>
  <c r="L981" i="4" s="1"/>
  <c r="J981" i="4"/>
  <c r="H981" i="4"/>
  <c r="I981" i="4" s="1"/>
  <c r="G981" i="4"/>
  <c r="F981" i="4"/>
  <c r="E981" i="4"/>
  <c r="D981" i="4"/>
  <c r="C981" i="4"/>
  <c r="B981" i="4"/>
  <c r="A981" i="4"/>
  <c r="AG981" i="4" s="1"/>
  <c r="AC980" i="4"/>
  <c r="AB980" i="4"/>
  <c r="AA980" i="4"/>
  <c r="Z980" i="4"/>
  <c r="Y980" i="4"/>
  <c r="X980" i="4"/>
  <c r="W980" i="4"/>
  <c r="V980" i="4"/>
  <c r="T980" i="4"/>
  <c r="U980" i="4" s="1"/>
  <c r="R980" i="4"/>
  <c r="S980" i="4" s="1"/>
  <c r="P980" i="4"/>
  <c r="Q980" i="4" s="1"/>
  <c r="N980" i="4"/>
  <c r="O980" i="4" s="1"/>
  <c r="M980" i="4"/>
  <c r="K980" i="4"/>
  <c r="L980" i="4" s="1"/>
  <c r="J980" i="4"/>
  <c r="H980" i="4"/>
  <c r="I980" i="4" s="1"/>
  <c r="G980" i="4"/>
  <c r="F980" i="4"/>
  <c r="E980" i="4"/>
  <c r="D980" i="4"/>
  <c r="C980" i="4"/>
  <c r="B980" i="4"/>
  <c r="A980" i="4"/>
  <c r="AC979" i="4"/>
  <c r="AB979" i="4"/>
  <c r="AA979" i="4"/>
  <c r="Z979" i="4"/>
  <c r="Y979" i="4"/>
  <c r="X979" i="4"/>
  <c r="W979" i="4"/>
  <c r="V979" i="4"/>
  <c r="T979" i="4"/>
  <c r="U979" i="4" s="1"/>
  <c r="R979" i="4"/>
  <c r="S979" i="4" s="1"/>
  <c r="P979" i="4"/>
  <c r="Q979" i="4" s="1"/>
  <c r="N979" i="4"/>
  <c r="O979" i="4" s="1"/>
  <c r="M979" i="4"/>
  <c r="K979" i="4"/>
  <c r="L979" i="4" s="1"/>
  <c r="J979" i="4"/>
  <c r="H979" i="4"/>
  <c r="I979" i="4" s="1"/>
  <c r="G979" i="4"/>
  <c r="F979" i="4"/>
  <c r="E979" i="4"/>
  <c r="D979" i="4"/>
  <c r="C979" i="4"/>
  <c r="B979" i="4"/>
  <c r="A979" i="4"/>
  <c r="AG979" i="4" s="1"/>
  <c r="AC978" i="4"/>
  <c r="AB978" i="4"/>
  <c r="AA978" i="4"/>
  <c r="Z978" i="4"/>
  <c r="Y978" i="4"/>
  <c r="X978" i="4"/>
  <c r="W978" i="4"/>
  <c r="V978" i="4"/>
  <c r="T978" i="4"/>
  <c r="U978" i="4" s="1"/>
  <c r="R978" i="4"/>
  <c r="S978" i="4" s="1"/>
  <c r="P978" i="4"/>
  <c r="Q978" i="4" s="1"/>
  <c r="N978" i="4"/>
  <c r="O978" i="4" s="1"/>
  <c r="M978" i="4"/>
  <c r="K978" i="4"/>
  <c r="L978" i="4" s="1"/>
  <c r="J978" i="4"/>
  <c r="H978" i="4"/>
  <c r="I978" i="4" s="1"/>
  <c r="G978" i="4"/>
  <c r="F978" i="4"/>
  <c r="E978" i="4"/>
  <c r="D978" i="4"/>
  <c r="C978" i="4"/>
  <c r="B978" i="4"/>
  <c r="A978" i="4"/>
  <c r="AC977" i="4"/>
  <c r="AB977" i="4"/>
  <c r="AA977" i="4"/>
  <c r="Z977" i="4"/>
  <c r="Y977" i="4"/>
  <c r="X977" i="4"/>
  <c r="W977" i="4"/>
  <c r="V977" i="4"/>
  <c r="T977" i="4"/>
  <c r="U977" i="4" s="1"/>
  <c r="R977" i="4"/>
  <c r="S977" i="4" s="1"/>
  <c r="P977" i="4"/>
  <c r="Q977" i="4" s="1"/>
  <c r="N977" i="4"/>
  <c r="O977" i="4" s="1"/>
  <c r="M977" i="4"/>
  <c r="K977" i="4"/>
  <c r="L977" i="4" s="1"/>
  <c r="J977" i="4"/>
  <c r="H977" i="4"/>
  <c r="I977" i="4" s="1"/>
  <c r="G977" i="4"/>
  <c r="F977" i="4"/>
  <c r="E977" i="4"/>
  <c r="D977" i="4"/>
  <c r="C977" i="4"/>
  <c r="B977" i="4"/>
  <c r="A977" i="4"/>
  <c r="AG977" i="4" s="1"/>
  <c r="AC976" i="4"/>
  <c r="AB976" i="4"/>
  <c r="AA976" i="4"/>
  <c r="Z976" i="4"/>
  <c r="Y976" i="4"/>
  <c r="X976" i="4"/>
  <c r="W976" i="4"/>
  <c r="V976" i="4"/>
  <c r="T976" i="4"/>
  <c r="U976" i="4" s="1"/>
  <c r="R976" i="4"/>
  <c r="S976" i="4" s="1"/>
  <c r="P976" i="4"/>
  <c r="Q976" i="4" s="1"/>
  <c r="N976" i="4"/>
  <c r="O976" i="4" s="1"/>
  <c r="M976" i="4"/>
  <c r="K976" i="4"/>
  <c r="L976" i="4" s="1"/>
  <c r="J976" i="4"/>
  <c r="H976" i="4"/>
  <c r="I976" i="4" s="1"/>
  <c r="G976" i="4"/>
  <c r="F976" i="4"/>
  <c r="E976" i="4"/>
  <c r="D976" i="4"/>
  <c r="C976" i="4"/>
  <c r="B976" i="4"/>
  <c r="A976" i="4"/>
  <c r="AD976" i="4" s="1"/>
  <c r="AE976" i="4" s="1"/>
  <c r="AC975" i="4"/>
  <c r="AB975" i="4"/>
  <c r="AA975" i="4"/>
  <c r="Z975" i="4"/>
  <c r="Y975" i="4"/>
  <c r="X975" i="4"/>
  <c r="W975" i="4"/>
  <c r="V975" i="4"/>
  <c r="T975" i="4"/>
  <c r="U975" i="4" s="1"/>
  <c r="R975" i="4"/>
  <c r="S975" i="4" s="1"/>
  <c r="P975" i="4"/>
  <c r="Q975" i="4" s="1"/>
  <c r="N975" i="4"/>
  <c r="O975" i="4" s="1"/>
  <c r="M975" i="4"/>
  <c r="K975" i="4"/>
  <c r="L975" i="4" s="1"/>
  <c r="J975" i="4"/>
  <c r="H975" i="4"/>
  <c r="I975" i="4" s="1"/>
  <c r="G975" i="4"/>
  <c r="F975" i="4"/>
  <c r="E975" i="4"/>
  <c r="D975" i="4"/>
  <c r="C975" i="4"/>
  <c r="B975" i="4"/>
  <c r="A975" i="4"/>
  <c r="AF975" i="4" s="1"/>
  <c r="AC974" i="4"/>
  <c r="AB974" i="4"/>
  <c r="AA974" i="4"/>
  <c r="Z974" i="4"/>
  <c r="Y974" i="4"/>
  <c r="X974" i="4"/>
  <c r="W974" i="4"/>
  <c r="V974" i="4"/>
  <c r="T974" i="4"/>
  <c r="U974" i="4" s="1"/>
  <c r="R974" i="4"/>
  <c r="S974" i="4" s="1"/>
  <c r="P974" i="4"/>
  <c r="Q974" i="4" s="1"/>
  <c r="N974" i="4"/>
  <c r="O974" i="4" s="1"/>
  <c r="M974" i="4"/>
  <c r="K974" i="4"/>
  <c r="L974" i="4" s="1"/>
  <c r="J974" i="4"/>
  <c r="H974" i="4"/>
  <c r="I974" i="4" s="1"/>
  <c r="G974" i="4"/>
  <c r="F974" i="4"/>
  <c r="E974" i="4"/>
  <c r="D974" i="4"/>
  <c r="C974" i="4"/>
  <c r="B974" i="4"/>
  <c r="A974" i="4"/>
  <c r="AF974" i="4" s="1"/>
  <c r="AC973" i="4"/>
  <c r="AB973" i="4"/>
  <c r="AA973" i="4"/>
  <c r="Z973" i="4"/>
  <c r="Y973" i="4"/>
  <c r="X973" i="4"/>
  <c r="W973" i="4"/>
  <c r="V973" i="4"/>
  <c r="T973" i="4"/>
  <c r="U973" i="4" s="1"/>
  <c r="R973" i="4"/>
  <c r="S973" i="4" s="1"/>
  <c r="P973" i="4"/>
  <c r="Q973" i="4" s="1"/>
  <c r="N973" i="4"/>
  <c r="O973" i="4" s="1"/>
  <c r="M973" i="4"/>
  <c r="K973" i="4"/>
  <c r="L973" i="4" s="1"/>
  <c r="J973" i="4"/>
  <c r="H973" i="4"/>
  <c r="I973" i="4" s="1"/>
  <c r="G973" i="4"/>
  <c r="F973" i="4"/>
  <c r="E973" i="4"/>
  <c r="D973" i="4"/>
  <c r="C973" i="4"/>
  <c r="B973" i="4"/>
  <c r="A973" i="4"/>
  <c r="AC972" i="4"/>
  <c r="AB972" i="4"/>
  <c r="AA972" i="4"/>
  <c r="Z972" i="4"/>
  <c r="Y972" i="4"/>
  <c r="X972" i="4"/>
  <c r="W972" i="4"/>
  <c r="V972" i="4"/>
  <c r="T972" i="4"/>
  <c r="U972" i="4" s="1"/>
  <c r="S972" i="4"/>
  <c r="R972" i="4"/>
  <c r="P972" i="4"/>
  <c r="Q972" i="4" s="1"/>
  <c r="N972" i="4"/>
  <c r="O972" i="4" s="1"/>
  <c r="M972" i="4"/>
  <c r="K972" i="4"/>
  <c r="L972" i="4" s="1"/>
  <c r="J972" i="4"/>
  <c r="H972" i="4"/>
  <c r="I972" i="4" s="1"/>
  <c r="G972" i="4"/>
  <c r="F972" i="4"/>
  <c r="E972" i="4"/>
  <c r="D972" i="4"/>
  <c r="C972" i="4"/>
  <c r="B972" i="4"/>
  <c r="A972" i="4"/>
  <c r="AD972" i="4" s="1"/>
  <c r="AE972" i="4" s="1"/>
  <c r="AC971" i="4"/>
  <c r="AB971" i="4"/>
  <c r="AA971" i="4"/>
  <c r="Z971" i="4"/>
  <c r="Y971" i="4"/>
  <c r="X971" i="4"/>
  <c r="W971" i="4"/>
  <c r="V971" i="4"/>
  <c r="T971" i="4"/>
  <c r="U971" i="4" s="1"/>
  <c r="R971" i="4"/>
  <c r="S971" i="4" s="1"/>
  <c r="P971" i="4"/>
  <c r="Q971" i="4" s="1"/>
  <c r="N971" i="4"/>
  <c r="O971" i="4" s="1"/>
  <c r="M971" i="4"/>
  <c r="K971" i="4"/>
  <c r="L971" i="4" s="1"/>
  <c r="J971" i="4"/>
  <c r="H971" i="4"/>
  <c r="I971" i="4" s="1"/>
  <c r="G971" i="4"/>
  <c r="F971" i="4"/>
  <c r="E971" i="4"/>
  <c r="D971" i="4"/>
  <c r="C971" i="4"/>
  <c r="B971" i="4"/>
  <c r="A971" i="4"/>
  <c r="AC970" i="4"/>
  <c r="AB970" i="4"/>
  <c r="AA970" i="4"/>
  <c r="Z970" i="4"/>
  <c r="Y970" i="4"/>
  <c r="X970" i="4"/>
  <c r="W970" i="4"/>
  <c r="V970" i="4"/>
  <c r="T970" i="4"/>
  <c r="U970" i="4" s="1"/>
  <c r="R970" i="4"/>
  <c r="S970" i="4" s="1"/>
  <c r="P970" i="4"/>
  <c r="Q970" i="4" s="1"/>
  <c r="N970" i="4"/>
  <c r="O970" i="4" s="1"/>
  <c r="M970" i="4"/>
  <c r="K970" i="4"/>
  <c r="L970" i="4" s="1"/>
  <c r="J970" i="4"/>
  <c r="H970" i="4"/>
  <c r="I970" i="4" s="1"/>
  <c r="G970" i="4"/>
  <c r="F970" i="4"/>
  <c r="E970" i="4"/>
  <c r="D970" i="4"/>
  <c r="C970" i="4"/>
  <c r="B970" i="4"/>
  <c r="A970" i="4"/>
  <c r="AD970" i="4" s="1"/>
  <c r="AE970" i="4" s="1"/>
  <c r="AC969" i="4"/>
  <c r="AB969" i="4"/>
  <c r="AA969" i="4"/>
  <c r="Z969" i="4"/>
  <c r="Y969" i="4"/>
  <c r="X969" i="4"/>
  <c r="W969" i="4"/>
  <c r="V969" i="4"/>
  <c r="T969" i="4"/>
  <c r="U969" i="4" s="1"/>
  <c r="R969" i="4"/>
  <c r="S969" i="4" s="1"/>
  <c r="P969" i="4"/>
  <c r="Q969" i="4" s="1"/>
  <c r="N969" i="4"/>
  <c r="O969" i="4" s="1"/>
  <c r="M969" i="4"/>
  <c r="K969" i="4"/>
  <c r="L969" i="4" s="1"/>
  <c r="J969" i="4"/>
  <c r="H969" i="4"/>
  <c r="I969" i="4" s="1"/>
  <c r="G969" i="4"/>
  <c r="F969" i="4"/>
  <c r="E969" i="4"/>
  <c r="D969" i="4"/>
  <c r="C969" i="4"/>
  <c r="B969" i="4"/>
  <c r="A969" i="4"/>
  <c r="AG969" i="4" s="1"/>
  <c r="AC968" i="4"/>
  <c r="AB968" i="4"/>
  <c r="AA968" i="4"/>
  <c r="Z968" i="4"/>
  <c r="Y968" i="4"/>
  <c r="X968" i="4"/>
  <c r="W968" i="4"/>
  <c r="V968" i="4"/>
  <c r="T968" i="4"/>
  <c r="U968" i="4" s="1"/>
  <c r="R968" i="4"/>
  <c r="S968" i="4" s="1"/>
  <c r="P968" i="4"/>
  <c r="Q968" i="4" s="1"/>
  <c r="N968" i="4"/>
  <c r="O968" i="4" s="1"/>
  <c r="M968" i="4"/>
  <c r="L968" i="4"/>
  <c r="K968" i="4"/>
  <c r="J968" i="4"/>
  <c r="H968" i="4"/>
  <c r="I968" i="4" s="1"/>
  <c r="G968" i="4"/>
  <c r="F968" i="4"/>
  <c r="E968" i="4"/>
  <c r="D968" i="4"/>
  <c r="C968" i="4"/>
  <c r="B968" i="4"/>
  <c r="A968" i="4"/>
  <c r="AC967" i="4"/>
  <c r="AB967" i="4"/>
  <c r="AA967" i="4"/>
  <c r="Z967" i="4"/>
  <c r="Y967" i="4"/>
  <c r="X967" i="4"/>
  <c r="W967" i="4"/>
  <c r="V967" i="4"/>
  <c r="T967" i="4"/>
  <c r="U967" i="4" s="1"/>
  <c r="R967" i="4"/>
  <c r="S967" i="4" s="1"/>
  <c r="P967" i="4"/>
  <c r="Q967" i="4" s="1"/>
  <c r="N967" i="4"/>
  <c r="O967" i="4" s="1"/>
  <c r="M967" i="4"/>
  <c r="L967" i="4"/>
  <c r="K967" i="4"/>
  <c r="J967" i="4"/>
  <c r="H967" i="4"/>
  <c r="I967" i="4" s="1"/>
  <c r="G967" i="4"/>
  <c r="F967" i="4"/>
  <c r="E967" i="4"/>
  <c r="D967" i="4"/>
  <c r="C967" i="4"/>
  <c r="B967" i="4"/>
  <c r="A967" i="4"/>
  <c r="AG967" i="4" s="1"/>
  <c r="AC966" i="4"/>
  <c r="AB966" i="4"/>
  <c r="AA966" i="4"/>
  <c r="Z966" i="4"/>
  <c r="Y966" i="4"/>
  <c r="X966" i="4"/>
  <c r="W966" i="4"/>
  <c r="V966" i="4"/>
  <c r="T966" i="4"/>
  <c r="U966" i="4" s="1"/>
  <c r="R966" i="4"/>
  <c r="S966" i="4" s="1"/>
  <c r="P966" i="4"/>
  <c r="Q966" i="4" s="1"/>
  <c r="N966" i="4"/>
  <c r="O966" i="4" s="1"/>
  <c r="M966" i="4"/>
  <c r="K966" i="4"/>
  <c r="L966" i="4" s="1"/>
  <c r="J966" i="4"/>
  <c r="H966" i="4"/>
  <c r="I966" i="4" s="1"/>
  <c r="G966" i="4"/>
  <c r="F966" i="4"/>
  <c r="E966" i="4"/>
  <c r="D966" i="4"/>
  <c r="C966" i="4"/>
  <c r="B966" i="4"/>
  <c r="A966" i="4"/>
  <c r="AC965" i="4"/>
  <c r="AB965" i="4"/>
  <c r="AA965" i="4"/>
  <c r="Z965" i="4"/>
  <c r="Y965" i="4"/>
  <c r="X965" i="4"/>
  <c r="W965" i="4"/>
  <c r="V965" i="4"/>
  <c r="T965" i="4"/>
  <c r="U965" i="4" s="1"/>
  <c r="R965" i="4"/>
  <c r="S965" i="4" s="1"/>
  <c r="P965" i="4"/>
  <c r="Q965" i="4" s="1"/>
  <c r="N965" i="4"/>
  <c r="O965" i="4" s="1"/>
  <c r="M965" i="4"/>
  <c r="K965" i="4"/>
  <c r="L965" i="4" s="1"/>
  <c r="J965" i="4"/>
  <c r="H965" i="4"/>
  <c r="I965" i="4" s="1"/>
  <c r="G965" i="4"/>
  <c r="F965" i="4"/>
  <c r="E965" i="4"/>
  <c r="D965" i="4"/>
  <c r="C965" i="4"/>
  <c r="B965" i="4"/>
  <c r="A965" i="4"/>
  <c r="AG965" i="4" s="1"/>
  <c r="AC964" i="4"/>
  <c r="AB964" i="4"/>
  <c r="AA964" i="4"/>
  <c r="Z964" i="4"/>
  <c r="Y964" i="4"/>
  <c r="X964" i="4"/>
  <c r="W964" i="4"/>
  <c r="V964" i="4"/>
  <c r="T964" i="4"/>
  <c r="U964" i="4" s="1"/>
  <c r="R964" i="4"/>
  <c r="S964" i="4" s="1"/>
  <c r="P964" i="4"/>
  <c r="Q964" i="4" s="1"/>
  <c r="N964" i="4"/>
  <c r="O964" i="4" s="1"/>
  <c r="M964" i="4"/>
  <c r="K964" i="4"/>
  <c r="L964" i="4" s="1"/>
  <c r="J964" i="4"/>
  <c r="H964" i="4"/>
  <c r="I964" i="4" s="1"/>
  <c r="G964" i="4"/>
  <c r="F964" i="4"/>
  <c r="E964" i="4"/>
  <c r="D964" i="4"/>
  <c r="C964" i="4"/>
  <c r="B964" i="4"/>
  <c r="A964" i="4"/>
  <c r="AC963" i="4"/>
  <c r="AB963" i="4"/>
  <c r="AA963" i="4"/>
  <c r="Z963" i="4"/>
  <c r="Y963" i="4"/>
  <c r="X963" i="4"/>
  <c r="W963" i="4"/>
  <c r="V963" i="4"/>
  <c r="U963" i="4"/>
  <c r="T963" i="4"/>
  <c r="R963" i="4"/>
  <c r="S963" i="4" s="1"/>
  <c r="P963" i="4"/>
  <c r="Q963" i="4" s="1"/>
  <c r="N963" i="4"/>
  <c r="O963" i="4" s="1"/>
  <c r="M963" i="4"/>
  <c r="L963" i="4"/>
  <c r="K963" i="4"/>
  <c r="J963" i="4"/>
  <c r="H963" i="4"/>
  <c r="I963" i="4" s="1"/>
  <c r="G963" i="4"/>
  <c r="F963" i="4"/>
  <c r="E963" i="4"/>
  <c r="D963" i="4"/>
  <c r="C963" i="4"/>
  <c r="B963" i="4"/>
  <c r="A963" i="4"/>
  <c r="AD963" i="4" s="1"/>
  <c r="AE963" i="4" s="1"/>
  <c r="AC962" i="4"/>
  <c r="AB962" i="4"/>
  <c r="AA962" i="4"/>
  <c r="Z962" i="4"/>
  <c r="Y962" i="4"/>
  <c r="X962" i="4"/>
  <c r="W962" i="4"/>
  <c r="V962" i="4"/>
  <c r="T962" i="4"/>
  <c r="U962" i="4" s="1"/>
  <c r="R962" i="4"/>
  <c r="S962" i="4" s="1"/>
  <c r="P962" i="4"/>
  <c r="Q962" i="4" s="1"/>
  <c r="N962" i="4"/>
  <c r="O962" i="4" s="1"/>
  <c r="M962" i="4"/>
  <c r="K962" i="4"/>
  <c r="L962" i="4" s="1"/>
  <c r="J962" i="4"/>
  <c r="H962" i="4"/>
  <c r="I962" i="4" s="1"/>
  <c r="G962" i="4"/>
  <c r="F962" i="4"/>
  <c r="E962" i="4"/>
  <c r="D962" i="4"/>
  <c r="C962" i="4"/>
  <c r="B962" i="4"/>
  <c r="A962" i="4"/>
  <c r="AC961" i="4"/>
  <c r="AB961" i="4"/>
  <c r="AA961" i="4"/>
  <c r="Z961" i="4"/>
  <c r="Y961" i="4"/>
  <c r="X961" i="4"/>
  <c r="W961" i="4"/>
  <c r="V961" i="4"/>
  <c r="T961" i="4"/>
  <c r="U961" i="4" s="1"/>
  <c r="R961" i="4"/>
  <c r="S961" i="4" s="1"/>
  <c r="P961" i="4"/>
  <c r="Q961" i="4" s="1"/>
  <c r="N961" i="4"/>
  <c r="O961" i="4" s="1"/>
  <c r="M961" i="4"/>
  <c r="L961" i="4"/>
  <c r="K961" i="4"/>
  <c r="J961" i="4"/>
  <c r="H961" i="4"/>
  <c r="I961" i="4" s="1"/>
  <c r="G961" i="4"/>
  <c r="F961" i="4"/>
  <c r="E961" i="4"/>
  <c r="D961" i="4"/>
  <c r="C961" i="4"/>
  <c r="B961" i="4"/>
  <c r="A961" i="4"/>
  <c r="AC960" i="4"/>
  <c r="AB960" i="4"/>
  <c r="AA960" i="4"/>
  <c r="Z960" i="4"/>
  <c r="Y960" i="4"/>
  <c r="X960" i="4"/>
  <c r="W960" i="4"/>
  <c r="V960" i="4"/>
  <c r="T960" i="4"/>
  <c r="U960" i="4" s="1"/>
  <c r="R960" i="4"/>
  <c r="S960" i="4" s="1"/>
  <c r="P960" i="4"/>
  <c r="Q960" i="4" s="1"/>
  <c r="N960" i="4"/>
  <c r="O960" i="4" s="1"/>
  <c r="M960" i="4"/>
  <c r="K960" i="4"/>
  <c r="L960" i="4" s="1"/>
  <c r="J960" i="4"/>
  <c r="H960" i="4"/>
  <c r="I960" i="4" s="1"/>
  <c r="G960" i="4"/>
  <c r="F960" i="4"/>
  <c r="E960" i="4"/>
  <c r="D960" i="4"/>
  <c r="C960" i="4"/>
  <c r="B960" i="4"/>
  <c r="A960" i="4"/>
  <c r="AC959" i="4"/>
  <c r="AB959" i="4"/>
  <c r="AA959" i="4"/>
  <c r="Z959" i="4"/>
  <c r="Y959" i="4"/>
  <c r="X959" i="4"/>
  <c r="W959" i="4"/>
  <c r="V959" i="4"/>
  <c r="T959" i="4"/>
  <c r="U959" i="4" s="1"/>
  <c r="R959" i="4"/>
  <c r="S959" i="4" s="1"/>
  <c r="P959" i="4"/>
  <c r="Q959" i="4" s="1"/>
  <c r="N959" i="4"/>
  <c r="O959" i="4" s="1"/>
  <c r="M959" i="4"/>
  <c r="L959" i="4"/>
  <c r="K959" i="4"/>
  <c r="J959" i="4"/>
  <c r="H959" i="4"/>
  <c r="I959" i="4" s="1"/>
  <c r="G959" i="4"/>
  <c r="F959" i="4"/>
  <c r="E959" i="4"/>
  <c r="D959" i="4"/>
  <c r="C959" i="4"/>
  <c r="B959" i="4"/>
  <c r="A959" i="4"/>
  <c r="AC958" i="4"/>
  <c r="AB958" i="4"/>
  <c r="AA958" i="4"/>
  <c r="Z958" i="4"/>
  <c r="Y958" i="4"/>
  <c r="X958" i="4"/>
  <c r="W958" i="4"/>
  <c r="V958" i="4"/>
  <c r="T958" i="4"/>
  <c r="U958" i="4" s="1"/>
  <c r="R958" i="4"/>
  <c r="S958" i="4" s="1"/>
  <c r="P958" i="4"/>
  <c r="Q958" i="4" s="1"/>
  <c r="N958" i="4"/>
  <c r="O958" i="4" s="1"/>
  <c r="M958" i="4"/>
  <c r="K958" i="4"/>
  <c r="L958" i="4" s="1"/>
  <c r="J958" i="4"/>
  <c r="H958" i="4"/>
  <c r="I958" i="4" s="1"/>
  <c r="G958" i="4"/>
  <c r="F958" i="4"/>
  <c r="E958" i="4"/>
  <c r="D958" i="4"/>
  <c r="C958" i="4"/>
  <c r="B958" i="4"/>
  <c r="A958" i="4"/>
  <c r="AC957" i="4"/>
  <c r="AB957" i="4"/>
  <c r="AA957" i="4"/>
  <c r="Z957" i="4"/>
  <c r="Y957" i="4"/>
  <c r="X957" i="4"/>
  <c r="W957" i="4"/>
  <c r="V957" i="4"/>
  <c r="T957" i="4"/>
  <c r="U957" i="4" s="1"/>
  <c r="R957" i="4"/>
  <c r="S957" i="4" s="1"/>
  <c r="P957" i="4"/>
  <c r="Q957" i="4" s="1"/>
  <c r="N957" i="4"/>
  <c r="O957" i="4" s="1"/>
  <c r="M957" i="4"/>
  <c r="K957" i="4"/>
  <c r="L957" i="4" s="1"/>
  <c r="J957" i="4"/>
  <c r="H957" i="4"/>
  <c r="I957" i="4" s="1"/>
  <c r="G957" i="4"/>
  <c r="F957" i="4"/>
  <c r="E957" i="4"/>
  <c r="D957" i="4"/>
  <c r="C957" i="4"/>
  <c r="B957" i="4"/>
  <c r="A957" i="4"/>
  <c r="AG957" i="4" s="1"/>
  <c r="AC956" i="4"/>
  <c r="AB956" i="4"/>
  <c r="AA956" i="4"/>
  <c r="Z956" i="4"/>
  <c r="Y956" i="4"/>
  <c r="X956" i="4"/>
  <c r="W956" i="4"/>
  <c r="V956" i="4"/>
  <c r="T956" i="4"/>
  <c r="U956" i="4" s="1"/>
  <c r="R956" i="4"/>
  <c r="S956" i="4" s="1"/>
  <c r="P956" i="4"/>
  <c r="Q956" i="4" s="1"/>
  <c r="N956" i="4"/>
  <c r="O956" i="4" s="1"/>
  <c r="M956" i="4"/>
  <c r="K956" i="4"/>
  <c r="L956" i="4" s="1"/>
  <c r="J956" i="4"/>
  <c r="H956" i="4"/>
  <c r="I956" i="4" s="1"/>
  <c r="G956" i="4"/>
  <c r="F956" i="4"/>
  <c r="E956" i="4"/>
  <c r="D956" i="4"/>
  <c r="C956" i="4"/>
  <c r="B956" i="4"/>
  <c r="A956" i="4"/>
  <c r="AD956" i="4" s="1"/>
  <c r="AE956" i="4" s="1"/>
  <c r="AC955" i="4"/>
  <c r="AB955" i="4"/>
  <c r="AA955" i="4"/>
  <c r="Z955" i="4"/>
  <c r="Y955" i="4"/>
  <c r="X955" i="4"/>
  <c r="W955" i="4"/>
  <c r="V955" i="4"/>
  <c r="T955" i="4"/>
  <c r="U955" i="4" s="1"/>
  <c r="R955" i="4"/>
  <c r="S955" i="4" s="1"/>
  <c r="P955" i="4"/>
  <c r="Q955" i="4" s="1"/>
  <c r="N955" i="4"/>
  <c r="O955" i="4" s="1"/>
  <c r="M955" i="4"/>
  <c r="K955" i="4"/>
  <c r="L955" i="4" s="1"/>
  <c r="J955" i="4"/>
  <c r="H955" i="4"/>
  <c r="I955" i="4" s="1"/>
  <c r="G955" i="4"/>
  <c r="F955" i="4"/>
  <c r="E955" i="4"/>
  <c r="D955" i="4"/>
  <c r="C955" i="4"/>
  <c r="B955" i="4"/>
  <c r="A955" i="4"/>
  <c r="AD955" i="4" s="1"/>
  <c r="AE955" i="4" s="1"/>
  <c r="AC954" i="4"/>
  <c r="AB954" i="4"/>
  <c r="AA954" i="4"/>
  <c r="Z954" i="4"/>
  <c r="Y954" i="4"/>
  <c r="X954" i="4"/>
  <c r="W954" i="4"/>
  <c r="V954" i="4"/>
  <c r="U954" i="4"/>
  <c r="T954" i="4"/>
  <c r="R954" i="4"/>
  <c r="S954" i="4" s="1"/>
  <c r="Q954" i="4"/>
  <c r="P954" i="4"/>
  <c r="N954" i="4"/>
  <c r="O954" i="4" s="1"/>
  <c r="M954" i="4"/>
  <c r="K954" i="4"/>
  <c r="L954" i="4" s="1"/>
  <c r="J954" i="4"/>
  <c r="H954" i="4"/>
  <c r="I954" i="4" s="1"/>
  <c r="G954" i="4"/>
  <c r="F954" i="4"/>
  <c r="E954" i="4"/>
  <c r="D954" i="4"/>
  <c r="C954" i="4"/>
  <c r="B954" i="4"/>
  <c r="A954" i="4"/>
  <c r="AC953" i="4"/>
  <c r="AB953" i="4"/>
  <c r="AA953" i="4"/>
  <c r="Z953" i="4"/>
  <c r="Y953" i="4"/>
  <c r="X953" i="4"/>
  <c r="W953" i="4"/>
  <c r="V953" i="4"/>
  <c r="T953" i="4"/>
  <c r="U953" i="4" s="1"/>
  <c r="R953" i="4"/>
  <c r="S953" i="4" s="1"/>
  <c r="P953" i="4"/>
  <c r="Q953" i="4" s="1"/>
  <c r="N953" i="4"/>
  <c r="O953" i="4" s="1"/>
  <c r="M953" i="4"/>
  <c r="K953" i="4"/>
  <c r="L953" i="4" s="1"/>
  <c r="J953" i="4"/>
  <c r="H953" i="4"/>
  <c r="I953" i="4" s="1"/>
  <c r="G953" i="4"/>
  <c r="F953" i="4"/>
  <c r="E953" i="4"/>
  <c r="D953" i="4"/>
  <c r="C953" i="4"/>
  <c r="B953" i="4"/>
  <c r="A953" i="4"/>
  <c r="AG953" i="4" s="1"/>
  <c r="AC952" i="4"/>
  <c r="AB952" i="4"/>
  <c r="AA952" i="4"/>
  <c r="Z952" i="4"/>
  <c r="Y952" i="4"/>
  <c r="X952" i="4"/>
  <c r="W952" i="4"/>
  <c r="V952" i="4"/>
  <c r="T952" i="4"/>
  <c r="U952" i="4" s="1"/>
  <c r="R952" i="4"/>
  <c r="S952" i="4" s="1"/>
  <c r="P952" i="4"/>
  <c r="Q952" i="4" s="1"/>
  <c r="N952" i="4"/>
  <c r="O952" i="4" s="1"/>
  <c r="M952" i="4"/>
  <c r="K952" i="4"/>
  <c r="L952" i="4" s="1"/>
  <c r="J952" i="4"/>
  <c r="H952" i="4"/>
  <c r="I952" i="4" s="1"/>
  <c r="G952" i="4"/>
  <c r="F952" i="4"/>
  <c r="E952" i="4"/>
  <c r="D952" i="4"/>
  <c r="C952" i="4"/>
  <c r="B952" i="4"/>
  <c r="A952" i="4"/>
  <c r="AF952" i="4" s="1"/>
  <c r="AC951" i="4"/>
  <c r="AB951" i="4"/>
  <c r="AA951" i="4"/>
  <c r="Z951" i="4"/>
  <c r="Y951" i="4"/>
  <c r="X951" i="4"/>
  <c r="W951" i="4"/>
  <c r="V951" i="4"/>
  <c r="T951" i="4"/>
  <c r="U951" i="4" s="1"/>
  <c r="R951" i="4"/>
  <c r="S951" i="4" s="1"/>
  <c r="P951" i="4"/>
  <c r="Q951" i="4" s="1"/>
  <c r="N951" i="4"/>
  <c r="O951" i="4" s="1"/>
  <c r="M951" i="4"/>
  <c r="K951" i="4"/>
  <c r="L951" i="4" s="1"/>
  <c r="J951" i="4"/>
  <c r="H951" i="4"/>
  <c r="I951" i="4" s="1"/>
  <c r="G951" i="4"/>
  <c r="F951" i="4"/>
  <c r="E951" i="4"/>
  <c r="D951" i="4"/>
  <c r="C951" i="4"/>
  <c r="B951" i="4"/>
  <c r="A951" i="4"/>
  <c r="AC950" i="4"/>
  <c r="AB950" i="4"/>
  <c r="AA950" i="4"/>
  <c r="Z950" i="4"/>
  <c r="Y950" i="4"/>
  <c r="X950" i="4"/>
  <c r="W950" i="4"/>
  <c r="V950" i="4"/>
  <c r="T950" i="4"/>
  <c r="U950" i="4" s="1"/>
  <c r="R950" i="4"/>
  <c r="S950" i="4" s="1"/>
  <c r="P950" i="4"/>
  <c r="Q950" i="4" s="1"/>
  <c r="N950" i="4"/>
  <c r="O950" i="4" s="1"/>
  <c r="M950" i="4"/>
  <c r="K950" i="4"/>
  <c r="L950" i="4" s="1"/>
  <c r="J950" i="4"/>
  <c r="H950" i="4"/>
  <c r="I950" i="4" s="1"/>
  <c r="G950" i="4"/>
  <c r="F950" i="4"/>
  <c r="E950" i="4"/>
  <c r="D950" i="4"/>
  <c r="C950" i="4"/>
  <c r="B950" i="4"/>
  <c r="A950" i="4"/>
  <c r="AC949" i="4"/>
  <c r="AB949" i="4"/>
  <c r="AA949" i="4"/>
  <c r="Z949" i="4"/>
  <c r="Y949" i="4"/>
  <c r="X949" i="4"/>
  <c r="W949" i="4"/>
  <c r="V949" i="4"/>
  <c r="T949" i="4"/>
  <c r="U949" i="4" s="1"/>
  <c r="R949" i="4"/>
  <c r="S949" i="4" s="1"/>
  <c r="P949" i="4"/>
  <c r="Q949" i="4" s="1"/>
  <c r="N949" i="4"/>
  <c r="O949" i="4" s="1"/>
  <c r="M949" i="4"/>
  <c r="K949" i="4"/>
  <c r="L949" i="4" s="1"/>
  <c r="J949" i="4"/>
  <c r="H949" i="4"/>
  <c r="I949" i="4" s="1"/>
  <c r="G949" i="4"/>
  <c r="F949" i="4"/>
  <c r="E949" i="4"/>
  <c r="D949" i="4"/>
  <c r="C949" i="4"/>
  <c r="B949" i="4"/>
  <c r="A949" i="4"/>
  <c r="AG949" i="4" s="1"/>
  <c r="AC948" i="4"/>
  <c r="AB948" i="4"/>
  <c r="AA948" i="4"/>
  <c r="Z948" i="4"/>
  <c r="Y948" i="4"/>
  <c r="X948" i="4"/>
  <c r="W948" i="4"/>
  <c r="V948" i="4"/>
  <c r="T948" i="4"/>
  <c r="U948" i="4" s="1"/>
  <c r="R948" i="4"/>
  <c r="S948" i="4" s="1"/>
  <c r="P948" i="4"/>
  <c r="Q948" i="4" s="1"/>
  <c r="N948" i="4"/>
  <c r="O948" i="4" s="1"/>
  <c r="M948" i="4"/>
  <c r="K948" i="4"/>
  <c r="L948" i="4" s="1"/>
  <c r="J948" i="4"/>
  <c r="H948" i="4"/>
  <c r="I948" i="4" s="1"/>
  <c r="G948" i="4"/>
  <c r="F948" i="4"/>
  <c r="E948" i="4"/>
  <c r="D948" i="4"/>
  <c r="C948" i="4"/>
  <c r="B948" i="4"/>
  <c r="A948" i="4"/>
  <c r="AD948" i="4" s="1"/>
  <c r="AE948" i="4" s="1"/>
  <c r="AC947" i="4"/>
  <c r="AB947" i="4"/>
  <c r="AA947" i="4"/>
  <c r="Z947" i="4"/>
  <c r="Y947" i="4"/>
  <c r="X947" i="4"/>
  <c r="W947" i="4"/>
  <c r="V947" i="4"/>
  <c r="T947" i="4"/>
  <c r="U947" i="4" s="1"/>
  <c r="R947" i="4"/>
  <c r="S947" i="4" s="1"/>
  <c r="P947" i="4"/>
  <c r="Q947" i="4" s="1"/>
  <c r="N947" i="4"/>
  <c r="O947" i="4" s="1"/>
  <c r="M947" i="4"/>
  <c r="K947" i="4"/>
  <c r="L947" i="4" s="1"/>
  <c r="J947" i="4"/>
  <c r="H947" i="4"/>
  <c r="I947" i="4" s="1"/>
  <c r="G947" i="4"/>
  <c r="F947" i="4"/>
  <c r="E947" i="4"/>
  <c r="D947" i="4"/>
  <c r="C947" i="4"/>
  <c r="B947" i="4"/>
  <c r="A947" i="4"/>
  <c r="AC946" i="4"/>
  <c r="AB946" i="4"/>
  <c r="AA946" i="4"/>
  <c r="Z946" i="4"/>
  <c r="Y946" i="4"/>
  <c r="X946" i="4"/>
  <c r="W946" i="4"/>
  <c r="V946" i="4"/>
  <c r="T946" i="4"/>
  <c r="U946" i="4" s="1"/>
  <c r="R946" i="4"/>
  <c r="S946" i="4" s="1"/>
  <c r="P946" i="4"/>
  <c r="Q946" i="4" s="1"/>
  <c r="N946" i="4"/>
  <c r="O946" i="4" s="1"/>
  <c r="M946" i="4"/>
  <c r="K946" i="4"/>
  <c r="L946" i="4" s="1"/>
  <c r="J946" i="4"/>
  <c r="H946" i="4"/>
  <c r="I946" i="4" s="1"/>
  <c r="G946" i="4"/>
  <c r="F946" i="4"/>
  <c r="E946" i="4"/>
  <c r="D946" i="4"/>
  <c r="C946" i="4"/>
  <c r="B946" i="4"/>
  <c r="A946" i="4"/>
  <c r="AD946" i="4" s="1"/>
  <c r="AE946" i="4" s="1"/>
  <c r="AC945" i="4"/>
  <c r="AB945" i="4"/>
  <c r="AA945" i="4"/>
  <c r="Z945" i="4"/>
  <c r="Y945" i="4"/>
  <c r="X945" i="4"/>
  <c r="W945" i="4"/>
  <c r="V945" i="4"/>
  <c r="T945" i="4"/>
  <c r="U945" i="4" s="1"/>
  <c r="R945" i="4"/>
  <c r="S945" i="4" s="1"/>
  <c r="P945" i="4"/>
  <c r="Q945" i="4" s="1"/>
  <c r="N945" i="4"/>
  <c r="O945" i="4" s="1"/>
  <c r="M945" i="4"/>
  <c r="K945" i="4"/>
  <c r="L945" i="4" s="1"/>
  <c r="J945" i="4"/>
  <c r="H945" i="4"/>
  <c r="I945" i="4" s="1"/>
  <c r="G945" i="4"/>
  <c r="F945" i="4"/>
  <c r="E945" i="4"/>
  <c r="D945" i="4"/>
  <c r="C945" i="4"/>
  <c r="B945" i="4"/>
  <c r="A945" i="4"/>
  <c r="AG945" i="4" s="1"/>
  <c r="AC944" i="4"/>
  <c r="AB944" i="4"/>
  <c r="AA944" i="4"/>
  <c r="Z944" i="4"/>
  <c r="Y944" i="4"/>
  <c r="X944" i="4"/>
  <c r="W944" i="4"/>
  <c r="V944" i="4"/>
  <c r="T944" i="4"/>
  <c r="U944" i="4" s="1"/>
  <c r="R944" i="4"/>
  <c r="S944" i="4" s="1"/>
  <c r="P944" i="4"/>
  <c r="Q944" i="4" s="1"/>
  <c r="N944" i="4"/>
  <c r="O944" i="4" s="1"/>
  <c r="M944" i="4"/>
  <c r="K944" i="4"/>
  <c r="L944" i="4" s="1"/>
  <c r="J944" i="4"/>
  <c r="H944" i="4"/>
  <c r="I944" i="4" s="1"/>
  <c r="G944" i="4"/>
  <c r="F944" i="4"/>
  <c r="E944" i="4"/>
  <c r="D944" i="4"/>
  <c r="C944" i="4"/>
  <c r="B944" i="4"/>
  <c r="A944" i="4"/>
  <c r="AC943" i="4"/>
  <c r="AB943" i="4"/>
  <c r="AA943" i="4"/>
  <c r="Z943" i="4"/>
  <c r="Y943" i="4"/>
  <c r="X943" i="4"/>
  <c r="W943" i="4"/>
  <c r="V943" i="4"/>
  <c r="T943" i="4"/>
  <c r="U943" i="4" s="1"/>
  <c r="R943" i="4"/>
  <c r="S943" i="4" s="1"/>
  <c r="P943" i="4"/>
  <c r="Q943" i="4" s="1"/>
  <c r="N943" i="4"/>
  <c r="O943" i="4" s="1"/>
  <c r="M943" i="4"/>
  <c r="K943" i="4"/>
  <c r="L943" i="4" s="1"/>
  <c r="J943" i="4"/>
  <c r="H943" i="4"/>
  <c r="I943" i="4" s="1"/>
  <c r="G943" i="4"/>
  <c r="F943" i="4"/>
  <c r="E943" i="4"/>
  <c r="D943" i="4"/>
  <c r="C943" i="4"/>
  <c r="B943" i="4"/>
  <c r="A943" i="4"/>
  <c r="AF943" i="4" s="1"/>
  <c r="AC942" i="4"/>
  <c r="AB942" i="4"/>
  <c r="AA942" i="4"/>
  <c r="Z942" i="4"/>
  <c r="Y942" i="4"/>
  <c r="X942" i="4"/>
  <c r="W942" i="4"/>
  <c r="V942" i="4"/>
  <c r="T942" i="4"/>
  <c r="U942" i="4" s="1"/>
  <c r="R942" i="4"/>
  <c r="S942" i="4" s="1"/>
  <c r="P942" i="4"/>
  <c r="Q942" i="4" s="1"/>
  <c r="O942" i="4"/>
  <c r="N942" i="4"/>
  <c r="M942" i="4"/>
  <c r="K942" i="4"/>
  <c r="L942" i="4" s="1"/>
  <c r="J942" i="4"/>
  <c r="H942" i="4"/>
  <c r="I942" i="4" s="1"/>
  <c r="G942" i="4"/>
  <c r="F942" i="4"/>
  <c r="E942" i="4"/>
  <c r="D942" i="4"/>
  <c r="C942" i="4"/>
  <c r="B942" i="4"/>
  <c r="A942" i="4"/>
  <c r="AG942" i="4" s="1"/>
  <c r="AC941" i="4"/>
  <c r="AB941" i="4"/>
  <c r="AA941" i="4"/>
  <c r="Z941" i="4"/>
  <c r="Y941" i="4"/>
  <c r="X941" i="4"/>
  <c r="W941" i="4"/>
  <c r="V941" i="4"/>
  <c r="T941" i="4"/>
  <c r="U941" i="4" s="1"/>
  <c r="R941" i="4"/>
  <c r="S941" i="4" s="1"/>
  <c r="P941" i="4"/>
  <c r="Q941" i="4" s="1"/>
  <c r="N941" i="4"/>
  <c r="O941" i="4" s="1"/>
  <c r="M941" i="4"/>
  <c r="L941" i="4"/>
  <c r="K941" i="4"/>
  <c r="J941" i="4"/>
  <c r="H941" i="4"/>
  <c r="I941" i="4" s="1"/>
  <c r="G941" i="4"/>
  <c r="F941" i="4"/>
  <c r="E941" i="4"/>
  <c r="D941" i="4"/>
  <c r="C941" i="4"/>
  <c r="B941" i="4"/>
  <c r="A941" i="4"/>
  <c r="AF941" i="4" s="1"/>
  <c r="AC940" i="4"/>
  <c r="AB940" i="4"/>
  <c r="AA940" i="4"/>
  <c r="Z940" i="4"/>
  <c r="Y940" i="4"/>
  <c r="X940" i="4"/>
  <c r="W940" i="4"/>
  <c r="V940" i="4"/>
  <c r="U940" i="4"/>
  <c r="T940" i="4"/>
  <c r="R940" i="4"/>
  <c r="S940" i="4" s="1"/>
  <c r="P940" i="4"/>
  <c r="Q940" i="4" s="1"/>
  <c r="N940" i="4"/>
  <c r="O940" i="4" s="1"/>
  <c r="M940" i="4"/>
  <c r="K940" i="4"/>
  <c r="L940" i="4" s="1"/>
  <c r="J940" i="4"/>
  <c r="H940" i="4"/>
  <c r="I940" i="4" s="1"/>
  <c r="G940" i="4"/>
  <c r="F940" i="4"/>
  <c r="E940" i="4"/>
  <c r="D940" i="4"/>
  <c r="C940" i="4"/>
  <c r="B940" i="4"/>
  <c r="A940" i="4"/>
  <c r="AG940" i="4" s="1"/>
  <c r="AC939" i="4"/>
  <c r="AB939" i="4"/>
  <c r="AA939" i="4"/>
  <c r="Z939" i="4"/>
  <c r="Y939" i="4"/>
  <c r="X939" i="4"/>
  <c r="W939" i="4"/>
  <c r="V939" i="4"/>
  <c r="T939" i="4"/>
  <c r="U939" i="4" s="1"/>
  <c r="R939" i="4"/>
  <c r="S939" i="4" s="1"/>
  <c r="P939" i="4"/>
  <c r="Q939" i="4" s="1"/>
  <c r="N939" i="4"/>
  <c r="O939" i="4" s="1"/>
  <c r="M939" i="4"/>
  <c r="K939" i="4"/>
  <c r="L939" i="4" s="1"/>
  <c r="J939" i="4"/>
  <c r="H939" i="4"/>
  <c r="I939" i="4" s="1"/>
  <c r="G939" i="4"/>
  <c r="F939" i="4"/>
  <c r="E939" i="4"/>
  <c r="D939" i="4"/>
  <c r="C939" i="4"/>
  <c r="B939" i="4"/>
  <c r="A939" i="4"/>
  <c r="AG939" i="4" s="1"/>
  <c r="AC938" i="4"/>
  <c r="AB938" i="4"/>
  <c r="AA938" i="4"/>
  <c r="Z938" i="4"/>
  <c r="Y938" i="4"/>
  <c r="X938" i="4"/>
  <c r="W938" i="4"/>
  <c r="V938" i="4"/>
  <c r="T938" i="4"/>
  <c r="U938" i="4" s="1"/>
  <c r="R938" i="4"/>
  <c r="S938" i="4" s="1"/>
  <c r="P938" i="4"/>
  <c r="Q938" i="4" s="1"/>
  <c r="N938" i="4"/>
  <c r="O938" i="4" s="1"/>
  <c r="M938" i="4"/>
  <c r="K938" i="4"/>
  <c r="L938" i="4" s="1"/>
  <c r="J938" i="4"/>
  <c r="H938" i="4"/>
  <c r="I938" i="4" s="1"/>
  <c r="G938" i="4"/>
  <c r="F938" i="4"/>
  <c r="E938" i="4"/>
  <c r="D938" i="4"/>
  <c r="C938" i="4"/>
  <c r="B938" i="4"/>
  <c r="A938" i="4"/>
  <c r="AG938" i="4" s="1"/>
  <c r="AC937" i="4"/>
  <c r="AB937" i="4"/>
  <c r="AA937" i="4"/>
  <c r="Z937" i="4"/>
  <c r="Y937" i="4"/>
  <c r="X937" i="4"/>
  <c r="W937" i="4"/>
  <c r="V937" i="4"/>
  <c r="T937" i="4"/>
  <c r="U937" i="4" s="1"/>
  <c r="R937" i="4"/>
  <c r="S937" i="4" s="1"/>
  <c r="P937" i="4"/>
  <c r="Q937" i="4" s="1"/>
  <c r="N937" i="4"/>
  <c r="O937" i="4" s="1"/>
  <c r="M937" i="4"/>
  <c r="K937" i="4"/>
  <c r="L937" i="4" s="1"/>
  <c r="J937" i="4"/>
  <c r="H937" i="4"/>
  <c r="I937" i="4" s="1"/>
  <c r="G937" i="4"/>
  <c r="F937" i="4"/>
  <c r="E937" i="4"/>
  <c r="D937" i="4"/>
  <c r="C937" i="4"/>
  <c r="B937" i="4"/>
  <c r="A937" i="4"/>
  <c r="AC936" i="4"/>
  <c r="AB936" i="4"/>
  <c r="AA936" i="4"/>
  <c r="Z936" i="4"/>
  <c r="Y936" i="4"/>
  <c r="X936" i="4"/>
  <c r="W936" i="4"/>
  <c r="V936" i="4"/>
  <c r="T936" i="4"/>
  <c r="U936" i="4" s="1"/>
  <c r="R936" i="4"/>
  <c r="S936" i="4" s="1"/>
  <c r="P936" i="4"/>
  <c r="Q936" i="4" s="1"/>
  <c r="N936" i="4"/>
  <c r="O936" i="4" s="1"/>
  <c r="M936" i="4"/>
  <c r="K936" i="4"/>
  <c r="L936" i="4" s="1"/>
  <c r="J936" i="4"/>
  <c r="I936" i="4"/>
  <c r="H936" i="4"/>
  <c r="G936" i="4"/>
  <c r="F936" i="4"/>
  <c r="E936" i="4"/>
  <c r="D936" i="4"/>
  <c r="C936" i="4"/>
  <c r="B936" i="4"/>
  <c r="A936" i="4"/>
  <c r="AC935" i="4"/>
  <c r="AB935" i="4"/>
  <c r="AA935" i="4"/>
  <c r="Z935" i="4"/>
  <c r="Y935" i="4"/>
  <c r="X935" i="4"/>
  <c r="W935" i="4"/>
  <c r="V935" i="4"/>
  <c r="T935" i="4"/>
  <c r="U935" i="4" s="1"/>
  <c r="R935" i="4"/>
  <c r="S935" i="4" s="1"/>
  <c r="P935" i="4"/>
  <c r="Q935" i="4" s="1"/>
  <c r="N935" i="4"/>
  <c r="O935" i="4" s="1"/>
  <c r="M935" i="4"/>
  <c r="K935" i="4"/>
  <c r="L935" i="4" s="1"/>
  <c r="J935" i="4"/>
  <c r="I935" i="4"/>
  <c r="H935" i="4"/>
  <c r="G935" i="4"/>
  <c r="F935" i="4"/>
  <c r="E935" i="4"/>
  <c r="D935" i="4"/>
  <c r="C935" i="4"/>
  <c r="B935" i="4"/>
  <c r="A935" i="4"/>
  <c r="AF935" i="4" s="1"/>
  <c r="AC934" i="4"/>
  <c r="AB934" i="4"/>
  <c r="AA934" i="4"/>
  <c r="Z934" i="4"/>
  <c r="Y934" i="4"/>
  <c r="X934" i="4"/>
  <c r="W934" i="4"/>
  <c r="V934" i="4"/>
  <c r="T934" i="4"/>
  <c r="U934" i="4" s="1"/>
  <c r="R934" i="4"/>
  <c r="S934" i="4" s="1"/>
  <c r="P934" i="4"/>
  <c r="Q934" i="4" s="1"/>
  <c r="N934" i="4"/>
  <c r="O934" i="4" s="1"/>
  <c r="M934" i="4"/>
  <c r="K934" i="4"/>
  <c r="L934" i="4" s="1"/>
  <c r="J934" i="4"/>
  <c r="H934" i="4"/>
  <c r="I934" i="4" s="1"/>
  <c r="G934" i="4"/>
  <c r="F934" i="4"/>
  <c r="E934" i="4"/>
  <c r="D934" i="4"/>
  <c r="C934" i="4"/>
  <c r="B934" i="4"/>
  <c r="A934" i="4"/>
  <c r="AC933" i="4"/>
  <c r="AB933" i="4"/>
  <c r="AA933" i="4"/>
  <c r="Z933" i="4"/>
  <c r="Y933" i="4"/>
  <c r="X933" i="4"/>
  <c r="W933" i="4"/>
  <c r="V933" i="4"/>
  <c r="T933" i="4"/>
  <c r="U933" i="4" s="1"/>
  <c r="R933" i="4"/>
  <c r="S933" i="4" s="1"/>
  <c r="P933" i="4"/>
  <c r="Q933" i="4" s="1"/>
  <c r="N933" i="4"/>
  <c r="O933" i="4" s="1"/>
  <c r="M933" i="4"/>
  <c r="K933" i="4"/>
  <c r="L933" i="4" s="1"/>
  <c r="J933" i="4"/>
  <c r="H933" i="4"/>
  <c r="I933" i="4" s="1"/>
  <c r="G933" i="4"/>
  <c r="F933" i="4"/>
  <c r="E933" i="4"/>
  <c r="D933" i="4"/>
  <c r="C933" i="4"/>
  <c r="B933" i="4"/>
  <c r="A933" i="4"/>
  <c r="AD933" i="4" s="1"/>
  <c r="AE933" i="4" s="1"/>
  <c r="AC932" i="4"/>
  <c r="AB932" i="4"/>
  <c r="AA932" i="4"/>
  <c r="Z932" i="4"/>
  <c r="Y932" i="4"/>
  <c r="X932" i="4"/>
  <c r="W932" i="4"/>
  <c r="V932" i="4"/>
  <c r="T932" i="4"/>
  <c r="U932" i="4" s="1"/>
  <c r="R932" i="4"/>
  <c r="S932" i="4" s="1"/>
  <c r="P932" i="4"/>
  <c r="Q932" i="4" s="1"/>
  <c r="N932" i="4"/>
  <c r="O932" i="4" s="1"/>
  <c r="M932" i="4"/>
  <c r="K932" i="4"/>
  <c r="L932" i="4" s="1"/>
  <c r="J932" i="4"/>
  <c r="H932" i="4"/>
  <c r="I932" i="4" s="1"/>
  <c r="G932" i="4"/>
  <c r="F932" i="4"/>
  <c r="E932" i="4"/>
  <c r="D932" i="4"/>
  <c r="C932" i="4"/>
  <c r="B932" i="4"/>
  <c r="A932" i="4"/>
  <c r="AC931" i="4"/>
  <c r="AB931" i="4"/>
  <c r="AA931" i="4"/>
  <c r="Z931" i="4"/>
  <c r="Y931" i="4"/>
  <c r="X931" i="4"/>
  <c r="W931" i="4"/>
  <c r="V931" i="4"/>
  <c r="T931" i="4"/>
  <c r="U931" i="4" s="1"/>
  <c r="R931" i="4"/>
  <c r="S931" i="4" s="1"/>
  <c r="P931" i="4"/>
  <c r="Q931" i="4" s="1"/>
  <c r="N931" i="4"/>
  <c r="O931" i="4" s="1"/>
  <c r="M931" i="4"/>
  <c r="K931" i="4"/>
  <c r="L931" i="4" s="1"/>
  <c r="J931" i="4"/>
  <c r="H931" i="4"/>
  <c r="I931" i="4" s="1"/>
  <c r="G931" i="4"/>
  <c r="F931" i="4"/>
  <c r="E931" i="4"/>
  <c r="D931" i="4"/>
  <c r="C931" i="4"/>
  <c r="B931" i="4"/>
  <c r="A931" i="4"/>
  <c r="AC930" i="4"/>
  <c r="AB930" i="4"/>
  <c r="AA930" i="4"/>
  <c r="Z930" i="4"/>
  <c r="Y930" i="4"/>
  <c r="X930" i="4"/>
  <c r="W930" i="4"/>
  <c r="V930" i="4"/>
  <c r="T930" i="4"/>
  <c r="U930" i="4" s="1"/>
  <c r="R930" i="4"/>
  <c r="S930" i="4" s="1"/>
  <c r="P930" i="4"/>
  <c r="Q930" i="4" s="1"/>
  <c r="N930" i="4"/>
  <c r="O930" i="4" s="1"/>
  <c r="M930" i="4"/>
  <c r="K930" i="4"/>
  <c r="L930" i="4" s="1"/>
  <c r="J930" i="4"/>
  <c r="H930" i="4"/>
  <c r="I930" i="4" s="1"/>
  <c r="G930" i="4"/>
  <c r="F930" i="4"/>
  <c r="E930" i="4"/>
  <c r="D930" i="4"/>
  <c r="C930" i="4"/>
  <c r="B930" i="4"/>
  <c r="A930" i="4"/>
  <c r="AG930" i="4" s="1"/>
  <c r="AC929" i="4"/>
  <c r="AB929" i="4"/>
  <c r="AA929" i="4"/>
  <c r="Z929" i="4"/>
  <c r="Y929" i="4"/>
  <c r="X929" i="4"/>
  <c r="W929" i="4"/>
  <c r="V929" i="4"/>
  <c r="T929" i="4"/>
  <c r="U929" i="4" s="1"/>
  <c r="R929" i="4"/>
  <c r="S929" i="4" s="1"/>
  <c r="P929" i="4"/>
  <c r="Q929" i="4" s="1"/>
  <c r="N929" i="4"/>
  <c r="O929" i="4" s="1"/>
  <c r="M929" i="4"/>
  <c r="K929" i="4"/>
  <c r="L929" i="4" s="1"/>
  <c r="J929" i="4"/>
  <c r="H929" i="4"/>
  <c r="I929" i="4" s="1"/>
  <c r="G929" i="4"/>
  <c r="F929" i="4"/>
  <c r="E929" i="4"/>
  <c r="D929" i="4"/>
  <c r="C929" i="4"/>
  <c r="B929" i="4"/>
  <c r="A929" i="4"/>
  <c r="AD929" i="4" s="1"/>
  <c r="AE929" i="4" s="1"/>
  <c r="AC928" i="4"/>
  <c r="AB928" i="4"/>
  <c r="AA928" i="4"/>
  <c r="Z928" i="4"/>
  <c r="Y928" i="4"/>
  <c r="X928" i="4"/>
  <c r="W928" i="4"/>
  <c r="V928" i="4"/>
  <c r="T928" i="4"/>
  <c r="U928" i="4" s="1"/>
  <c r="R928" i="4"/>
  <c r="S928" i="4" s="1"/>
  <c r="P928" i="4"/>
  <c r="Q928" i="4" s="1"/>
  <c r="N928" i="4"/>
  <c r="O928" i="4" s="1"/>
  <c r="M928" i="4"/>
  <c r="K928" i="4"/>
  <c r="L928" i="4" s="1"/>
  <c r="J928" i="4"/>
  <c r="H928" i="4"/>
  <c r="I928" i="4" s="1"/>
  <c r="G928" i="4"/>
  <c r="F928" i="4"/>
  <c r="E928" i="4"/>
  <c r="D928" i="4"/>
  <c r="C928" i="4"/>
  <c r="B928" i="4"/>
  <c r="A928" i="4"/>
  <c r="AD928" i="4" s="1"/>
  <c r="AE928" i="4" s="1"/>
  <c r="AC927" i="4"/>
  <c r="AB927" i="4"/>
  <c r="AA927" i="4"/>
  <c r="Z927" i="4"/>
  <c r="Y927" i="4"/>
  <c r="X927" i="4"/>
  <c r="W927" i="4"/>
  <c r="V927" i="4"/>
  <c r="T927" i="4"/>
  <c r="U927" i="4" s="1"/>
  <c r="R927" i="4"/>
  <c r="S927" i="4" s="1"/>
  <c r="P927" i="4"/>
  <c r="Q927" i="4" s="1"/>
  <c r="N927" i="4"/>
  <c r="O927" i="4" s="1"/>
  <c r="M927" i="4"/>
  <c r="K927" i="4"/>
  <c r="L927" i="4" s="1"/>
  <c r="J927" i="4"/>
  <c r="H927" i="4"/>
  <c r="I927" i="4" s="1"/>
  <c r="G927" i="4"/>
  <c r="F927" i="4"/>
  <c r="E927" i="4"/>
  <c r="D927" i="4"/>
  <c r="C927" i="4"/>
  <c r="B927" i="4"/>
  <c r="A927" i="4"/>
  <c r="AC926" i="4"/>
  <c r="AB926" i="4"/>
  <c r="AA926" i="4"/>
  <c r="Z926" i="4"/>
  <c r="Y926" i="4"/>
  <c r="X926" i="4"/>
  <c r="W926" i="4"/>
  <c r="V926" i="4"/>
  <c r="T926" i="4"/>
  <c r="U926" i="4" s="1"/>
  <c r="R926" i="4"/>
  <c r="S926" i="4" s="1"/>
  <c r="P926" i="4"/>
  <c r="Q926" i="4" s="1"/>
  <c r="N926" i="4"/>
  <c r="O926" i="4" s="1"/>
  <c r="M926" i="4"/>
  <c r="K926" i="4"/>
  <c r="L926" i="4" s="1"/>
  <c r="J926" i="4"/>
  <c r="H926" i="4"/>
  <c r="I926" i="4" s="1"/>
  <c r="G926" i="4"/>
  <c r="F926" i="4"/>
  <c r="E926" i="4"/>
  <c r="D926" i="4"/>
  <c r="C926" i="4"/>
  <c r="B926" i="4"/>
  <c r="A926" i="4"/>
  <c r="AG926" i="4" s="1"/>
  <c r="AC925" i="4"/>
  <c r="AB925" i="4"/>
  <c r="AA925" i="4"/>
  <c r="Z925" i="4"/>
  <c r="Y925" i="4"/>
  <c r="X925" i="4"/>
  <c r="W925" i="4"/>
  <c r="V925" i="4"/>
  <c r="T925" i="4"/>
  <c r="U925" i="4" s="1"/>
  <c r="R925" i="4"/>
  <c r="S925" i="4" s="1"/>
  <c r="P925" i="4"/>
  <c r="Q925" i="4" s="1"/>
  <c r="N925" i="4"/>
  <c r="O925" i="4" s="1"/>
  <c r="M925" i="4"/>
  <c r="K925" i="4"/>
  <c r="L925" i="4" s="1"/>
  <c r="J925" i="4"/>
  <c r="H925" i="4"/>
  <c r="I925" i="4" s="1"/>
  <c r="G925" i="4"/>
  <c r="F925" i="4"/>
  <c r="E925" i="4"/>
  <c r="D925" i="4"/>
  <c r="C925" i="4"/>
  <c r="B925" i="4"/>
  <c r="A925" i="4"/>
  <c r="AC924" i="4"/>
  <c r="AB924" i="4"/>
  <c r="AA924" i="4"/>
  <c r="Z924" i="4"/>
  <c r="Y924" i="4"/>
  <c r="X924" i="4"/>
  <c r="W924" i="4"/>
  <c r="V924" i="4"/>
  <c r="T924" i="4"/>
  <c r="U924" i="4" s="1"/>
  <c r="R924" i="4"/>
  <c r="S924" i="4" s="1"/>
  <c r="P924" i="4"/>
  <c r="Q924" i="4" s="1"/>
  <c r="N924" i="4"/>
  <c r="O924" i="4" s="1"/>
  <c r="M924" i="4"/>
  <c r="K924" i="4"/>
  <c r="L924" i="4" s="1"/>
  <c r="J924" i="4"/>
  <c r="H924" i="4"/>
  <c r="I924" i="4" s="1"/>
  <c r="G924" i="4"/>
  <c r="F924" i="4"/>
  <c r="E924" i="4"/>
  <c r="D924" i="4"/>
  <c r="C924" i="4"/>
  <c r="B924" i="4"/>
  <c r="A924" i="4"/>
  <c r="AG924" i="4" s="1"/>
  <c r="AC923" i="4"/>
  <c r="AB923" i="4"/>
  <c r="AA923" i="4"/>
  <c r="Z923" i="4"/>
  <c r="Y923" i="4"/>
  <c r="X923" i="4"/>
  <c r="W923" i="4"/>
  <c r="V923" i="4"/>
  <c r="T923" i="4"/>
  <c r="U923" i="4" s="1"/>
  <c r="S923" i="4"/>
  <c r="R923" i="4"/>
  <c r="P923" i="4"/>
  <c r="Q923" i="4" s="1"/>
  <c r="N923" i="4"/>
  <c r="O923" i="4" s="1"/>
  <c r="M923" i="4"/>
  <c r="K923" i="4"/>
  <c r="L923" i="4" s="1"/>
  <c r="J923" i="4"/>
  <c r="H923" i="4"/>
  <c r="I923" i="4" s="1"/>
  <c r="G923" i="4"/>
  <c r="F923" i="4"/>
  <c r="E923" i="4"/>
  <c r="D923" i="4"/>
  <c r="C923" i="4"/>
  <c r="B923" i="4"/>
  <c r="A923" i="4"/>
  <c r="AG922" i="4"/>
  <c r="AC922" i="4"/>
  <c r="AB922" i="4"/>
  <c r="AA922" i="4"/>
  <c r="Z922" i="4"/>
  <c r="Y922" i="4"/>
  <c r="X922" i="4"/>
  <c r="W922" i="4"/>
  <c r="V922" i="4"/>
  <c r="T922" i="4"/>
  <c r="U922" i="4" s="1"/>
  <c r="R922" i="4"/>
  <c r="S922" i="4" s="1"/>
  <c r="P922" i="4"/>
  <c r="Q922" i="4" s="1"/>
  <c r="N922" i="4"/>
  <c r="O922" i="4" s="1"/>
  <c r="M922" i="4"/>
  <c r="K922" i="4"/>
  <c r="L922" i="4" s="1"/>
  <c r="J922" i="4"/>
  <c r="H922" i="4"/>
  <c r="I922" i="4" s="1"/>
  <c r="G922" i="4"/>
  <c r="F922" i="4"/>
  <c r="E922" i="4"/>
  <c r="D922" i="4"/>
  <c r="C922" i="4"/>
  <c r="B922" i="4"/>
  <c r="A922" i="4"/>
  <c r="AF922" i="4" s="1"/>
  <c r="AC921" i="4"/>
  <c r="AB921" i="4"/>
  <c r="AA921" i="4"/>
  <c r="Z921" i="4"/>
  <c r="Y921" i="4"/>
  <c r="X921" i="4"/>
  <c r="W921" i="4"/>
  <c r="V921" i="4"/>
  <c r="U921" i="4"/>
  <c r="T921" i="4"/>
  <c r="R921" i="4"/>
  <c r="S921" i="4" s="1"/>
  <c r="P921" i="4"/>
  <c r="Q921" i="4" s="1"/>
  <c r="N921" i="4"/>
  <c r="O921" i="4" s="1"/>
  <c r="M921" i="4"/>
  <c r="K921" i="4"/>
  <c r="L921" i="4" s="1"/>
  <c r="J921" i="4"/>
  <c r="H921" i="4"/>
  <c r="I921" i="4" s="1"/>
  <c r="G921" i="4"/>
  <c r="F921" i="4"/>
  <c r="E921" i="4"/>
  <c r="D921" i="4"/>
  <c r="C921" i="4"/>
  <c r="B921" i="4"/>
  <c r="A921" i="4"/>
  <c r="AD921" i="4" s="1"/>
  <c r="AE921" i="4" s="1"/>
  <c r="AC920" i="4"/>
  <c r="AB920" i="4"/>
  <c r="AA920" i="4"/>
  <c r="Z920" i="4"/>
  <c r="Y920" i="4"/>
  <c r="X920" i="4"/>
  <c r="W920" i="4"/>
  <c r="V920" i="4"/>
  <c r="T920" i="4"/>
  <c r="U920" i="4" s="1"/>
  <c r="R920" i="4"/>
  <c r="S920" i="4" s="1"/>
  <c r="P920" i="4"/>
  <c r="Q920" i="4" s="1"/>
  <c r="N920" i="4"/>
  <c r="O920" i="4" s="1"/>
  <c r="M920" i="4"/>
  <c r="K920" i="4"/>
  <c r="L920" i="4" s="1"/>
  <c r="J920" i="4"/>
  <c r="H920" i="4"/>
  <c r="I920" i="4" s="1"/>
  <c r="G920" i="4"/>
  <c r="F920" i="4"/>
  <c r="E920" i="4"/>
  <c r="D920" i="4"/>
  <c r="C920" i="4"/>
  <c r="B920" i="4"/>
  <c r="A920" i="4"/>
  <c r="AC919" i="4"/>
  <c r="AB919" i="4"/>
  <c r="AA919" i="4"/>
  <c r="Z919" i="4"/>
  <c r="Y919" i="4"/>
  <c r="X919" i="4"/>
  <c r="W919" i="4"/>
  <c r="V919" i="4"/>
  <c r="T919" i="4"/>
  <c r="U919" i="4" s="1"/>
  <c r="R919" i="4"/>
  <c r="S919" i="4" s="1"/>
  <c r="P919" i="4"/>
  <c r="Q919" i="4" s="1"/>
  <c r="N919" i="4"/>
  <c r="O919" i="4" s="1"/>
  <c r="M919" i="4"/>
  <c r="K919" i="4"/>
  <c r="L919" i="4" s="1"/>
  <c r="J919" i="4"/>
  <c r="H919" i="4"/>
  <c r="I919" i="4" s="1"/>
  <c r="G919" i="4"/>
  <c r="F919" i="4"/>
  <c r="E919" i="4"/>
  <c r="D919" i="4"/>
  <c r="C919" i="4"/>
  <c r="B919" i="4"/>
  <c r="A919" i="4"/>
  <c r="AC918" i="4"/>
  <c r="AB918" i="4"/>
  <c r="AA918" i="4"/>
  <c r="Z918" i="4"/>
  <c r="Y918" i="4"/>
  <c r="X918" i="4"/>
  <c r="W918" i="4"/>
  <c r="V918" i="4"/>
  <c r="T918" i="4"/>
  <c r="U918" i="4" s="1"/>
  <c r="R918" i="4"/>
  <c r="S918" i="4" s="1"/>
  <c r="P918" i="4"/>
  <c r="Q918" i="4" s="1"/>
  <c r="N918" i="4"/>
  <c r="O918" i="4" s="1"/>
  <c r="M918" i="4"/>
  <c r="K918" i="4"/>
  <c r="L918" i="4" s="1"/>
  <c r="J918" i="4"/>
  <c r="H918" i="4"/>
  <c r="I918" i="4" s="1"/>
  <c r="G918" i="4"/>
  <c r="F918" i="4"/>
  <c r="E918" i="4"/>
  <c r="D918" i="4"/>
  <c r="C918" i="4"/>
  <c r="B918" i="4"/>
  <c r="A918" i="4"/>
  <c r="AG918" i="4" s="1"/>
  <c r="AC917" i="4"/>
  <c r="AB917" i="4"/>
  <c r="AA917" i="4"/>
  <c r="Z917" i="4"/>
  <c r="Y917" i="4"/>
  <c r="X917" i="4"/>
  <c r="W917" i="4"/>
  <c r="V917" i="4"/>
  <c r="T917" i="4"/>
  <c r="U917" i="4" s="1"/>
  <c r="R917" i="4"/>
  <c r="S917" i="4" s="1"/>
  <c r="P917" i="4"/>
  <c r="Q917" i="4" s="1"/>
  <c r="N917" i="4"/>
  <c r="O917" i="4" s="1"/>
  <c r="M917" i="4"/>
  <c r="K917" i="4"/>
  <c r="L917" i="4" s="1"/>
  <c r="J917" i="4"/>
  <c r="H917" i="4"/>
  <c r="I917" i="4" s="1"/>
  <c r="G917" i="4"/>
  <c r="F917" i="4"/>
  <c r="E917" i="4"/>
  <c r="D917" i="4"/>
  <c r="C917" i="4"/>
  <c r="B917" i="4"/>
  <c r="A917" i="4"/>
  <c r="AF917" i="4" s="1"/>
  <c r="AC916" i="4"/>
  <c r="AB916" i="4"/>
  <c r="AA916" i="4"/>
  <c r="Z916" i="4"/>
  <c r="Y916" i="4"/>
  <c r="X916" i="4"/>
  <c r="W916" i="4"/>
  <c r="V916" i="4"/>
  <c r="T916" i="4"/>
  <c r="U916" i="4" s="1"/>
  <c r="R916" i="4"/>
  <c r="S916" i="4" s="1"/>
  <c r="P916" i="4"/>
  <c r="Q916" i="4" s="1"/>
  <c r="N916" i="4"/>
  <c r="O916" i="4" s="1"/>
  <c r="M916" i="4"/>
  <c r="K916" i="4"/>
  <c r="L916" i="4" s="1"/>
  <c r="J916" i="4"/>
  <c r="H916" i="4"/>
  <c r="I916" i="4" s="1"/>
  <c r="G916" i="4"/>
  <c r="F916" i="4"/>
  <c r="E916" i="4"/>
  <c r="D916" i="4"/>
  <c r="C916" i="4"/>
  <c r="B916" i="4"/>
  <c r="A916" i="4"/>
  <c r="AD916" i="4" s="1"/>
  <c r="AE916" i="4" s="1"/>
  <c r="AC915" i="4"/>
  <c r="AB915" i="4"/>
  <c r="AA915" i="4"/>
  <c r="Z915" i="4"/>
  <c r="Y915" i="4"/>
  <c r="X915" i="4"/>
  <c r="W915" i="4"/>
  <c r="V915" i="4"/>
  <c r="T915" i="4"/>
  <c r="U915" i="4" s="1"/>
  <c r="R915" i="4"/>
  <c r="S915" i="4" s="1"/>
  <c r="P915" i="4"/>
  <c r="Q915" i="4" s="1"/>
  <c r="N915" i="4"/>
  <c r="O915" i="4" s="1"/>
  <c r="M915" i="4"/>
  <c r="K915" i="4"/>
  <c r="L915" i="4" s="1"/>
  <c r="J915" i="4"/>
  <c r="H915" i="4"/>
  <c r="I915" i="4" s="1"/>
  <c r="G915" i="4"/>
  <c r="F915" i="4"/>
  <c r="E915" i="4"/>
  <c r="D915" i="4"/>
  <c r="C915" i="4"/>
  <c r="B915" i="4"/>
  <c r="A915" i="4"/>
  <c r="AC914" i="4"/>
  <c r="AB914" i="4"/>
  <c r="AA914" i="4"/>
  <c r="Z914" i="4"/>
  <c r="Y914" i="4"/>
  <c r="X914" i="4"/>
  <c r="W914" i="4"/>
  <c r="V914" i="4"/>
  <c r="T914" i="4"/>
  <c r="U914" i="4" s="1"/>
  <c r="R914" i="4"/>
  <c r="S914" i="4" s="1"/>
  <c r="P914" i="4"/>
  <c r="Q914" i="4" s="1"/>
  <c r="N914" i="4"/>
  <c r="O914" i="4" s="1"/>
  <c r="M914" i="4"/>
  <c r="K914" i="4"/>
  <c r="L914" i="4" s="1"/>
  <c r="J914" i="4"/>
  <c r="H914" i="4"/>
  <c r="I914" i="4" s="1"/>
  <c r="G914" i="4"/>
  <c r="F914" i="4"/>
  <c r="E914" i="4"/>
  <c r="D914" i="4"/>
  <c r="C914" i="4"/>
  <c r="B914" i="4"/>
  <c r="A914" i="4"/>
  <c r="AC913" i="4"/>
  <c r="AB913" i="4"/>
  <c r="AA913" i="4"/>
  <c r="Z913" i="4"/>
  <c r="Y913" i="4"/>
  <c r="X913" i="4"/>
  <c r="W913" i="4"/>
  <c r="V913" i="4"/>
  <c r="T913" i="4"/>
  <c r="U913" i="4" s="1"/>
  <c r="R913" i="4"/>
  <c r="S913" i="4" s="1"/>
  <c r="P913" i="4"/>
  <c r="Q913" i="4" s="1"/>
  <c r="N913" i="4"/>
  <c r="O913" i="4" s="1"/>
  <c r="M913" i="4"/>
  <c r="L913" i="4"/>
  <c r="K913" i="4"/>
  <c r="J913" i="4"/>
  <c r="H913" i="4"/>
  <c r="I913" i="4" s="1"/>
  <c r="G913" i="4"/>
  <c r="F913" i="4"/>
  <c r="E913" i="4"/>
  <c r="D913" i="4"/>
  <c r="C913" i="4"/>
  <c r="B913" i="4"/>
  <c r="A913" i="4"/>
  <c r="AD913" i="4" s="1"/>
  <c r="AE913" i="4" s="1"/>
  <c r="AC912" i="4"/>
  <c r="AB912" i="4"/>
  <c r="AA912" i="4"/>
  <c r="Z912" i="4"/>
  <c r="Y912" i="4"/>
  <c r="X912" i="4"/>
  <c r="W912" i="4"/>
  <c r="V912" i="4"/>
  <c r="U912" i="4"/>
  <c r="T912" i="4"/>
  <c r="R912" i="4"/>
  <c r="S912" i="4" s="1"/>
  <c r="P912" i="4"/>
  <c r="Q912" i="4" s="1"/>
  <c r="N912" i="4"/>
  <c r="O912" i="4" s="1"/>
  <c r="M912" i="4"/>
  <c r="K912" i="4"/>
  <c r="L912" i="4" s="1"/>
  <c r="J912" i="4"/>
  <c r="H912" i="4"/>
  <c r="I912" i="4" s="1"/>
  <c r="G912" i="4"/>
  <c r="F912" i="4"/>
  <c r="E912" i="4"/>
  <c r="D912" i="4"/>
  <c r="C912" i="4"/>
  <c r="B912" i="4"/>
  <c r="A912" i="4"/>
  <c r="AF912" i="4" s="1"/>
  <c r="AC911" i="4"/>
  <c r="AB911" i="4"/>
  <c r="AA911" i="4"/>
  <c r="Z911" i="4"/>
  <c r="Y911" i="4"/>
  <c r="X911" i="4"/>
  <c r="W911" i="4"/>
  <c r="V911" i="4"/>
  <c r="T911" i="4"/>
  <c r="U911" i="4" s="1"/>
  <c r="R911" i="4"/>
  <c r="S911" i="4" s="1"/>
  <c r="P911" i="4"/>
  <c r="Q911" i="4" s="1"/>
  <c r="N911" i="4"/>
  <c r="O911" i="4" s="1"/>
  <c r="M911" i="4"/>
  <c r="L911" i="4"/>
  <c r="K911" i="4"/>
  <c r="J911" i="4"/>
  <c r="H911" i="4"/>
  <c r="I911" i="4" s="1"/>
  <c r="G911" i="4"/>
  <c r="F911" i="4"/>
  <c r="E911" i="4"/>
  <c r="D911" i="4"/>
  <c r="C911" i="4"/>
  <c r="B911" i="4"/>
  <c r="A911" i="4"/>
  <c r="AG911" i="4" s="1"/>
  <c r="AC910" i="4"/>
  <c r="AB910" i="4"/>
  <c r="AA910" i="4"/>
  <c r="Z910" i="4"/>
  <c r="Y910" i="4"/>
  <c r="X910" i="4"/>
  <c r="W910" i="4"/>
  <c r="V910" i="4"/>
  <c r="T910" i="4"/>
  <c r="U910" i="4" s="1"/>
  <c r="R910" i="4"/>
  <c r="S910" i="4" s="1"/>
  <c r="P910" i="4"/>
  <c r="Q910" i="4" s="1"/>
  <c r="N910" i="4"/>
  <c r="O910" i="4" s="1"/>
  <c r="M910" i="4"/>
  <c r="K910" i="4"/>
  <c r="L910" i="4" s="1"/>
  <c r="J910" i="4"/>
  <c r="H910" i="4"/>
  <c r="I910" i="4" s="1"/>
  <c r="G910" i="4"/>
  <c r="F910" i="4"/>
  <c r="E910" i="4"/>
  <c r="D910" i="4"/>
  <c r="C910" i="4"/>
  <c r="B910" i="4"/>
  <c r="A910" i="4"/>
  <c r="AG910" i="4" s="1"/>
  <c r="AC909" i="4"/>
  <c r="AB909" i="4"/>
  <c r="AA909" i="4"/>
  <c r="Z909" i="4"/>
  <c r="Y909" i="4"/>
  <c r="X909" i="4"/>
  <c r="W909" i="4"/>
  <c r="V909" i="4"/>
  <c r="T909" i="4"/>
  <c r="U909" i="4" s="1"/>
  <c r="R909" i="4"/>
  <c r="S909" i="4" s="1"/>
  <c r="P909" i="4"/>
  <c r="Q909" i="4" s="1"/>
  <c r="N909" i="4"/>
  <c r="O909" i="4" s="1"/>
  <c r="M909" i="4"/>
  <c r="K909" i="4"/>
  <c r="L909" i="4" s="1"/>
  <c r="J909" i="4"/>
  <c r="H909" i="4"/>
  <c r="I909" i="4" s="1"/>
  <c r="G909" i="4"/>
  <c r="F909" i="4"/>
  <c r="E909" i="4"/>
  <c r="D909" i="4"/>
  <c r="C909" i="4"/>
  <c r="B909" i="4"/>
  <c r="A909" i="4"/>
  <c r="AF909" i="4" s="1"/>
  <c r="AC908" i="4"/>
  <c r="AB908" i="4"/>
  <c r="AA908" i="4"/>
  <c r="Z908" i="4"/>
  <c r="Y908" i="4"/>
  <c r="X908" i="4"/>
  <c r="W908" i="4"/>
  <c r="V908" i="4"/>
  <c r="T908" i="4"/>
  <c r="U908" i="4" s="1"/>
  <c r="R908" i="4"/>
  <c r="S908" i="4" s="1"/>
  <c r="P908" i="4"/>
  <c r="Q908" i="4" s="1"/>
  <c r="N908" i="4"/>
  <c r="O908" i="4" s="1"/>
  <c r="M908" i="4"/>
  <c r="K908" i="4"/>
  <c r="L908" i="4" s="1"/>
  <c r="J908" i="4"/>
  <c r="H908" i="4"/>
  <c r="I908" i="4" s="1"/>
  <c r="G908" i="4"/>
  <c r="F908" i="4"/>
  <c r="E908" i="4"/>
  <c r="D908" i="4"/>
  <c r="C908" i="4"/>
  <c r="B908" i="4"/>
  <c r="A908" i="4"/>
  <c r="AD908" i="4" s="1"/>
  <c r="AE908" i="4" s="1"/>
  <c r="AC907" i="4"/>
  <c r="AB907" i="4"/>
  <c r="AA907" i="4"/>
  <c r="Z907" i="4"/>
  <c r="Y907" i="4"/>
  <c r="X907" i="4"/>
  <c r="W907" i="4"/>
  <c r="V907" i="4"/>
  <c r="T907" i="4"/>
  <c r="U907" i="4" s="1"/>
  <c r="R907" i="4"/>
  <c r="S907" i="4" s="1"/>
  <c r="P907" i="4"/>
  <c r="Q907" i="4" s="1"/>
  <c r="N907" i="4"/>
  <c r="O907" i="4" s="1"/>
  <c r="M907" i="4"/>
  <c r="L907" i="4"/>
  <c r="K907" i="4"/>
  <c r="J907" i="4"/>
  <c r="H907" i="4"/>
  <c r="I907" i="4" s="1"/>
  <c r="G907" i="4"/>
  <c r="F907" i="4"/>
  <c r="E907" i="4"/>
  <c r="D907" i="4"/>
  <c r="C907" i="4"/>
  <c r="B907" i="4"/>
  <c r="A907" i="4"/>
  <c r="AC906" i="4"/>
  <c r="AB906" i="4"/>
  <c r="AA906" i="4"/>
  <c r="Z906" i="4"/>
  <c r="Y906" i="4"/>
  <c r="X906" i="4"/>
  <c r="W906" i="4"/>
  <c r="V906" i="4"/>
  <c r="T906" i="4"/>
  <c r="U906" i="4" s="1"/>
  <c r="R906" i="4"/>
  <c r="S906" i="4" s="1"/>
  <c r="P906" i="4"/>
  <c r="Q906" i="4" s="1"/>
  <c r="N906" i="4"/>
  <c r="O906" i="4" s="1"/>
  <c r="M906" i="4"/>
  <c r="K906" i="4"/>
  <c r="L906" i="4" s="1"/>
  <c r="J906" i="4"/>
  <c r="H906" i="4"/>
  <c r="I906" i="4" s="1"/>
  <c r="G906" i="4"/>
  <c r="F906" i="4"/>
  <c r="E906" i="4"/>
  <c r="D906" i="4"/>
  <c r="C906" i="4"/>
  <c r="B906" i="4"/>
  <c r="A906" i="4"/>
  <c r="AG906" i="4" s="1"/>
  <c r="AC905" i="4"/>
  <c r="AB905" i="4"/>
  <c r="AA905" i="4"/>
  <c r="Z905" i="4"/>
  <c r="Y905" i="4"/>
  <c r="X905" i="4"/>
  <c r="W905" i="4"/>
  <c r="V905" i="4"/>
  <c r="T905" i="4"/>
  <c r="U905" i="4" s="1"/>
  <c r="R905" i="4"/>
  <c r="S905" i="4" s="1"/>
  <c r="P905" i="4"/>
  <c r="Q905" i="4" s="1"/>
  <c r="N905" i="4"/>
  <c r="O905" i="4" s="1"/>
  <c r="M905" i="4"/>
  <c r="K905" i="4"/>
  <c r="L905" i="4" s="1"/>
  <c r="J905" i="4"/>
  <c r="H905" i="4"/>
  <c r="I905" i="4" s="1"/>
  <c r="G905" i="4"/>
  <c r="F905" i="4"/>
  <c r="E905" i="4"/>
  <c r="D905" i="4"/>
  <c r="C905" i="4"/>
  <c r="B905" i="4"/>
  <c r="A905" i="4"/>
  <c r="AF905" i="4" s="1"/>
  <c r="AC904" i="4"/>
  <c r="AB904" i="4"/>
  <c r="AA904" i="4"/>
  <c r="Z904" i="4"/>
  <c r="Y904" i="4"/>
  <c r="X904" i="4"/>
  <c r="W904" i="4"/>
  <c r="V904" i="4"/>
  <c r="T904" i="4"/>
  <c r="U904" i="4" s="1"/>
  <c r="R904" i="4"/>
  <c r="S904" i="4" s="1"/>
  <c r="P904" i="4"/>
  <c r="Q904" i="4" s="1"/>
  <c r="N904" i="4"/>
  <c r="O904" i="4" s="1"/>
  <c r="M904" i="4"/>
  <c r="K904" i="4"/>
  <c r="L904" i="4" s="1"/>
  <c r="J904" i="4"/>
  <c r="H904" i="4"/>
  <c r="I904" i="4" s="1"/>
  <c r="G904" i="4"/>
  <c r="F904" i="4"/>
  <c r="E904" i="4"/>
  <c r="D904" i="4"/>
  <c r="C904" i="4"/>
  <c r="B904" i="4"/>
  <c r="A904" i="4"/>
  <c r="AG904" i="4" s="1"/>
  <c r="AC903" i="4"/>
  <c r="AB903" i="4"/>
  <c r="AA903" i="4"/>
  <c r="Z903" i="4"/>
  <c r="Y903" i="4"/>
  <c r="X903" i="4"/>
  <c r="W903" i="4"/>
  <c r="V903" i="4"/>
  <c r="T903" i="4"/>
  <c r="U903" i="4" s="1"/>
  <c r="R903" i="4"/>
  <c r="S903" i="4" s="1"/>
  <c r="P903" i="4"/>
  <c r="Q903" i="4" s="1"/>
  <c r="N903" i="4"/>
  <c r="O903" i="4" s="1"/>
  <c r="M903" i="4"/>
  <c r="K903" i="4"/>
  <c r="L903" i="4" s="1"/>
  <c r="J903" i="4"/>
  <c r="H903" i="4"/>
  <c r="I903" i="4" s="1"/>
  <c r="G903" i="4"/>
  <c r="F903" i="4"/>
  <c r="E903" i="4"/>
  <c r="D903" i="4"/>
  <c r="C903" i="4"/>
  <c r="B903" i="4"/>
  <c r="A903" i="4"/>
  <c r="AD903" i="4" s="1"/>
  <c r="AE903" i="4" s="1"/>
  <c r="AC902" i="4"/>
  <c r="AB902" i="4"/>
  <c r="AA902" i="4"/>
  <c r="Z902" i="4"/>
  <c r="Y902" i="4"/>
  <c r="X902" i="4"/>
  <c r="W902" i="4"/>
  <c r="V902" i="4"/>
  <c r="T902" i="4"/>
  <c r="U902" i="4" s="1"/>
  <c r="R902" i="4"/>
  <c r="S902" i="4" s="1"/>
  <c r="Q902" i="4"/>
  <c r="P902" i="4"/>
  <c r="N902" i="4"/>
  <c r="O902" i="4" s="1"/>
  <c r="M902" i="4"/>
  <c r="K902" i="4"/>
  <c r="L902" i="4" s="1"/>
  <c r="J902" i="4"/>
  <c r="H902" i="4"/>
  <c r="I902" i="4" s="1"/>
  <c r="G902" i="4"/>
  <c r="F902" i="4"/>
  <c r="E902" i="4"/>
  <c r="D902" i="4"/>
  <c r="C902" i="4"/>
  <c r="B902" i="4"/>
  <c r="A902" i="4"/>
  <c r="AF902" i="4" s="1"/>
  <c r="AC901" i="4"/>
  <c r="AB901" i="4"/>
  <c r="AA901" i="4"/>
  <c r="Z901" i="4"/>
  <c r="Y901" i="4"/>
  <c r="X901" i="4"/>
  <c r="W901" i="4"/>
  <c r="V901" i="4"/>
  <c r="T901" i="4"/>
  <c r="U901" i="4" s="1"/>
  <c r="R901" i="4"/>
  <c r="S901" i="4" s="1"/>
  <c r="P901" i="4"/>
  <c r="Q901" i="4" s="1"/>
  <c r="N901" i="4"/>
  <c r="O901" i="4" s="1"/>
  <c r="M901" i="4"/>
  <c r="K901" i="4"/>
  <c r="L901" i="4" s="1"/>
  <c r="J901" i="4"/>
  <c r="H901" i="4"/>
  <c r="I901" i="4" s="1"/>
  <c r="G901" i="4"/>
  <c r="F901" i="4"/>
  <c r="E901" i="4"/>
  <c r="D901" i="4"/>
  <c r="C901" i="4"/>
  <c r="B901" i="4"/>
  <c r="A901" i="4"/>
  <c r="AC900" i="4"/>
  <c r="AB900" i="4"/>
  <c r="AA900" i="4"/>
  <c r="Z900" i="4"/>
  <c r="Y900" i="4"/>
  <c r="X900" i="4"/>
  <c r="W900" i="4"/>
  <c r="V900" i="4"/>
  <c r="T900" i="4"/>
  <c r="U900" i="4" s="1"/>
  <c r="R900" i="4"/>
  <c r="S900" i="4" s="1"/>
  <c r="P900" i="4"/>
  <c r="Q900" i="4" s="1"/>
  <c r="N900" i="4"/>
  <c r="O900" i="4" s="1"/>
  <c r="M900" i="4"/>
  <c r="K900" i="4"/>
  <c r="L900" i="4" s="1"/>
  <c r="J900" i="4"/>
  <c r="H900" i="4"/>
  <c r="I900" i="4" s="1"/>
  <c r="G900" i="4"/>
  <c r="F900" i="4"/>
  <c r="E900" i="4"/>
  <c r="D900" i="4"/>
  <c r="C900" i="4"/>
  <c r="B900" i="4"/>
  <c r="A900" i="4"/>
  <c r="AD900" i="4" s="1"/>
  <c r="AE900" i="4" s="1"/>
  <c r="AC899" i="4"/>
  <c r="AB899" i="4"/>
  <c r="AA899" i="4"/>
  <c r="Z899" i="4"/>
  <c r="Y899" i="4"/>
  <c r="X899" i="4"/>
  <c r="W899" i="4"/>
  <c r="V899" i="4"/>
  <c r="T899" i="4"/>
  <c r="U899" i="4" s="1"/>
  <c r="R899" i="4"/>
  <c r="S899" i="4" s="1"/>
  <c r="P899" i="4"/>
  <c r="Q899" i="4" s="1"/>
  <c r="N899" i="4"/>
  <c r="O899" i="4" s="1"/>
  <c r="M899" i="4"/>
  <c r="K899" i="4"/>
  <c r="L899" i="4" s="1"/>
  <c r="J899" i="4"/>
  <c r="H899" i="4"/>
  <c r="I899" i="4" s="1"/>
  <c r="G899" i="4"/>
  <c r="F899" i="4"/>
  <c r="E899" i="4"/>
  <c r="D899" i="4"/>
  <c r="C899" i="4"/>
  <c r="B899" i="4"/>
  <c r="A899" i="4"/>
  <c r="AC898" i="4"/>
  <c r="AB898" i="4"/>
  <c r="AA898" i="4"/>
  <c r="Z898" i="4"/>
  <c r="Y898" i="4"/>
  <c r="X898" i="4"/>
  <c r="W898" i="4"/>
  <c r="V898" i="4"/>
  <c r="T898" i="4"/>
  <c r="U898" i="4" s="1"/>
  <c r="R898" i="4"/>
  <c r="S898" i="4" s="1"/>
  <c r="P898" i="4"/>
  <c r="Q898" i="4" s="1"/>
  <c r="N898" i="4"/>
  <c r="O898" i="4" s="1"/>
  <c r="M898" i="4"/>
  <c r="K898" i="4"/>
  <c r="L898" i="4" s="1"/>
  <c r="J898" i="4"/>
  <c r="H898" i="4"/>
  <c r="I898" i="4" s="1"/>
  <c r="G898" i="4"/>
  <c r="F898" i="4"/>
  <c r="E898" i="4"/>
  <c r="D898" i="4"/>
  <c r="C898" i="4"/>
  <c r="B898" i="4"/>
  <c r="A898" i="4"/>
  <c r="AC897" i="4"/>
  <c r="AB897" i="4"/>
  <c r="AA897" i="4"/>
  <c r="Z897" i="4"/>
  <c r="Y897" i="4"/>
  <c r="X897" i="4"/>
  <c r="W897" i="4"/>
  <c r="V897" i="4"/>
  <c r="T897" i="4"/>
  <c r="U897" i="4" s="1"/>
  <c r="R897" i="4"/>
  <c r="S897" i="4" s="1"/>
  <c r="P897" i="4"/>
  <c r="Q897" i="4" s="1"/>
  <c r="N897" i="4"/>
  <c r="O897" i="4" s="1"/>
  <c r="M897" i="4"/>
  <c r="K897" i="4"/>
  <c r="L897" i="4" s="1"/>
  <c r="J897" i="4"/>
  <c r="H897" i="4"/>
  <c r="I897" i="4" s="1"/>
  <c r="G897" i="4"/>
  <c r="F897" i="4"/>
  <c r="E897" i="4"/>
  <c r="D897" i="4"/>
  <c r="C897" i="4"/>
  <c r="B897" i="4"/>
  <c r="A897" i="4"/>
  <c r="AG897" i="4" s="1"/>
  <c r="AC896" i="4"/>
  <c r="AB896" i="4"/>
  <c r="AA896" i="4"/>
  <c r="Z896" i="4"/>
  <c r="Y896" i="4"/>
  <c r="X896" i="4"/>
  <c r="W896" i="4"/>
  <c r="V896" i="4"/>
  <c r="T896" i="4"/>
  <c r="U896" i="4" s="1"/>
  <c r="R896" i="4"/>
  <c r="S896" i="4" s="1"/>
  <c r="P896" i="4"/>
  <c r="Q896" i="4" s="1"/>
  <c r="N896" i="4"/>
  <c r="O896" i="4" s="1"/>
  <c r="M896" i="4"/>
  <c r="K896" i="4"/>
  <c r="L896" i="4" s="1"/>
  <c r="J896" i="4"/>
  <c r="H896" i="4"/>
  <c r="I896" i="4" s="1"/>
  <c r="G896" i="4"/>
  <c r="F896" i="4"/>
  <c r="E896" i="4"/>
  <c r="D896" i="4"/>
  <c r="C896" i="4"/>
  <c r="B896" i="4"/>
  <c r="A896" i="4"/>
  <c r="AG896" i="4" s="1"/>
  <c r="AC895" i="4"/>
  <c r="AB895" i="4"/>
  <c r="AA895" i="4"/>
  <c r="Z895" i="4"/>
  <c r="Y895" i="4"/>
  <c r="X895" i="4"/>
  <c r="W895" i="4"/>
  <c r="V895" i="4"/>
  <c r="T895" i="4"/>
  <c r="U895" i="4" s="1"/>
  <c r="R895" i="4"/>
  <c r="S895" i="4" s="1"/>
  <c r="P895" i="4"/>
  <c r="Q895" i="4" s="1"/>
  <c r="N895" i="4"/>
  <c r="O895" i="4" s="1"/>
  <c r="M895" i="4"/>
  <c r="K895" i="4"/>
  <c r="L895" i="4" s="1"/>
  <c r="J895" i="4"/>
  <c r="H895" i="4"/>
  <c r="I895" i="4" s="1"/>
  <c r="G895" i="4"/>
  <c r="F895" i="4"/>
  <c r="E895" i="4"/>
  <c r="D895" i="4"/>
  <c r="C895" i="4"/>
  <c r="B895" i="4"/>
  <c r="A895" i="4"/>
  <c r="AD895" i="4" s="1"/>
  <c r="AE895" i="4" s="1"/>
  <c r="AC894" i="4"/>
  <c r="AB894" i="4"/>
  <c r="AA894" i="4"/>
  <c r="Z894" i="4"/>
  <c r="Y894" i="4"/>
  <c r="X894" i="4"/>
  <c r="W894" i="4"/>
  <c r="V894" i="4"/>
  <c r="T894" i="4"/>
  <c r="U894" i="4" s="1"/>
  <c r="R894" i="4"/>
  <c r="S894" i="4" s="1"/>
  <c r="P894" i="4"/>
  <c r="Q894" i="4" s="1"/>
  <c r="N894" i="4"/>
  <c r="O894" i="4" s="1"/>
  <c r="M894" i="4"/>
  <c r="K894" i="4"/>
  <c r="L894" i="4" s="1"/>
  <c r="J894" i="4"/>
  <c r="H894" i="4"/>
  <c r="I894" i="4" s="1"/>
  <c r="G894" i="4"/>
  <c r="F894" i="4"/>
  <c r="E894" i="4"/>
  <c r="D894" i="4"/>
  <c r="C894" i="4"/>
  <c r="B894" i="4"/>
  <c r="A894" i="4"/>
  <c r="AC893" i="4"/>
  <c r="AB893" i="4"/>
  <c r="AA893" i="4"/>
  <c r="Z893" i="4"/>
  <c r="Y893" i="4"/>
  <c r="X893" i="4"/>
  <c r="W893" i="4"/>
  <c r="V893" i="4"/>
  <c r="T893" i="4"/>
  <c r="U893" i="4" s="1"/>
  <c r="R893" i="4"/>
  <c r="S893" i="4" s="1"/>
  <c r="P893" i="4"/>
  <c r="Q893" i="4" s="1"/>
  <c r="N893" i="4"/>
  <c r="O893" i="4" s="1"/>
  <c r="M893" i="4"/>
  <c r="K893" i="4"/>
  <c r="L893" i="4" s="1"/>
  <c r="J893" i="4"/>
  <c r="H893" i="4"/>
  <c r="I893" i="4" s="1"/>
  <c r="G893" i="4"/>
  <c r="F893" i="4"/>
  <c r="E893" i="4"/>
  <c r="D893" i="4"/>
  <c r="C893" i="4"/>
  <c r="B893" i="4"/>
  <c r="A893" i="4"/>
  <c r="AD893" i="4" s="1"/>
  <c r="AE893" i="4" s="1"/>
  <c r="AC892" i="4"/>
  <c r="AB892" i="4"/>
  <c r="AA892" i="4"/>
  <c r="Z892" i="4"/>
  <c r="Y892" i="4"/>
  <c r="X892" i="4"/>
  <c r="W892" i="4"/>
  <c r="V892" i="4"/>
  <c r="T892" i="4"/>
  <c r="U892" i="4" s="1"/>
  <c r="R892" i="4"/>
  <c r="S892" i="4" s="1"/>
  <c r="P892" i="4"/>
  <c r="Q892" i="4" s="1"/>
  <c r="N892" i="4"/>
  <c r="O892" i="4" s="1"/>
  <c r="M892" i="4"/>
  <c r="K892" i="4"/>
  <c r="L892" i="4" s="1"/>
  <c r="J892" i="4"/>
  <c r="H892" i="4"/>
  <c r="I892" i="4" s="1"/>
  <c r="G892" i="4"/>
  <c r="F892" i="4"/>
  <c r="E892" i="4"/>
  <c r="D892" i="4"/>
  <c r="C892" i="4"/>
  <c r="B892" i="4"/>
  <c r="A892" i="4"/>
  <c r="AD892" i="4" s="1"/>
  <c r="AE892" i="4" s="1"/>
  <c r="AC891" i="4"/>
  <c r="AB891" i="4"/>
  <c r="AA891" i="4"/>
  <c r="Z891" i="4"/>
  <c r="Y891" i="4"/>
  <c r="X891" i="4"/>
  <c r="W891" i="4"/>
  <c r="V891" i="4"/>
  <c r="T891" i="4"/>
  <c r="U891" i="4" s="1"/>
  <c r="R891" i="4"/>
  <c r="S891" i="4" s="1"/>
  <c r="P891" i="4"/>
  <c r="Q891" i="4" s="1"/>
  <c r="O891" i="4"/>
  <c r="N891" i="4"/>
  <c r="M891" i="4"/>
  <c r="K891" i="4"/>
  <c r="L891" i="4" s="1"/>
  <c r="J891" i="4"/>
  <c r="H891" i="4"/>
  <c r="I891" i="4" s="1"/>
  <c r="G891" i="4"/>
  <c r="F891" i="4"/>
  <c r="E891" i="4"/>
  <c r="D891" i="4"/>
  <c r="C891" i="4"/>
  <c r="B891" i="4"/>
  <c r="A891" i="4"/>
  <c r="AD891" i="4" s="1"/>
  <c r="AE891" i="4" s="1"/>
  <c r="AC890" i="4"/>
  <c r="AB890" i="4"/>
  <c r="AA890" i="4"/>
  <c r="Z890" i="4"/>
  <c r="Y890" i="4"/>
  <c r="X890" i="4"/>
  <c r="W890" i="4"/>
  <c r="V890" i="4"/>
  <c r="T890" i="4"/>
  <c r="U890" i="4" s="1"/>
  <c r="R890" i="4"/>
  <c r="S890" i="4" s="1"/>
  <c r="P890" i="4"/>
  <c r="Q890" i="4" s="1"/>
  <c r="N890" i="4"/>
  <c r="O890" i="4" s="1"/>
  <c r="M890" i="4"/>
  <c r="K890" i="4"/>
  <c r="L890" i="4" s="1"/>
  <c r="J890" i="4"/>
  <c r="H890" i="4"/>
  <c r="I890" i="4" s="1"/>
  <c r="G890" i="4"/>
  <c r="F890" i="4"/>
  <c r="E890" i="4"/>
  <c r="D890" i="4"/>
  <c r="C890" i="4"/>
  <c r="B890" i="4"/>
  <c r="A890" i="4"/>
  <c r="AD890" i="4" s="1"/>
  <c r="AE890" i="4" s="1"/>
  <c r="AC889" i="4"/>
  <c r="AB889" i="4"/>
  <c r="AA889" i="4"/>
  <c r="Z889" i="4"/>
  <c r="Y889" i="4"/>
  <c r="X889" i="4"/>
  <c r="W889" i="4"/>
  <c r="V889" i="4"/>
  <c r="T889" i="4"/>
  <c r="U889" i="4" s="1"/>
  <c r="R889" i="4"/>
  <c r="S889" i="4" s="1"/>
  <c r="P889" i="4"/>
  <c r="Q889" i="4" s="1"/>
  <c r="N889" i="4"/>
  <c r="O889" i="4" s="1"/>
  <c r="M889" i="4"/>
  <c r="K889" i="4"/>
  <c r="L889" i="4" s="1"/>
  <c r="J889" i="4"/>
  <c r="H889" i="4"/>
  <c r="I889" i="4" s="1"/>
  <c r="G889" i="4"/>
  <c r="F889" i="4"/>
  <c r="E889" i="4"/>
  <c r="D889" i="4"/>
  <c r="C889" i="4"/>
  <c r="B889" i="4"/>
  <c r="A889" i="4"/>
  <c r="AD889" i="4" s="1"/>
  <c r="AE889" i="4" s="1"/>
  <c r="AC888" i="4"/>
  <c r="AB888" i="4"/>
  <c r="AA888" i="4"/>
  <c r="Z888" i="4"/>
  <c r="Y888" i="4"/>
  <c r="X888" i="4"/>
  <c r="W888" i="4"/>
  <c r="V888" i="4"/>
  <c r="T888" i="4"/>
  <c r="U888" i="4" s="1"/>
  <c r="R888" i="4"/>
  <c r="S888" i="4" s="1"/>
  <c r="P888" i="4"/>
  <c r="Q888" i="4" s="1"/>
  <c r="N888" i="4"/>
  <c r="O888" i="4" s="1"/>
  <c r="M888" i="4"/>
  <c r="K888" i="4"/>
  <c r="L888" i="4" s="1"/>
  <c r="J888" i="4"/>
  <c r="H888" i="4"/>
  <c r="I888" i="4" s="1"/>
  <c r="G888" i="4"/>
  <c r="F888" i="4"/>
  <c r="E888" i="4"/>
  <c r="D888" i="4"/>
  <c r="C888" i="4"/>
  <c r="B888" i="4"/>
  <c r="A888" i="4"/>
  <c r="AC887" i="4"/>
  <c r="AB887" i="4"/>
  <c r="AA887" i="4"/>
  <c r="Z887" i="4"/>
  <c r="Y887" i="4"/>
  <c r="X887" i="4"/>
  <c r="W887" i="4"/>
  <c r="V887" i="4"/>
  <c r="T887" i="4"/>
  <c r="U887" i="4" s="1"/>
  <c r="R887" i="4"/>
  <c r="S887" i="4" s="1"/>
  <c r="P887" i="4"/>
  <c r="Q887" i="4" s="1"/>
  <c r="N887" i="4"/>
  <c r="O887" i="4" s="1"/>
  <c r="M887" i="4"/>
  <c r="K887" i="4"/>
  <c r="L887" i="4" s="1"/>
  <c r="J887" i="4"/>
  <c r="I887" i="4"/>
  <c r="H887" i="4"/>
  <c r="G887" i="4"/>
  <c r="F887" i="4"/>
  <c r="E887" i="4"/>
  <c r="D887" i="4"/>
  <c r="C887" i="4"/>
  <c r="B887" i="4"/>
  <c r="A887" i="4"/>
  <c r="AF887" i="4" s="1"/>
  <c r="AC886" i="4"/>
  <c r="AB886" i="4"/>
  <c r="AA886" i="4"/>
  <c r="Z886" i="4"/>
  <c r="Y886" i="4"/>
  <c r="X886" i="4"/>
  <c r="W886" i="4"/>
  <c r="V886" i="4"/>
  <c r="T886" i="4"/>
  <c r="U886" i="4" s="1"/>
  <c r="R886" i="4"/>
  <c r="S886" i="4" s="1"/>
  <c r="P886" i="4"/>
  <c r="Q886" i="4" s="1"/>
  <c r="N886" i="4"/>
  <c r="O886" i="4" s="1"/>
  <c r="M886" i="4"/>
  <c r="K886" i="4"/>
  <c r="L886" i="4" s="1"/>
  <c r="J886" i="4"/>
  <c r="H886" i="4"/>
  <c r="I886" i="4" s="1"/>
  <c r="G886" i="4"/>
  <c r="F886" i="4"/>
  <c r="E886" i="4"/>
  <c r="D886" i="4"/>
  <c r="C886" i="4"/>
  <c r="B886" i="4"/>
  <c r="A886" i="4"/>
  <c r="AC885" i="4"/>
  <c r="AB885" i="4"/>
  <c r="AA885" i="4"/>
  <c r="Z885" i="4"/>
  <c r="Y885" i="4"/>
  <c r="X885" i="4"/>
  <c r="W885" i="4"/>
  <c r="V885" i="4"/>
  <c r="T885" i="4"/>
  <c r="U885" i="4" s="1"/>
  <c r="R885" i="4"/>
  <c r="S885" i="4" s="1"/>
  <c r="P885" i="4"/>
  <c r="Q885" i="4" s="1"/>
  <c r="N885" i="4"/>
  <c r="O885" i="4" s="1"/>
  <c r="M885" i="4"/>
  <c r="K885" i="4"/>
  <c r="L885" i="4" s="1"/>
  <c r="J885" i="4"/>
  <c r="H885" i="4"/>
  <c r="I885" i="4" s="1"/>
  <c r="G885" i="4"/>
  <c r="F885" i="4"/>
  <c r="E885" i="4"/>
  <c r="D885" i="4"/>
  <c r="C885" i="4"/>
  <c r="B885" i="4"/>
  <c r="A885" i="4"/>
  <c r="AG885" i="4" s="1"/>
  <c r="AC884" i="4"/>
  <c r="AB884" i="4"/>
  <c r="AA884" i="4"/>
  <c r="Z884" i="4"/>
  <c r="Y884" i="4"/>
  <c r="X884" i="4"/>
  <c r="W884" i="4"/>
  <c r="V884" i="4"/>
  <c r="T884" i="4"/>
  <c r="U884" i="4" s="1"/>
  <c r="R884" i="4"/>
  <c r="S884" i="4" s="1"/>
  <c r="P884" i="4"/>
  <c r="Q884" i="4" s="1"/>
  <c r="N884" i="4"/>
  <c r="O884" i="4" s="1"/>
  <c r="M884" i="4"/>
  <c r="K884" i="4"/>
  <c r="L884" i="4" s="1"/>
  <c r="J884" i="4"/>
  <c r="H884" i="4"/>
  <c r="I884" i="4" s="1"/>
  <c r="G884" i="4"/>
  <c r="F884" i="4"/>
  <c r="E884" i="4"/>
  <c r="D884" i="4"/>
  <c r="C884" i="4"/>
  <c r="B884" i="4"/>
  <c r="A884" i="4"/>
  <c r="AF884" i="4" s="1"/>
  <c r="AC883" i="4"/>
  <c r="AB883" i="4"/>
  <c r="AA883" i="4"/>
  <c r="Z883" i="4"/>
  <c r="Y883" i="4"/>
  <c r="X883" i="4"/>
  <c r="W883" i="4"/>
  <c r="V883" i="4"/>
  <c r="T883" i="4"/>
  <c r="U883" i="4" s="1"/>
  <c r="R883" i="4"/>
  <c r="S883" i="4" s="1"/>
  <c r="P883" i="4"/>
  <c r="Q883" i="4" s="1"/>
  <c r="N883" i="4"/>
  <c r="O883" i="4" s="1"/>
  <c r="M883" i="4"/>
  <c r="K883" i="4"/>
  <c r="L883" i="4" s="1"/>
  <c r="J883" i="4"/>
  <c r="H883" i="4"/>
  <c r="I883" i="4" s="1"/>
  <c r="G883" i="4"/>
  <c r="F883" i="4"/>
  <c r="E883" i="4"/>
  <c r="D883" i="4"/>
  <c r="C883" i="4"/>
  <c r="B883" i="4"/>
  <c r="A883" i="4"/>
  <c r="AC882" i="4"/>
  <c r="AB882" i="4"/>
  <c r="AA882" i="4"/>
  <c r="Z882" i="4"/>
  <c r="Y882" i="4"/>
  <c r="X882" i="4"/>
  <c r="W882" i="4"/>
  <c r="V882" i="4"/>
  <c r="T882" i="4"/>
  <c r="U882" i="4" s="1"/>
  <c r="R882" i="4"/>
  <c r="S882" i="4" s="1"/>
  <c r="P882" i="4"/>
  <c r="Q882" i="4" s="1"/>
  <c r="N882" i="4"/>
  <c r="O882" i="4" s="1"/>
  <c r="M882" i="4"/>
  <c r="K882" i="4"/>
  <c r="L882" i="4" s="1"/>
  <c r="J882" i="4"/>
  <c r="H882" i="4"/>
  <c r="I882" i="4" s="1"/>
  <c r="G882" i="4"/>
  <c r="F882" i="4"/>
  <c r="E882" i="4"/>
  <c r="D882" i="4"/>
  <c r="C882" i="4"/>
  <c r="B882" i="4"/>
  <c r="A882" i="4"/>
  <c r="AC881" i="4"/>
  <c r="AB881" i="4"/>
  <c r="AA881" i="4"/>
  <c r="Z881" i="4"/>
  <c r="Y881" i="4"/>
  <c r="X881" i="4"/>
  <c r="W881" i="4"/>
  <c r="V881" i="4"/>
  <c r="T881" i="4"/>
  <c r="U881" i="4" s="1"/>
  <c r="R881" i="4"/>
  <c r="S881" i="4" s="1"/>
  <c r="P881" i="4"/>
  <c r="Q881" i="4" s="1"/>
  <c r="N881" i="4"/>
  <c r="O881" i="4" s="1"/>
  <c r="M881" i="4"/>
  <c r="K881" i="4"/>
  <c r="L881" i="4" s="1"/>
  <c r="J881" i="4"/>
  <c r="H881" i="4"/>
  <c r="I881" i="4" s="1"/>
  <c r="G881" i="4"/>
  <c r="F881" i="4"/>
  <c r="E881" i="4"/>
  <c r="D881" i="4"/>
  <c r="C881" i="4"/>
  <c r="B881" i="4"/>
  <c r="A881" i="4"/>
  <c r="AD881" i="4" s="1"/>
  <c r="AE881" i="4" s="1"/>
  <c r="AC880" i="4"/>
  <c r="AB880" i="4"/>
  <c r="AA880" i="4"/>
  <c r="Z880" i="4"/>
  <c r="Y880" i="4"/>
  <c r="X880" i="4"/>
  <c r="W880" i="4"/>
  <c r="V880" i="4"/>
  <c r="U880" i="4"/>
  <c r="T880" i="4"/>
  <c r="S880" i="4"/>
  <c r="R880" i="4"/>
  <c r="P880" i="4"/>
  <c r="Q880" i="4" s="1"/>
  <c r="N880" i="4"/>
  <c r="O880" i="4" s="1"/>
  <c r="M880" i="4"/>
  <c r="K880" i="4"/>
  <c r="L880" i="4" s="1"/>
  <c r="J880" i="4"/>
  <c r="H880" i="4"/>
  <c r="I880" i="4" s="1"/>
  <c r="G880" i="4"/>
  <c r="F880" i="4"/>
  <c r="E880" i="4"/>
  <c r="D880" i="4"/>
  <c r="C880" i="4"/>
  <c r="B880" i="4"/>
  <c r="A880" i="4"/>
  <c r="AG880" i="4" s="1"/>
  <c r="AC879" i="4"/>
  <c r="AB879" i="4"/>
  <c r="AA879" i="4"/>
  <c r="Z879" i="4"/>
  <c r="Y879" i="4"/>
  <c r="X879" i="4"/>
  <c r="W879" i="4"/>
  <c r="V879" i="4"/>
  <c r="T879" i="4"/>
  <c r="U879" i="4" s="1"/>
  <c r="R879" i="4"/>
  <c r="S879" i="4" s="1"/>
  <c r="Q879" i="4"/>
  <c r="P879" i="4"/>
  <c r="N879" i="4"/>
  <c r="O879" i="4" s="1"/>
  <c r="M879" i="4"/>
  <c r="K879" i="4"/>
  <c r="L879" i="4" s="1"/>
  <c r="J879" i="4"/>
  <c r="H879" i="4"/>
  <c r="I879" i="4" s="1"/>
  <c r="G879" i="4"/>
  <c r="F879" i="4"/>
  <c r="E879" i="4"/>
  <c r="D879" i="4"/>
  <c r="C879" i="4"/>
  <c r="B879" i="4"/>
  <c r="A879" i="4"/>
  <c r="AC878" i="4"/>
  <c r="AB878" i="4"/>
  <c r="AA878" i="4"/>
  <c r="Z878" i="4"/>
  <c r="Y878" i="4"/>
  <c r="X878" i="4"/>
  <c r="W878" i="4"/>
  <c r="V878" i="4"/>
  <c r="T878" i="4"/>
  <c r="U878" i="4" s="1"/>
  <c r="R878" i="4"/>
  <c r="S878" i="4" s="1"/>
  <c r="P878" i="4"/>
  <c r="Q878" i="4" s="1"/>
  <c r="N878" i="4"/>
  <c r="O878" i="4" s="1"/>
  <c r="M878" i="4"/>
  <c r="K878" i="4"/>
  <c r="L878" i="4" s="1"/>
  <c r="J878" i="4"/>
  <c r="H878" i="4"/>
  <c r="I878" i="4" s="1"/>
  <c r="G878" i="4"/>
  <c r="F878" i="4"/>
  <c r="E878" i="4"/>
  <c r="D878" i="4"/>
  <c r="C878" i="4"/>
  <c r="B878" i="4"/>
  <c r="A878" i="4"/>
  <c r="AC877" i="4"/>
  <c r="AB877" i="4"/>
  <c r="AA877" i="4"/>
  <c r="Z877" i="4"/>
  <c r="Y877" i="4"/>
  <c r="X877" i="4"/>
  <c r="W877" i="4"/>
  <c r="V877" i="4"/>
  <c r="T877" i="4"/>
  <c r="U877" i="4" s="1"/>
  <c r="R877" i="4"/>
  <c r="S877" i="4" s="1"/>
  <c r="P877" i="4"/>
  <c r="Q877" i="4" s="1"/>
  <c r="O877" i="4"/>
  <c r="N877" i="4"/>
  <c r="M877" i="4"/>
  <c r="K877" i="4"/>
  <c r="L877" i="4" s="1"/>
  <c r="J877" i="4"/>
  <c r="H877" i="4"/>
  <c r="I877" i="4" s="1"/>
  <c r="G877" i="4"/>
  <c r="F877" i="4"/>
  <c r="E877" i="4"/>
  <c r="D877" i="4"/>
  <c r="C877" i="4"/>
  <c r="B877" i="4"/>
  <c r="A877" i="4"/>
  <c r="AG877" i="4" s="1"/>
  <c r="AC876" i="4"/>
  <c r="AB876" i="4"/>
  <c r="AA876" i="4"/>
  <c r="Z876" i="4"/>
  <c r="Y876" i="4"/>
  <c r="X876" i="4"/>
  <c r="W876" i="4"/>
  <c r="V876" i="4"/>
  <c r="T876" i="4"/>
  <c r="U876" i="4" s="1"/>
  <c r="R876" i="4"/>
  <c r="S876" i="4" s="1"/>
  <c r="P876" i="4"/>
  <c r="Q876" i="4" s="1"/>
  <c r="N876" i="4"/>
  <c r="O876" i="4" s="1"/>
  <c r="M876" i="4"/>
  <c r="K876" i="4"/>
  <c r="L876" i="4" s="1"/>
  <c r="J876" i="4"/>
  <c r="H876" i="4"/>
  <c r="I876" i="4" s="1"/>
  <c r="G876" i="4"/>
  <c r="F876" i="4"/>
  <c r="E876" i="4"/>
  <c r="D876" i="4"/>
  <c r="C876" i="4"/>
  <c r="B876" i="4"/>
  <c r="A876" i="4"/>
  <c r="AG876" i="4" s="1"/>
  <c r="AC875" i="4"/>
  <c r="AB875" i="4"/>
  <c r="AA875" i="4"/>
  <c r="Z875" i="4"/>
  <c r="Y875" i="4"/>
  <c r="X875" i="4"/>
  <c r="W875" i="4"/>
  <c r="V875" i="4"/>
  <c r="T875" i="4"/>
  <c r="U875" i="4" s="1"/>
  <c r="R875" i="4"/>
  <c r="S875" i="4" s="1"/>
  <c r="P875" i="4"/>
  <c r="Q875" i="4" s="1"/>
  <c r="N875" i="4"/>
  <c r="O875" i="4" s="1"/>
  <c r="M875" i="4"/>
  <c r="K875" i="4"/>
  <c r="L875" i="4" s="1"/>
  <c r="J875" i="4"/>
  <c r="H875" i="4"/>
  <c r="I875" i="4" s="1"/>
  <c r="G875" i="4"/>
  <c r="F875" i="4"/>
  <c r="E875" i="4"/>
  <c r="D875" i="4"/>
  <c r="C875" i="4"/>
  <c r="B875" i="4"/>
  <c r="A875" i="4"/>
  <c r="AG875" i="4" s="1"/>
  <c r="AC874" i="4"/>
  <c r="AB874" i="4"/>
  <c r="AA874" i="4"/>
  <c r="Z874" i="4"/>
  <c r="Y874" i="4"/>
  <c r="X874" i="4"/>
  <c r="W874" i="4"/>
  <c r="V874" i="4"/>
  <c r="T874" i="4"/>
  <c r="U874" i="4" s="1"/>
  <c r="R874" i="4"/>
  <c r="S874" i="4" s="1"/>
  <c r="P874" i="4"/>
  <c r="Q874" i="4" s="1"/>
  <c r="N874" i="4"/>
  <c r="O874" i="4" s="1"/>
  <c r="M874" i="4"/>
  <c r="K874" i="4"/>
  <c r="L874" i="4" s="1"/>
  <c r="J874" i="4"/>
  <c r="I874" i="4"/>
  <c r="H874" i="4"/>
  <c r="G874" i="4"/>
  <c r="F874" i="4"/>
  <c r="E874" i="4"/>
  <c r="D874" i="4"/>
  <c r="C874" i="4"/>
  <c r="B874" i="4"/>
  <c r="A874" i="4"/>
  <c r="AG874" i="4" s="1"/>
  <c r="AC873" i="4"/>
  <c r="AB873" i="4"/>
  <c r="AA873" i="4"/>
  <c r="Z873" i="4"/>
  <c r="Y873" i="4"/>
  <c r="X873" i="4"/>
  <c r="W873" i="4"/>
  <c r="V873" i="4"/>
  <c r="T873" i="4"/>
  <c r="U873" i="4" s="1"/>
  <c r="R873" i="4"/>
  <c r="S873" i="4" s="1"/>
  <c r="P873" i="4"/>
  <c r="Q873" i="4" s="1"/>
  <c r="N873" i="4"/>
  <c r="O873" i="4" s="1"/>
  <c r="M873" i="4"/>
  <c r="K873" i="4"/>
  <c r="L873" i="4" s="1"/>
  <c r="J873" i="4"/>
  <c r="H873" i="4"/>
  <c r="I873" i="4" s="1"/>
  <c r="G873" i="4"/>
  <c r="F873" i="4"/>
  <c r="E873" i="4"/>
  <c r="D873" i="4"/>
  <c r="C873" i="4"/>
  <c r="B873" i="4"/>
  <c r="A873" i="4"/>
  <c r="AG873" i="4" s="1"/>
  <c r="AC872" i="4"/>
  <c r="AB872" i="4"/>
  <c r="AA872" i="4"/>
  <c r="Z872" i="4"/>
  <c r="Y872" i="4"/>
  <c r="X872" i="4"/>
  <c r="W872" i="4"/>
  <c r="V872" i="4"/>
  <c r="T872" i="4"/>
  <c r="U872" i="4" s="1"/>
  <c r="R872" i="4"/>
  <c r="S872" i="4" s="1"/>
  <c r="P872" i="4"/>
  <c r="Q872" i="4" s="1"/>
  <c r="N872" i="4"/>
  <c r="O872" i="4" s="1"/>
  <c r="M872" i="4"/>
  <c r="K872" i="4"/>
  <c r="L872" i="4" s="1"/>
  <c r="J872" i="4"/>
  <c r="H872" i="4"/>
  <c r="I872" i="4" s="1"/>
  <c r="G872" i="4"/>
  <c r="F872" i="4"/>
  <c r="E872" i="4"/>
  <c r="D872" i="4"/>
  <c r="C872" i="4"/>
  <c r="B872" i="4"/>
  <c r="A872" i="4"/>
  <c r="AG872" i="4" s="1"/>
  <c r="AC871" i="4"/>
  <c r="AB871" i="4"/>
  <c r="AA871" i="4"/>
  <c r="Z871" i="4"/>
  <c r="Y871" i="4"/>
  <c r="X871" i="4"/>
  <c r="W871" i="4"/>
  <c r="V871" i="4"/>
  <c r="T871" i="4"/>
  <c r="U871" i="4" s="1"/>
  <c r="R871" i="4"/>
  <c r="S871" i="4" s="1"/>
  <c r="P871" i="4"/>
  <c r="Q871" i="4" s="1"/>
  <c r="N871" i="4"/>
  <c r="O871" i="4" s="1"/>
  <c r="M871" i="4"/>
  <c r="K871" i="4"/>
  <c r="L871" i="4" s="1"/>
  <c r="J871" i="4"/>
  <c r="H871" i="4"/>
  <c r="I871" i="4" s="1"/>
  <c r="G871" i="4"/>
  <c r="F871" i="4"/>
  <c r="E871" i="4"/>
  <c r="D871" i="4"/>
  <c r="C871" i="4"/>
  <c r="B871" i="4"/>
  <c r="A871" i="4"/>
  <c r="AC870" i="4"/>
  <c r="AB870" i="4"/>
  <c r="AA870" i="4"/>
  <c r="Z870" i="4"/>
  <c r="Y870" i="4"/>
  <c r="X870" i="4"/>
  <c r="W870" i="4"/>
  <c r="V870" i="4"/>
  <c r="T870" i="4"/>
  <c r="U870" i="4" s="1"/>
  <c r="R870" i="4"/>
  <c r="S870" i="4" s="1"/>
  <c r="P870" i="4"/>
  <c r="Q870" i="4" s="1"/>
  <c r="N870" i="4"/>
  <c r="O870" i="4" s="1"/>
  <c r="M870" i="4"/>
  <c r="K870" i="4"/>
  <c r="L870" i="4" s="1"/>
  <c r="J870" i="4"/>
  <c r="H870" i="4"/>
  <c r="I870" i="4" s="1"/>
  <c r="G870" i="4"/>
  <c r="F870" i="4"/>
  <c r="E870" i="4"/>
  <c r="D870" i="4"/>
  <c r="C870" i="4"/>
  <c r="B870" i="4"/>
  <c r="A870" i="4"/>
  <c r="AG870" i="4" s="1"/>
  <c r="AC869" i="4"/>
  <c r="AB869" i="4"/>
  <c r="AA869" i="4"/>
  <c r="Z869" i="4"/>
  <c r="Y869" i="4"/>
  <c r="X869" i="4"/>
  <c r="W869" i="4"/>
  <c r="V869" i="4"/>
  <c r="T869" i="4"/>
  <c r="U869" i="4" s="1"/>
  <c r="R869" i="4"/>
  <c r="S869" i="4" s="1"/>
  <c r="P869" i="4"/>
  <c r="Q869" i="4" s="1"/>
  <c r="N869" i="4"/>
  <c r="O869" i="4" s="1"/>
  <c r="M869" i="4"/>
  <c r="K869" i="4"/>
  <c r="L869" i="4" s="1"/>
  <c r="J869" i="4"/>
  <c r="H869" i="4"/>
  <c r="I869" i="4" s="1"/>
  <c r="G869" i="4"/>
  <c r="F869" i="4"/>
  <c r="E869" i="4"/>
  <c r="D869" i="4"/>
  <c r="C869" i="4"/>
  <c r="B869" i="4"/>
  <c r="A869" i="4"/>
  <c r="AF869" i="4" s="1"/>
  <c r="AC868" i="4"/>
  <c r="AB868" i="4"/>
  <c r="AA868" i="4"/>
  <c r="Z868" i="4"/>
  <c r="Y868" i="4"/>
  <c r="X868" i="4"/>
  <c r="W868" i="4"/>
  <c r="V868" i="4"/>
  <c r="T868" i="4"/>
  <c r="U868" i="4" s="1"/>
  <c r="R868" i="4"/>
  <c r="S868" i="4" s="1"/>
  <c r="P868" i="4"/>
  <c r="Q868" i="4" s="1"/>
  <c r="N868" i="4"/>
  <c r="O868" i="4" s="1"/>
  <c r="M868" i="4"/>
  <c r="K868" i="4"/>
  <c r="L868" i="4" s="1"/>
  <c r="J868" i="4"/>
  <c r="H868" i="4"/>
  <c r="I868" i="4" s="1"/>
  <c r="G868" i="4"/>
  <c r="F868" i="4"/>
  <c r="E868" i="4"/>
  <c r="D868" i="4"/>
  <c r="C868" i="4"/>
  <c r="B868" i="4"/>
  <c r="A868" i="4"/>
  <c r="AG868" i="4" s="1"/>
  <c r="AF867" i="4"/>
  <c r="AC867" i="4"/>
  <c r="AB867" i="4"/>
  <c r="AA867" i="4"/>
  <c r="Z867" i="4"/>
  <c r="Y867" i="4"/>
  <c r="X867" i="4"/>
  <c r="W867" i="4"/>
  <c r="V867" i="4"/>
  <c r="T867" i="4"/>
  <c r="U867" i="4" s="1"/>
  <c r="R867" i="4"/>
  <c r="S867" i="4" s="1"/>
  <c r="P867" i="4"/>
  <c r="Q867" i="4" s="1"/>
  <c r="N867" i="4"/>
  <c r="O867" i="4" s="1"/>
  <c r="M867" i="4"/>
  <c r="K867" i="4"/>
  <c r="L867" i="4" s="1"/>
  <c r="J867" i="4"/>
  <c r="H867" i="4"/>
  <c r="I867" i="4" s="1"/>
  <c r="G867" i="4"/>
  <c r="F867" i="4"/>
  <c r="E867" i="4"/>
  <c r="D867" i="4"/>
  <c r="C867" i="4"/>
  <c r="B867" i="4"/>
  <c r="A867" i="4"/>
  <c r="AG867" i="4" s="1"/>
  <c r="AC866" i="4"/>
  <c r="AB866" i="4"/>
  <c r="AA866" i="4"/>
  <c r="Z866" i="4"/>
  <c r="Y866" i="4"/>
  <c r="X866" i="4"/>
  <c r="W866" i="4"/>
  <c r="V866" i="4"/>
  <c r="T866" i="4"/>
  <c r="U866" i="4" s="1"/>
  <c r="R866" i="4"/>
  <c r="S866" i="4" s="1"/>
  <c r="P866" i="4"/>
  <c r="Q866" i="4" s="1"/>
  <c r="N866" i="4"/>
  <c r="O866" i="4" s="1"/>
  <c r="M866" i="4"/>
  <c r="K866" i="4"/>
  <c r="L866" i="4" s="1"/>
  <c r="J866" i="4"/>
  <c r="H866" i="4"/>
  <c r="I866" i="4" s="1"/>
  <c r="G866" i="4"/>
  <c r="F866" i="4"/>
  <c r="E866" i="4"/>
  <c r="D866" i="4"/>
  <c r="C866" i="4"/>
  <c r="B866" i="4"/>
  <c r="A866" i="4"/>
  <c r="AG866" i="4" s="1"/>
  <c r="AC865" i="4"/>
  <c r="AB865" i="4"/>
  <c r="AA865" i="4"/>
  <c r="Z865" i="4"/>
  <c r="Y865" i="4"/>
  <c r="X865" i="4"/>
  <c r="W865" i="4"/>
  <c r="V865" i="4"/>
  <c r="T865" i="4"/>
  <c r="U865" i="4" s="1"/>
  <c r="R865" i="4"/>
  <c r="S865" i="4" s="1"/>
  <c r="P865" i="4"/>
  <c r="Q865" i="4" s="1"/>
  <c r="N865" i="4"/>
  <c r="O865" i="4" s="1"/>
  <c r="M865" i="4"/>
  <c r="K865" i="4"/>
  <c r="L865" i="4" s="1"/>
  <c r="J865" i="4"/>
  <c r="H865" i="4"/>
  <c r="I865" i="4" s="1"/>
  <c r="G865" i="4"/>
  <c r="F865" i="4"/>
  <c r="E865" i="4"/>
  <c r="D865" i="4"/>
  <c r="C865" i="4"/>
  <c r="B865" i="4"/>
  <c r="A865" i="4"/>
  <c r="AG865" i="4" s="1"/>
  <c r="AC864" i="4"/>
  <c r="AB864" i="4"/>
  <c r="AA864" i="4"/>
  <c r="Z864" i="4"/>
  <c r="Y864" i="4"/>
  <c r="X864" i="4"/>
  <c r="W864" i="4"/>
  <c r="V864" i="4"/>
  <c r="T864" i="4"/>
  <c r="U864" i="4" s="1"/>
  <c r="R864" i="4"/>
  <c r="S864" i="4" s="1"/>
  <c r="P864" i="4"/>
  <c r="Q864" i="4" s="1"/>
  <c r="N864" i="4"/>
  <c r="O864" i="4" s="1"/>
  <c r="M864" i="4"/>
  <c r="K864" i="4"/>
  <c r="L864" i="4" s="1"/>
  <c r="J864" i="4"/>
  <c r="H864" i="4"/>
  <c r="I864" i="4" s="1"/>
  <c r="G864" i="4"/>
  <c r="F864" i="4"/>
  <c r="E864" i="4"/>
  <c r="D864" i="4"/>
  <c r="C864" i="4"/>
  <c r="B864" i="4"/>
  <c r="A864" i="4"/>
  <c r="AG864" i="4" s="1"/>
  <c r="AC863" i="4"/>
  <c r="AB863" i="4"/>
  <c r="AA863" i="4"/>
  <c r="Z863" i="4"/>
  <c r="Y863" i="4"/>
  <c r="X863" i="4"/>
  <c r="W863" i="4"/>
  <c r="V863" i="4"/>
  <c r="T863" i="4"/>
  <c r="U863" i="4" s="1"/>
  <c r="R863" i="4"/>
  <c r="S863" i="4" s="1"/>
  <c r="P863" i="4"/>
  <c r="Q863" i="4" s="1"/>
  <c r="N863" i="4"/>
  <c r="O863" i="4" s="1"/>
  <c r="M863" i="4"/>
  <c r="K863" i="4"/>
  <c r="L863" i="4" s="1"/>
  <c r="J863" i="4"/>
  <c r="H863" i="4"/>
  <c r="I863" i="4" s="1"/>
  <c r="G863" i="4"/>
  <c r="F863" i="4"/>
  <c r="E863" i="4"/>
  <c r="D863" i="4"/>
  <c r="C863" i="4"/>
  <c r="B863" i="4"/>
  <c r="A863" i="4"/>
  <c r="AG863" i="4" s="1"/>
  <c r="AC862" i="4"/>
  <c r="AB862" i="4"/>
  <c r="AA862" i="4"/>
  <c r="Z862" i="4"/>
  <c r="Y862" i="4"/>
  <c r="X862" i="4"/>
  <c r="W862" i="4"/>
  <c r="V862" i="4"/>
  <c r="T862" i="4"/>
  <c r="U862" i="4" s="1"/>
  <c r="R862" i="4"/>
  <c r="S862" i="4" s="1"/>
  <c r="P862" i="4"/>
  <c r="Q862" i="4" s="1"/>
  <c r="N862" i="4"/>
  <c r="O862" i="4" s="1"/>
  <c r="M862" i="4"/>
  <c r="K862" i="4"/>
  <c r="L862" i="4" s="1"/>
  <c r="J862" i="4"/>
  <c r="H862" i="4"/>
  <c r="I862" i="4" s="1"/>
  <c r="G862" i="4"/>
  <c r="F862" i="4"/>
  <c r="E862" i="4"/>
  <c r="D862" i="4"/>
  <c r="C862" i="4"/>
  <c r="B862" i="4"/>
  <c r="A862" i="4"/>
  <c r="AD862" i="4" s="1"/>
  <c r="AE862" i="4" s="1"/>
  <c r="AC861" i="4"/>
  <c r="AB861" i="4"/>
  <c r="AA861" i="4"/>
  <c r="Z861" i="4"/>
  <c r="Y861" i="4"/>
  <c r="X861" i="4"/>
  <c r="W861" i="4"/>
  <c r="V861" i="4"/>
  <c r="T861" i="4"/>
  <c r="U861" i="4" s="1"/>
  <c r="R861" i="4"/>
  <c r="S861" i="4" s="1"/>
  <c r="P861" i="4"/>
  <c r="Q861" i="4" s="1"/>
  <c r="N861" i="4"/>
  <c r="O861" i="4" s="1"/>
  <c r="M861" i="4"/>
  <c r="K861" i="4"/>
  <c r="L861" i="4" s="1"/>
  <c r="J861" i="4"/>
  <c r="H861" i="4"/>
  <c r="I861" i="4" s="1"/>
  <c r="G861" i="4"/>
  <c r="F861" i="4"/>
  <c r="E861" i="4"/>
  <c r="D861" i="4"/>
  <c r="C861" i="4"/>
  <c r="B861" i="4"/>
  <c r="A861" i="4"/>
  <c r="AC860" i="4"/>
  <c r="AB860" i="4"/>
  <c r="AA860" i="4"/>
  <c r="Z860" i="4"/>
  <c r="Y860" i="4"/>
  <c r="X860" i="4"/>
  <c r="W860" i="4"/>
  <c r="V860" i="4"/>
  <c r="T860" i="4"/>
  <c r="U860" i="4" s="1"/>
  <c r="R860" i="4"/>
  <c r="S860" i="4" s="1"/>
  <c r="P860" i="4"/>
  <c r="Q860" i="4" s="1"/>
  <c r="N860" i="4"/>
  <c r="O860" i="4" s="1"/>
  <c r="M860" i="4"/>
  <c r="K860" i="4"/>
  <c r="L860" i="4" s="1"/>
  <c r="J860" i="4"/>
  <c r="H860" i="4"/>
  <c r="I860" i="4" s="1"/>
  <c r="G860" i="4"/>
  <c r="F860" i="4"/>
  <c r="E860" i="4"/>
  <c r="D860" i="4"/>
  <c r="C860" i="4"/>
  <c r="B860" i="4"/>
  <c r="A860" i="4"/>
  <c r="AG860" i="4" s="1"/>
  <c r="AC859" i="4"/>
  <c r="AB859" i="4"/>
  <c r="AA859" i="4"/>
  <c r="Z859" i="4"/>
  <c r="Y859" i="4"/>
  <c r="X859" i="4"/>
  <c r="W859" i="4"/>
  <c r="V859" i="4"/>
  <c r="T859" i="4"/>
  <c r="U859" i="4" s="1"/>
  <c r="R859" i="4"/>
  <c r="S859" i="4" s="1"/>
  <c r="P859" i="4"/>
  <c r="Q859" i="4" s="1"/>
  <c r="N859" i="4"/>
  <c r="O859" i="4" s="1"/>
  <c r="M859" i="4"/>
  <c r="K859" i="4"/>
  <c r="L859" i="4" s="1"/>
  <c r="J859" i="4"/>
  <c r="H859" i="4"/>
  <c r="I859" i="4" s="1"/>
  <c r="G859" i="4"/>
  <c r="F859" i="4"/>
  <c r="E859" i="4"/>
  <c r="D859" i="4"/>
  <c r="C859" i="4"/>
  <c r="B859" i="4"/>
  <c r="A859" i="4"/>
  <c r="AG859" i="4" s="1"/>
  <c r="AC858" i="4"/>
  <c r="AB858" i="4"/>
  <c r="AA858" i="4"/>
  <c r="Z858" i="4"/>
  <c r="Y858" i="4"/>
  <c r="X858" i="4"/>
  <c r="W858" i="4"/>
  <c r="V858" i="4"/>
  <c r="T858" i="4"/>
  <c r="U858" i="4" s="1"/>
  <c r="R858" i="4"/>
  <c r="S858" i="4" s="1"/>
  <c r="P858" i="4"/>
  <c r="Q858" i="4" s="1"/>
  <c r="N858" i="4"/>
  <c r="O858" i="4" s="1"/>
  <c r="M858" i="4"/>
  <c r="K858" i="4"/>
  <c r="L858" i="4" s="1"/>
  <c r="J858" i="4"/>
  <c r="H858" i="4"/>
  <c r="I858" i="4" s="1"/>
  <c r="G858" i="4"/>
  <c r="F858" i="4"/>
  <c r="E858" i="4"/>
  <c r="D858" i="4"/>
  <c r="C858" i="4"/>
  <c r="B858" i="4"/>
  <c r="A858" i="4"/>
  <c r="AG858" i="4" s="1"/>
  <c r="AC857" i="4"/>
  <c r="AB857" i="4"/>
  <c r="AA857" i="4"/>
  <c r="Z857" i="4"/>
  <c r="Y857" i="4"/>
  <c r="X857" i="4"/>
  <c r="W857" i="4"/>
  <c r="V857" i="4"/>
  <c r="T857" i="4"/>
  <c r="U857" i="4" s="1"/>
  <c r="R857" i="4"/>
  <c r="S857" i="4" s="1"/>
  <c r="P857" i="4"/>
  <c r="Q857" i="4" s="1"/>
  <c r="N857" i="4"/>
  <c r="O857" i="4" s="1"/>
  <c r="M857" i="4"/>
  <c r="K857" i="4"/>
  <c r="L857" i="4" s="1"/>
  <c r="J857" i="4"/>
  <c r="H857" i="4"/>
  <c r="I857" i="4" s="1"/>
  <c r="G857" i="4"/>
  <c r="F857" i="4"/>
  <c r="E857" i="4"/>
  <c r="D857" i="4"/>
  <c r="C857" i="4"/>
  <c r="B857" i="4"/>
  <c r="A857" i="4"/>
  <c r="AC856" i="4"/>
  <c r="AB856" i="4"/>
  <c r="AA856" i="4"/>
  <c r="Z856" i="4"/>
  <c r="Y856" i="4"/>
  <c r="X856" i="4"/>
  <c r="W856" i="4"/>
  <c r="V856" i="4"/>
  <c r="T856" i="4"/>
  <c r="U856" i="4" s="1"/>
  <c r="R856" i="4"/>
  <c r="S856" i="4" s="1"/>
  <c r="P856" i="4"/>
  <c r="Q856" i="4" s="1"/>
  <c r="N856" i="4"/>
  <c r="O856" i="4" s="1"/>
  <c r="M856" i="4"/>
  <c r="K856" i="4"/>
  <c r="L856" i="4" s="1"/>
  <c r="J856" i="4"/>
  <c r="H856" i="4"/>
  <c r="I856" i="4" s="1"/>
  <c r="G856" i="4"/>
  <c r="F856" i="4"/>
  <c r="E856" i="4"/>
  <c r="D856" i="4"/>
  <c r="C856" i="4"/>
  <c r="B856" i="4"/>
  <c r="A856" i="4"/>
  <c r="AG856" i="4" s="1"/>
  <c r="AC855" i="4"/>
  <c r="AB855" i="4"/>
  <c r="AA855" i="4"/>
  <c r="Z855" i="4"/>
  <c r="Y855" i="4"/>
  <c r="X855" i="4"/>
  <c r="W855" i="4"/>
  <c r="V855" i="4"/>
  <c r="T855" i="4"/>
  <c r="U855" i="4" s="1"/>
  <c r="R855" i="4"/>
  <c r="S855" i="4" s="1"/>
  <c r="P855" i="4"/>
  <c r="Q855" i="4" s="1"/>
  <c r="N855" i="4"/>
  <c r="O855" i="4" s="1"/>
  <c r="M855" i="4"/>
  <c r="K855" i="4"/>
  <c r="L855" i="4" s="1"/>
  <c r="J855" i="4"/>
  <c r="H855" i="4"/>
  <c r="I855" i="4" s="1"/>
  <c r="G855" i="4"/>
  <c r="F855" i="4"/>
  <c r="E855" i="4"/>
  <c r="D855" i="4"/>
  <c r="C855" i="4"/>
  <c r="B855" i="4"/>
  <c r="A855" i="4"/>
  <c r="AG855" i="4" s="1"/>
  <c r="AC854" i="4"/>
  <c r="AB854" i="4"/>
  <c r="AA854" i="4"/>
  <c r="Z854" i="4"/>
  <c r="Y854" i="4"/>
  <c r="X854" i="4"/>
  <c r="W854" i="4"/>
  <c r="V854" i="4"/>
  <c r="T854" i="4"/>
  <c r="U854" i="4" s="1"/>
  <c r="R854" i="4"/>
  <c r="S854" i="4" s="1"/>
  <c r="P854" i="4"/>
  <c r="Q854" i="4" s="1"/>
  <c r="N854" i="4"/>
  <c r="O854" i="4" s="1"/>
  <c r="M854" i="4"/>
  <c r="K854" i="4"/>
  <c r="L854" i="4" s="1"/>
  <c r="J854" i="4"/>
  <c r="H854" i="4"/>
  <c r="I854" i="4" s="1"/>
  <c r="G854" i="4"/>
  <c r="F854" i="4"/>
  <c r="E854" i="4"/>
  <c r="D854" i="4"/>
  <c r="C854" i="4"/>
  <c r="B854" i="4"/>
  <c r="A854" i="4"/>
  <c r="AC853" i="4"/>
  <c r="AB853" i="4"/>
  <c r="AA853" i="4"/>
  <c r="Z853" i="4"/>
  <c r="Y853" i="4"/>
  <c r="X853" i="4"/>
  <c r="W853" i="4"/>
  <c r="V853" i="4"/>
  <c r="T853" i="4"/>
  <c r="U853" i="4" s="1"/>
  <c r="R853" i="4"/>
  <c r="S853" i="4" s="1"/>
  <c r="P853" i="4"/>
  <c r="Q853" i="4" s="1"/>
  <c r="N853" i="4"/>
  <c r="O853" i="4" s="1"/>
  <c r="M853" i="4"/>
  <c r="L853" i="4"/>
  <c r="K853" i="4"/>
  <c r="J853" i="4"/>
  <c r="H853" i="4"/>
  <c r="I853" i="4" s="1"/>
  <c r="G853" i="4"/>
  <c r="F853" i="4"/>
  <c r="E853" i="4"/>
  <c r="D853" i="4"/>
  <c r="C853" i="4"/>
  <c r="B853" i="4"/>
  <c r="A853" i="4"/>
  <c r="AC852" i="4"/>
  <c r="AB852" i="4"/>
  <c r="AA852" i="4"/>
  <c r="Z852" i="4"/>
  <c r="Y852" i="4"/>
  <c r="X852" i="4"/>
  <c r="W852" i="4"/>
  <c r="V852" i="4"/>
  <c r="T852" i="4"/>
  <c r="U852" i="4" s="1"/>
  <c r="R852" i="4"/>
  <c r="S852" i="4" s="1"/>
  <c r="P852" i="4"/>
  <c r="Q852" i="4" s="1"/>
  <c r="N852" i="4"/>
  <c r="O852" i="4" s="1"/>
  <c r="M852" i="4"/>
  <c r="K852" i="4"/>
  <c r="L852" i="4" s="1"/>
  <c r="J852" i="4"/>
  <c r="H852" i="4"/>
  <c r="I852" i="4" s="1"/>
  <c r="G852" i="4"/>
  <c r="F852" i="4"/>
  <c r="E852" i="4"/>
  <c r="D852" i="4"/>
  <c r="C852" i="4"/>
  <c r="B852" i="4"/>
  <c r="A852" i="4"/>
  <c r="AG852" i="4" s="1"/>
  <c r="AC851" i="4"/>
  <c r="AB851" i="4"/>
  <c r="AA851" i="4"/>
  <c r="Z851" i="4"/>
  <c r="Y851" i="4"/>
  <c r="X851" i="4"/>
  <c r="W851" i="4"/>
  <c r="V851" i="4"/>
  <c r="T851" i="4"/>
  <c r="U851" i="4" s="1"/>
  <c r="R851" i="4"/>
  <c r="S851" i="4" s="1"/>
  <c r="P851" i="4"/>
  <c r="Q851" i="4" s="1"/>
  <c r="N851" i="4"/>
  <c r="O851" i="4" s="1"/>
  <c r="M851" i="4"/>
  <c r="K851" i="4"/>
  <c r="L851" i="4" s="1"/>
  <c r="J851" i="4"/>
  <c r="H851" i="4"/>
  <c r="I851" i="4" s="1"/>
  <c r="G851" i="4"/>
  <c r="F851" i="4"/>
  <c r="E851" i="4"/>
  <c r="D851" i="4"/>
  <c r="C851" i="4"/>
  <c r="B851" i="4"/>
  <c r="A851" i="4"/>
  <c r="AF851" i="4" s="1"/>
  <c r="AC850" i="4"/>
  <c r="AB850" i="4"/>
  <c r="AA850" i="4"/>
  <c r="Z850" i="4"/>
  <c r="Y850" i="4"/>
  <c r="X850" i="4"/>
  <c r="W850" i="4"/>
  <c r="V850" i="4"/>
  <c r="T850" i="4"/>
  <c r="U850" i="4" s="1"/>
  <c r="R850" i="4"/>
  <c r="S850" i="4" s="1"/>
  <c r="P850" i="4"/>
  <c r="Q850" i="4" s="1"/>
  <c r="O850" i="4"/>
  <c r="N850" i="4"/>
  <c r="M850" i="4"/>
  <c r="K850" i="4"/>
  <c r="L850" i="4" s="1"/>
  <c r="J850" i="4"/>
  <c r="H850" i="4"/>
  <c r="I850" i="4" s="1"/>
  <c r="G850" i="4"/>
  <c r="F850" i="4"/>
  <c r="E850" i="4"/>
  <c r="D850" i="4"/>
  <c r="C850" i="4"/>
  <c r="B850" i="4"/>
  <c r="A850" i="4"/>
  <c r="AG850" i="4" s="1"/>
  <c r="AC849" i="4"/>
  <c r="AB849" i="4"/>
  <c r="AA849" i="4"/>
  <c r="Z849" i="4"/>
  <c r="Y849" i="4"/>
  <c r="X849" i="4"/>
  <c r="W849" i="4"/>
  <c r="V849" i="4"/>
  <c r="T849" i="4"/>
  <c r="U849" i="4" s="1"/>
  <c r="R849" i="4"/>
  <c r="S849" i="4" s="1"/>
  <c r="P849" i="4"/>
  <c r="Q849" i="4" s="1"/>
  <c r="N849" i="4"/>
  <c r="O849" i="4" s="1"/>
  <c r="M849" i="4"/>
  <c r="K849" i="4"/>
  <c r="L849" i="4" s="1"/>
  <c r="J849" i="4"/>
  <c r="H849" i="4"/>
  <c r="I849" i="4" s="1"/>
  <c r="G849" i="4"/>
  <c r="F849" i="4"/>
  <c r="E849" i="4"/>
  <c r="D849" i="4"/>
  <c r="C849" i="4"/>
  <c r="B849" i="4"/>
  <c r="A849" i="4"/>
  <c r="AG849" i="4" s="1"/>
  <c r="AC848" i="4"/>
  <c r="AB848" i="4"/>
  <c r="AA848" i="4"/>
  <c r="Z848" i="4"/>
  <c r="Y848" i="4"/>
  <c r="X848" i="4"/>
  <c r="W848" i="4"/>
  <c r="V848" i="4"/>
  <c r="T848" i="4"/>
  <c r="U848" i="4" s="1"/>
  <c r="R848" i="4"/>
  <c r="S848" i="4" s="1"/>
  <c r="Q848" i="4"/>
  <c r="P848" i="4"/>
  <c r="N848" i="4"/>
  <c r="O848" i="4" s="1"/>
  <c r="M848" i="4"/>
  <c r="K848" i="4"/>
  <c r="L848" i="4" s="1"/>
  <c r="J848" i="4"/>
  <c r="H848" i="4"/>
  <c r="I848" i="4" s="1"/>
  <c r="G848" i="4"/>
  <c r="F848" i="4"/>
  <c r="E848" i="4"/>
  <c r="D848" i="4"/>
  <c r="C848" i="4"/>
  <c r="B848" i="4"/>
  <c r="A848" i="4"/>
  <c r="AC847" i="4"/>
  <c r="AB847" i="4"/>
  <c r="AA847" i="4"/>
  <c r="Z847" i="4"/>
  <c r="Y847" i="4"/>
  <c r="X847" i="4"/>
  <c r="W847" i="4"/>
  <c r="V847" i="4"/>
  <c r="T847" i="4"/>
  <c r="U847" i="4" s="1"/>
  <c r="R847" i="4"/>
  <c r="S847" i="4" s="1"/>
  <c r="P847" i="4"/>
  <c r="Q847" i="4" s="1"/>
  <c r="N847" i="4"/>
  <c r="O847" i="4" s="1"/>
  <c r="M847" i="4"/>
  <c r="K847" i="4"/>
  <c r="L847" i="4" s="1"/>
  <c r="J847" i="4"/>
  <c r="I847" i="4"/>
  <c r="H847" i="4"/>
  <c r="G847" i="4"/>
  <c r="F847" i="4"/>
  <c r="E847" i="4"/>
  <c r="D847" i="4"/>
  <c r="C847" i="4"/>
  <c r="B847" i="4"/>
  <c r="A847" i="4"/>
  <c r="AG847" i="4" s="1"/>
  <c r="AC846" i="4"/>
  <c r="AB846" i="4"/>
  <c r="AA846" i="4"/>
  <c r="Z846" i="4"/>
  <c r="Y846" i="4"/>
  <c r="X846" i="4"/>
  <c r="W846" i="4"/>
  <c r="V846" i="4"/>
  <c r="T846" i="4"/>
  <c r="U846" i="4" s="1"/>
  <c r="R846" i="4"/>
  <c r="S846" i="4" s="1"/>
  <c r="P846" i="4"/>
  <c r="Q846" i="4" s="1"/>
  <c r="N846" i="4"/>
  <c r="O846" i="4" s="1"/>
  <c r="M846" i="4"/>
  <c r="K846" i="4"/>
  <c r="L846" i="4" s="1"/>
  <c r="J846" i="4"/>
  <c r="H846" i="4"/>
  <c r="I846" i="4" s="1"/>
  <c r="G846" i="4"/>
  <c r="F846" i="4"/>
  <c r="E846" i="4"/>
  <c r="D846" i="4"/>
  <c r="C846" i="4"/>
  <c r="B846" i="4"/>
  <c r="A846" i="4"/>
  <c r="AD846" i="4" s="1"/>
  <c r="AE846" i="4" s="1"/>
  <c r="AC845" i="4"/>
  <c r="AB845" i="4"/>
  <c r="AA845" i="4"/>
  <c r="Z845" i="4"/>
  <c r="Y845" i="4"/>
  <c r="X845" i="4"/>
  <c r="W845" i="4"/>
  <c r="V845" i="4"/>
  <c r="T845" i="4"/>
  <c r="U845" i="4" s="1"/>
  <c r="R845" i="4"/>
  <c r="S845" i="4" s="1"/>
  <c r="P845" i="4"/>
  <c r="Q845" i="4" s="1"/>
  <c r="N845" i="4"/>
  <c r="O845" i="4" s="1"/>
  <c r="M845" i="4"/>
  <c r="K845" i="4"/>
  <c r="L845" i="4" s="1"/>
  <c r="J845" i="4"/>
  <c r="H845" i="4"/>
  <c r="I845" i="4" s="1"/>
  <c r="G845" i="4"/>
  <c r="F845" i="4"/>
  <c r="E845" i="4"/>
  <c r="D845" i="4"/>
  <c r="C845" i="4"/>
  <c r="B845" i="4"/>
  <c r="A845" i="4"/>
  <c r="AF845" i="4" s="1"/>
  <c r="AC844" i="4"/>
  <c r="AB844" i="4"/>
  <c r="AA844" i="4"/>
  <c r="Z844" i="4"/>
  <c r="Y844" i="4"/>
  <c r="X844" i="4"/>
  <c r="W844" i="4"/>
  <c r="V844" i="4"/>
  <c r="T844" i="4"/>
  <c r="U844" i="4" s="1"/>
  <c r="R844" i="4"/>
  <c r="S844" i="4" s="1"/>
  <c r="P844" i="4"/>
  <c r="Q844" i="4" s="1"/>
  <c r="N844" i="4"/>
  <c r="O844" i="4" s="1"/>
  <c r="M844" i="4"/>
  <c r="K844" i="4"/>
  <c r="L844" i="4" s="1"/>
  <c r="J844" i="4"/>
  <c r="H844" i="4"/>
  <c r="I844" i="4" s="1"/>
  <c r="G844" i="4"/>
  <c r="F844" i="4"/>
  <c r="E844" i="4"/>
  <c r="D844" i="4"/>
  <c r="C844" i="4"/>
  <c r="B844" i="4"/>
  <c r="A844" i="4"/>
  <c r="AC843" i="4"/>
  <c r="AB843" i="4"/>
  <c r="AA843" i="4"/>
  <c r="Z843" i="4"/>
  <c r="Y843" i="4"/>
  <c r="X843" i="4"/>
  <c r="W843" i="4"/>
  <c r="V843" i="4"/>
  <c r="T843" i="4"/>
  <c r="U843" i="4" s="1"/>
  <c r="R843" i="4"/>
  <c r="S843" i="4" s="1"/>
  <c r="P843" i="4"/>
  <c r="Q843" i="4" s="1"/>
  <c r="N843" i="4"/>
  <c r="O843" i="4" s="1"/>
  <c r="M843" i="4"/>
  <c r="K843" i="4"/>
  <c r="L843" i="4" s="1"/>
  <c r="J843" i="4"/>
  <c r="H843" i="4"/>
  <c r="I843" i="4" s="1"/>
  <c r="G843" i="4"/>
  <c r="F843" i="4"/>
  <c r="E843" i="4"/>
  <c r="D843" i="4"/>
  <c r="C843" i="4"/>
  <c r="B843" i="4"/>
  <c r="A843" i="4"/>
  <c r="AG843" i="4" s="1"/>
  <c r="AC842" i="4"/>
  <c r="AB842" i="4"/>
  <c r="AA842" i="4"/>
  <c r="Z842" i="4"/>
  <c r="Y842" i="4"/>
  <c r="X842" i="4"/>
  <c r="W842" i="4"/>
  <c r="V842" i="4"/>
  <c r="T842" i="4"/>
  <c r="U842" i="4" s="1"/>
  <c r="R842" i="4"/>
  <c r="S842" i="4" s="1"/>
  <c r="P842" i="4"/>
  <c r="Q842" i="4" s="1"/>
  <c r="N842" i="4"/>
  <c r="O842" i="4" s="1"/>
  <c r="M842" i="4"/>
  <c r="L842" i="4"/>
  <c r="K842" i="4"/>
  <c r="J842" i="4"/>
  <c r="H842" i="4"/>
  <c r="I842" i="4" s="1"/>
  <c r="G842" i="4"/>
  <c r="F842" i="4"/>
  <c r="E842" i="4"/>
  <c r="D842" i="4"/>
  <c r="C842" i="4"/>
  <c r="B842" i="4"/>
  <c r="A842" i="4"/>
  <c r="AG842" i="4" s="1"/>
  <c r="AC841" i="4"/>
  <c r="AB841" i="4"/>
  <c r="AA841" i="4"/>
  <c r="Z841" i="4"/>
  <c r="Y841" i="4"/>
  <c r="X841" i="4"/>
  <c r="W841" i="4"/>
  <c r="V841" i="4"/>
  <c r="T841" i="4"/>
  <c r="U841" i="4" s="1"/>
  <c r="R841" i="4"/>
  <c r="S841" i="4" s="1"/>
  <c r="P841" i="4"/>
  <c r="Q841" i="4" s="1"/>
  <c r="N841" i="4"/>
  <c r="O841" i="4" s="1"/>
  <c r="M841" i="4"/>
  <c r="K841" i="4"/>
  <c r="L841" i="4" s="1"/>
  <c r="J841" i="4"/>
  <c r="H841" i="4"/>
  <c r="I841" i="4" s="1"/>
  <c r="G841" i="4"/>
  <c r="F841" i="4"/>
  <c r="E841" i="4"/>
  <c r="D841" i="4"/>
  <c r="C841" i="4"/>
  <c r="B841" i="4"/>
  <c r="A841" i="4"/>
  <c r="AC840" i="4"/>
  <c r="AB840" i="4"/>
  <c r="AA840" i="4"/>
  <c r="Z840" i="4"/>
  <c r="Y840" i="4"/>
  <c r="X840" i="4"/>
  <c r="W840" i="4"/>
  <c r="V840" i="4"/>
  <c r="T840" i="4"/>
  <c r="U840" i="4" s="1"/>
  <c r="R840" i="4"/>
  <c r="S840" i="4" s="1"/>
  <c r="P840" i="4"/>
  <c r="Q840" i="4" s="1"/>
  <c r="N840" i="4"/>
  <c r="O840" i="4" s="1"/>
  <c r="M840" i="4"/>
  <c r="K840" i="4"/>
  <c r="L840" i="4" s="1"/>
  <c r="J840" i="4"/>
  <c r="H840" i="4"/>
  <c r="I840" i="4" s="1"/>
  <c r="G840" i="4"/>
  <c r="F840" i="4"/>
  <c r="E840" i="4"/>
  <c r="D840" i="4"/>
  <c r="C840" i="4"/>
  <c r="B840" i="4"/>
  <c r="A840" i="4"/>
  <c r="AF840" i="4" s="1"/>
  <c r="AC839" i="4"/>
  <c r="AB839" i="4"/>
  <c r="AA839" i="4"/>
  <c r="Z839" i="4"/>
  <c r="Y839" i="4"/>
  <c r="X839" i="4"/>
  <c r="W839" i="4"/>
  <c r="V839" i="4"/>
  <c r="T839" i="4"/>
  <c r="U839" i="4" s="1"/>
  <c r="R839" i="4"/>
  <c r="S839" i="4" s="1"/>
  <c r="P839" i="4"/>
  <c r="Q839" i="4" s="1"/>
  <c r="N839" i="4"/>
  <c r="O839" i="4" s="1"/>
  <c r="M839" i="4"/>
  <c r="K839" i="4"/>
  <c r="L839" i="4" s="1"/>
  <c r="J839" i="4"/>
  <c r="H839" i="4"/>
  <c r="I839" i="4" s="1"/>
  <c r="G839" i="4"/>
  <c r="F839" i="4"/>
  <c r="E839" i="4"/>
  <c r="D839" i="4"/>
  <c r="C839" i="4"/>
  <c r="B839" i="4"/>
  <c r="A839" i="4"/>
  <c r="AG839" i="4" s="1"/>
  <c r="AF838" i="4"/>
  <c r="AC838" i="4"/>
  <c r="AB838" i="4"/>
  <c r="AA838" i="4"/>
  <c r="Z838" i="4"/>
  <c r="Y838" i="4"/>
  <c r="X838" i="4"/>
  <c r="W838" i="4"/>
  <c r="V838" i="4"/>
  <c r="T838" i="4"/>
  <c r="U838" i="4" s="1"/>
  <c r="R838" i="4"/>
  <c r="S838" i="4" s="1"/>
  <c r="P838" i="4"/>
  <c r="Q838" i="4" s="1"/>
  <c r="N838" i="4"/>
  <c r="O838" i="4" s="1"/>
  <c r="M838" i="4"/>
  <c r="K838" i="4"/>
  <c r="L838" i="4" s="1"/>
  <c r="J838" i="4"/>
  <c r="H838" i="4"/>
  <c r="I838" i="4" s="1"/>
  <c r="G838" i="4"/>
  <c r="F838" i="4"/>
  <c r="E838" i="4"/>
  <c r="D838" i="4"/>
  <c r="C838" i="4"/>
  <c r="B838" i="4"/>
  <c r="A838" i="4"/>
  <c r="AD838" i="4" s="1"/>
  <c r="AE838" i="4" s="1"/>
  <c r="AC837" i="4"/>
  <c r="AB837" i="4"/>
  <c r="AA837" i="4"/>
  <c r="Z837" i="4"/>
  <c r="Y837" i="4"/>
  <c r="X837" i="4"/>
  <c r="W837" i="4"/>
  <c r="V837" i="4"/>
  <c r="T837" i="4"/>
  <c r="U837" i="4" s="1"/>
  <c r="R837" i="4"/>
  <c r="S837" i="4" s="1"/>
  <c r="P837" i="4"/>
  <c r="Q837" i="4" s="1"/>
  <c r="N837" i="4"/>
  <c r="O837" i="4" s="1"/>
  <c r="M837" i="4"/>
  <c r="K837" i="4"/>
  <c r="L837" i="4" s="1"/>
  <c r="J837" i="4"/>
  <c r="H837" i="4"/>
  <c r="I837" i="4" s="1"/>
  <c r="G837" i="4"/>
  <c r="F837" i="4"/>
  <c r="E837" i="4"/>
  <c r="D837" i="4"/>
  <c r="C837" i="4"/>
  <c r="B837" i="4"/>
  <c r="A837" i="4"/>
  <c r="AC836" i="4"/>
  <c r="AB836" i="4"/>
  <c r="AA836" i="4"/>
  <c r="Z836" i="4"/>
  <c r="Y836" i="4"/>
  <c r="X836" i="4"/>
  <c r="W836" i="4"/>
  <c r="V836" i="4"/>
  <c r="T836" i="4"/>
  <c r="U836" i="4" s="1"/>
  <c r="R836" i="4"/>
  <c r="S836" i="4" s="1"/>
  <c r="P836" i="4"/>
  <c r="Q836" i="4" s="1"/>
  <c r="N836" i="4"/>
  <c r="O836" i="4" s="1"/>
  <c r="M836" i="4"/>
  <c r="K836" i="4"/>
  <c r="L836" i="4" s="1"/>
  <c r="J836" i="4"/>
  <c r="H836" i="4"/>
  <c r="I836" i="4" s="1"/>
  <c r="G836" i="4"/>
  <c r="F836" i="4"/>
  <c r="E836" i="4"/>
  <c r="D836" i="4"/>
  <c r="C836" i="4"/>
  <c r="B836" i="4"/>
  <c r="A836" i="4"/>
  <c r="AG836" i="4" s="1"/>
  <c r="AC835" i="4"/>
  <c r="AB835" i="4"/>
  <c r="AA835" i="4"/>
  <c r="Z835" i="4"/>
  <c r="Y835" i="4"/>
  <c r="X835" i="4"/>
  <c r="W835" i="4"/>
  <c r="V835" i="4"/>
  <c r="T835" i="4"/>
  <c r="U835" i="4" s="1"/>
  <c r="R835" i="4"/>
  <c r="S835" i="4" s="1"/>
  <c r="P835" i="4"/>
  <c r="Q835" i="4" s="1"/>
  <c r="N835" i="4"/>
  <c r="O835" i="4" s="1"/>
  <c r="M835" i="4"/>
  <c r="K835" i="4"/>
  <c r="L835" i="4" s="1"/>
  <c r="J835" i="4"/>
  <c r="H835" i="4"/>
  <c r="I835" i="4" s="1"/>
  <c r="G835" i="4"/>
  <c r="F835" i="4"/>
  <c r="E835" i="4"/>
  <c r="D835" i="4"/>
  <c r="C835" i="4"/>
  <c r="B835" i="4"/>
  <c r="A835" i="4"/>
  <c r="AG835" i="4" s="1"/>
  <c r="AC834" i="4"/>
  <c r="AB834" i="4"/>
  <c r="AA834" i="4"/>
  <c r="Z834" i="4"/>
  <c r="Y834" i="4"/>
  <c r="X834" i="4"/>
  <c r="W834" i="4"/>
  <c r="V834" i="4"/>
  <c r="T834" i="4"/>
  <c r="U834" i="4" s="1"/>
  <c r="R834" i="4"/>
  <c r="S834" i="4" s="1"/>
  <c r="P834" i="4"/>
  <c r="Q834" i="4" s="1"/>
  <c r="N834" i="4"/>
  <c r="O834" i="4" s="1"/>
  <c r="M834" i="4"/>
  <c r="K834" i="4"/>
  <c r="L834" i="4" s="1"/>
  <c r="J834" i="4"/>
  <c r="H834" i="4"/>
  <c r="I834" i="4" s="1"/>
  <c r="G834" i="4"/>
  <c r="F834" i="4"/>
  <c r="E834" i="4"/>
  <c r="D834" i="4"/>
  <c r="C834" i="4"/>
  <c r="B834" i="4"/>
  <c r="A834" i="4"/>
  <c r="AF834" i="4" s="1"/>
  <c r="AC833" i="4"/>
  <c r="AB833" i="4"/>
  <c r="AA833" i="4"/>
  <c r="Z833" i="4"/>
  <c r="Y833" i="4"/>
  <c r="X833" i="4"/>
  <c r="W833" i="4"/>
  <c r="V833" i="4"/>
  <c r="T833" i="4"/>
  <c r="U833" i="4" s="1"/>
  <c r="R833" i="4"/>
  <c r="S833" i="4" s="1"/>
  <c r="P833" i="4"/>
  <c r="Q833" i="4" s="1"/>
  <c r="N833" i="4"/>
  <c r="O833" i="4" s="1"/>
  <c r="M833" i="4"/>
  <c r="K833" i="4"/>
  <c r="L833" i="4" s="1"/>
  <c r="J833" i="4"/>
  <c r="H833" i="4"/>
  <c r="I833" i="4" s="1"/>
  <c r="G833" i="4"/>
  <c r="F833" i="4"/>
  <c r="E833" i="4"/>
  <c r="D833" i="4"/>
  <c r="C833" i="4"/>
  <c r="B833" i="4"/>
  <c r="A833" i="4"/>
  <c r="AG833" i="4" s="1"/>
  <c r="AC832" i="4"/>
  <c r="AB832" i="4"/>
  <c r="AA832" i="4"/>
  <c r="Z832" i="4"/>
  <c r="Y832" i="4"/>
  <c r="X832" i="4"/>
  <c r="W832" i="4"/>
  <c r="V832" i="4"/>
  <c r="T832" i="4"/>
  <c r="U832" i="4" s="1"/>
  <c r="R832" i="4"/>
  <c r="S832" i="4" s="1"/>
  <c r="P832" i="4"/>
  <c r="Q832" i="4" s="1"/>
  <c r="N832" i="4"/>
  <c r="O832" i="4" s="1"/>
  <c r="M832" i="4"/>
  <c r="K832" i="4"/>
  <c r="L832" i="4" s="1"/>
  <c r="J832" i="4"/>
  <c r="H832" i="4"/>
  <c r="I832" i="4" s="1"/>
  <c r="G832" i="4"/>
  <c r="F832" i="4"/>
  <c r="E832" i="4"/>
  <c r="D832" i="4"/>
  <c r="C832" i="4"/>
  <c r="B832" i="4"/>
  <c r="A832" i="4"/>
  <c r="AG832" i="4" s="1"/>
  <c r="AC831" i="4"/>
  <c r="AB831" i="4"/>
  <c r="AA831" i="4"/>
  <c r="Z831" i="4"/>
  <c r="Y831" i="4"/>
  <c r="X831" i="4"/>
  <c r="W831" i="4"/>
  <c r="V831" i="4"/>
  <c r="T831" i="4"/>
  <c r="U831" i="4" s="1"/>
  <c r="R831" i="4"/>
  <c r="S831" i="4" s="1"/>
  <c r="P831" i="4"/>
  <c r="Q831" i="4" s="1"/>
  <c r="N831" i="4"/>
  <c r="O831" i="4" s="1"/>
  <c r="M831" i="4"/>
  <c r="K831" i="4"/>
  <c r="L831" i="4" s="1"/>
  <c r="J831" i="4"/>
  <c r="H831" i="4"/>
  <c r="I831" i="4" s="1"/>
  <c r="G831" i="4"/>
  <c r="F831" i="4"/>
  <c r="E831" i="4"/>
  <c r="D831" i="4"/>
  <c r="C831" i="4"/>
  <c r="B831" i="4"/>
  <c r="A831" i="4"/>
  <c r="AG831" i="4" s="1"/>
  <c r="AC830" i="4"/>
  <c r="AB830" i="4"/>
  <c r="AA830" i="4"/>
  <c r="Z830" i="4"/>
  <c r="Y830" i="4"/>
  <c r="X830" i="4"/>
  <c r="W830" i="4"/>
  <c r="V830" i="4"/>
  <c r="T830" i="4"/>
  <c r="U830" i="4" s="1"/>
  <c r="R830" i="4"/>
  <c r="S830" i="4" s="1"/>
  <c r="P830" i="4"/>
  <c r="Q830" i="4" s="1"/>
  <c r="N830" i="4"/>
  <c r="O830" i="4" s="1"/>
  <c r="M830" i="4"/>
  <c r="K830" i="4"/>
  <c r="L830" i="4" s="1"/>
  <c r="J830" i="4"/>
  <c r="I830" i="4"/>
  <c r="H830" i="4"/>
  <c r="G830" i="4"/>
  <c r="F830" i="4"/>
  <c r="E830" i="4"/>
  <c r="D830" i="4"/>
  <c r="C830" i="4"/>
  <c r="B830" i="4"/>
  <c r="A830" i="4"/>
  <c r="AG830" i="4" s="1"/>
  <c r="AC829" i="4"/>
  <c r="AB829" i="4"/>
  <c r="AA829" i="4"/>
  <c r="Z829" i="4"/>
  <c r="Y829" i="4"/>
  <c r="X829" i="4"/>
  <c r="W829" i="4"/>
  <c r="V829" i="4"/>
  <c r="T829" i="4"/>
  <c r="U829" i="4" s="1"/>
  <c r="R829" i="4"/>
  <c r="S829" i="4" s="1"/>
  <c r="P829" i="4"/>
  <c r="Q829" i="4" s="1"/>
  <c r="N829" i="4"/>
  <c r="O829" i="4" s="1"/>
  <c r="M829" i="4"/>
  <c r="K829" i="4"/>
  <c r="L829" i="4" s="1"/>
  <c r="J829" i="4"/>
  <c r="H829" i="4"/>
  <c r="I829" i="4" s="1"/>
  <c r="G829" i="4"/>
  <c r="F829" i="4"/>
  <c r="E829" i="4"/>
  <c r="D829" i="4"/>
  <c r="C829" i="4"/>
  <c r="B829" i="4"/>
  <c r="A829" i="4"/>
  <c r="AG829" i="4" s="1"/>
  <c r="AC828" i="4"/>
  <c r="AB828" i="4"/>
  <c r="AA828" i="4"/>
  <c r="Z828" i="4"/>
  <c r="Y828" i="4"/>
  <c r="X828" i="4"/>
  <c r="W828" i="4"/>
  <c r="V828" i="4"/>
  <c r="T828" i="4"/>
  <c r="U828" i="4" s="1"/>
  <c r="R828" i="4"/>
  <c r="S828" i="4" s="1"/>
  <c r="P828" i="4"/>
  <c r="Q828" i="4" s="1"/>
  <c r="N828" i="4"/>
  <c r="O828" i="4" s="1"/>
  <c r="M828" i="4"/>
  <c r="K828" i="4"/>
  <c r="L828" i="4" s="1"/>
  <c r="J828" i="4"/>
  <c r="H828" i="4"/>
  <c r="I828" i="4" s="1"/>
  <c r="G828" i="4"/>
  <c r="F828" i="4"/>
  <c r="E828" i="4"/>
  <c r="D828" i="4"/>
  <c r="C828" i="4"/>
  <c r="B828" i="4"/>
  <c r="A828" i="4"/>
  <c r="AG828" i="4" s="1"/>
  <c r="AC827" i="4"/>
  <c r="AB827" i="4"/>
  <c r="AA827" i="4"/>
  <c r="Z827" i="4"/>
  <c r="Y827" i="4"/>
  <c r="X827" i="4"/>
  <c r="W827" i="4"/>
  <c r="V827" i="4"/>
  <c r="T827" i="4"/>
  <c r="U827" i="4" s="1"/>
  <c r="R827" i="4"/>
  <c r="S827" i="4" s="1"/>
  <c r="P827" i="4"/>
  <c r="Q827" i="4" s="1"/>
  <c r="N827" i="4"/>
  <c r="O827" i="4" s="1"/>
  <c r="M827" i="4"/>
  <c r="K827" i="4"/>
  <c r="L827" i="4" s="1"/>
  <c r="J827" i="4"/>
  <c r="H827" i="4"/>
  <c r="I827" i="4" s="1"/>
  <c r="G827" i="4"/>
  <c r="F827" i="4"/>
  <c r="E827" i="4"/>
  <c r="D827" i="4"/>
  <c r="C827" i="4"/>
  <c r="B827" i="4"/>
  <c r="A827" i="4"/>
  <c r="AC826" i="4"/>
  <c r="AB826" i="4"/>
  <c r="AA826" i="4"/>
  <c r="Z826" i="4"/>
  <c r="Y826" i="4"/>
  <c r="X826" i="4"/>
  <c r="W826" i="4"/>
  <c r="V826" i="4"/>
  <c r="T826" i="4"/>
  <c r="U826" i="4" s="1"/>
  <c r="R826" i="4"/>
  <c r="S826" i="4" s="1"/>
  <c r="P826" i="4"/>
  <c r="Q826" i="4" s="1"/>
  <c r="N826" i="4"/>
  <c r="O826" i="4" s="1"/>
  <c r="M826" i="4"/>
  <c r="K826" i="4"/>
  <c r="L826" i="4" s="1"/>
  <c r="J826" i="4"/>
  <c r="H826" i="4"/>
  <c r="I826" i="4" s="1"/>
  <c r="G826" i="4"/>
  <c r="F826" i="4"/>
  <c r="E826" i="4"/>
  <c r="D826" i="4"/>
  <c r="C826" i="4"/>
  <c r="B826" i="4"/>
  <c r="A826" i="4"/>
  <c r="AC825" i="4"/>
  <c r="AB825" i="4"/>
  <c r="AA825" i="4"/>
  <c r="Z825" i="4"/>
  <c r="Y825" i="4"/>
  <c r="X825" i="4"/>
  <c r="W825" i="4"/>
  <c r="V825" i="4"/>
  <c r="T825" i="4"/>
  <c r="U825" i="4" s="1"/>
  <c r="R825" i="4"/>
  <c r="S825" i="4" s="1"/>
  <c r="P825" i="4"/>
  <c r="Q825" i="4" s="1"/>
  <c r="N825" i="4"/>
  <c r="O825" i="4" s="1"/>
  <c r="M825" i="4"/>
  <c r="K825" i="4"/>
  <c r="L825" i="4" s="1"/>
  <c r="J825" i="4"/>
  <c r="H825" i="4"/>
  <c r="I825" i="4" s="1"/>
  <c r="G825" i="4"/>
  <c r="F825" i="4"/>
  <c r="E825" i="4"/>
  <c r="D825" i="4"/>
  <c r="C825" i="4"/>
  <c r="B825" i="4"/>
  <c r="A825" i="4"/>
  <c r="AF825" i="4" s="1"/>
  <c r="AC824" i="4"/>
  <c r="AB824" i="4"/>
  <c r="AA824" i="4"/>
  <c r="Z824" i="4"/>
  <c r="Y824" i="4"/>
  <c r="X824" i="4"/>
  <c r="W824" i="4"/>
  <c r="V824" i="4"/>
  <c r="T824" i="4"/>
  <c r="U824" i="4" s="1"/>
  <c r="R824" i="4"/>
  <c r="S824" i="4" s="1"/>
  <c r="P824" i="4"/>
  <c r="Q824" i="4" s="1"/>
  <c r="N824" i="4"/>
  <c r="O824" i="4" s="1"/>
  <c r="M824" i="4"/>
  <c r="K824" i="4"/>
  <c r="L824" i="4" s="1"/>
  <c r="J824" i="4"/>
  <c r="H824" i="4"/>
  <c r="I824" i="4" s="1"/>
  <c r="G824" i="4"/>
  <c r="F824" i="4"/>
  <c r="E824" i="4"/>
  <c r="D824" i="4"/>
  <c r="C824" i="4"/>
  <c r="B824" i="4"/>
  <c r="A824" i="4"/>
  <c r="AG824" i="4" s="1"/>
  <c r="AC823" i="4"/>
  <c r="AB823" i="4"/>
  <c r="AA823" i="4"/>
  <c r="Z823" i="4"/>
  <c r="Y823" i="4"/>
  <c r="X823" i="4"/>
  <c r="W823" i="4"/>
  <c r="V823" i="4"/>
  <c r="T823" i="4"/>
  <c r="U823" i="4" s="1"/>
  <c r="R823" i="4"/>
  <c r="S823" i="4" s="1"/>
  <c r="Q823" i="4"/>
  <c r="P823" i="4"/>
  <c r="N823" i="4"/>
  <c r="O823" i="4" s="1"/>
  <c r="M823" i="4"/>
  <c r="K823" i="4"/>
  <c r="L823" i="4" s="1"/>
  <c r="J823" i="4"/>
  <c r="H823" i="4"/>
  <c r="I823" i="4" s="1"/>
  <c r="G823" i="4"/>
  <c r="F823" i="4"/>
  <c r="E823" i="4"/>
  <c r="D823" i="4"/>
  <c r="C823" i="4"/>
  <c r="B823" i="4"/>
  <c r="A823" i="4"/>
  <c r="AG823" i="4" s="1"/>
  <c r="AC822" i="4"/>
  <c r="AB822" i="4"/>
  <c r="AA822" i="4"/>
  <c r="Z822" i="4"/>
  <c r="Y822" i="4"/>
  <c r="X822" i="4"/>
  <c r="W822" i="4"/>
  <c r="V822" i="4"/>
  <c r="T822" i="4"/>
  <c r="U822" i="4" s="1"/>
  <c r="R822" i="4"/>
  <c r="S822" i="4" s="1"/>
  <c r="Q822" i="4"/>
  <c r="P822" i="4"/>
  <c r="N822" i="4"/>
  <c r="O822" i="4" s="1"/>
  <c r="M822" i="4"/>
  <c r="K822" i="4"/>
  <c r="L822" i="4" s="1"/>
  <c r="J822" i="4"/>
  <c r="H822" i="4"/>
  <c r="I822" i="4" s="1"/>
  <c r="G822" i="4"/>
  <c r="F822" i="4"/>
  <c r="E822" i="4"/>
  <c r="D822" i="4"/>
  <c r="C822" i="4"/>
  <c r="B822" i="4"/>
  <c r="A822" i="4"/>
  <c r="AG822" i="4" s="1"/>
  <c r="AC821" i="4"/>
  <c r="AB821" i="4"/>
  <c r="AA821" i="4"/>
  <c r="Z821" i="4"/>
  <c r="Y821" i="4"/>
  <c r="X821" i="4"/>
  <c r="W821" i="4"/>
  <c r="V821" i="4"/>
  <c r="T821" i="4"/>
  <c r="U821" i="4" s="1"/>
  <c r="R821" i="4"/>
  <c r="S821" i="4" s="1"/>
  <c r="P821" i="4"/>
  <c r="Q821" i="4" s="1"/>
  <c r="N821" i="4"/>
  <c r="O821" i="4" s="1"/>
  <c r="M821" i="4"/>
  <c r="K821" i="4"/>
  <c r="L821" i="4" s="1"/>
  <c r="J821" i="4"/>
  <c r="H821" i="4"/>
  <c r="I821" i="4" s="1"/>
  <c r="G821" i="4"/>
  <c r="F821" i="4"/>
  <c r="E821" i="4"/>
  <c r="D821" i="4"/>
  <c r="C821" i="4"/>
  <c r="B821" i="4"/>
  <c r="A821" i="4"/>
  <c r="AG821" i="4" s="1"/>
  <c r="AC820" i="4"/>
  <c r="AB820" i="4"/>
  <c r="AA820" i="4"/>
  <c r="Z820" i="4"/>
  <c r="Y820" i="4"/>
  <c r="X820" i="4"/>
  <c r="W820" i="4"/>
  <c r="V820" i="4"/>
  <c r="T820" i="4"/>
  <c r="U820" i="4" s="1"/>
  <c r="R820" i="4"/>
  <c r="S820" i="4" s="1"/>
  <c r="P820" i="4"/>
  <c r="Q820" i="4" s="1"/>
  <c r="N820" i="4"/>
  <c r="O820" i="4" s="1"/>
  <c r="M820" i="4"/>
  <c r="K820" i="4"/>
  <c r="L820" i="4" s="1"/>
  <c r="J820" i="4"/>
  <c r="H820" i="4"/>
  <c r="I820" i="4" s="1"/>
  <c r="G820" i="4"/>
  <c r="F820" i="4"/>
  <c r="E820" i="4"/>
  <c r="D820" i="4"/>
  <c r="C820" i="4"/>
  <c r="B820" i="4"/>
  <c r="A820" i="4"/>
  <c r="AG820" i="4" s="1"/>
  <c r="AC819" i="4"/>
  <c r="AB819" i="4"/>
  <c r="AA819" i="4"/>
  <c r="Z819" i="4"/>
  <c r="Y819" i="4"/>
  <c r="X819" i="4"/>
  <c r="W819" i="4"/>
  <c r="V819" i="4"/>
  <c r="T819" i="4"/>
  <c r="U819" i="4" s="1"/>
  <c r="R819" i="4"/>
  <c r="S819" i="4" s="1"/>
  <c r="P819" i="4"/>
  <c r="Q819" i="4" s="1"/>
  <c r="N819" i="4"/>
  <c r="O819" i="4" s="1"/>
  <c r="M819" i="4"/>
  <c r="K819" i="4"/>
  <c r="L819" i="4" s="1"/>
  <c r="J819" i="4"/>
  <c r="H819" i="4"/>
  <c r="I819" i="4" s="1"/>
  <c r="G819" i="4"/>
  <c r="F819" i="4"/>
  <c r="E819" i="4"/>
  <c r="D819" i="4"/>
  <c r="C819" i="4"/>
  <c r="B819" i="4"/>
  <c r="A819" i="4"/>
  <c r="AC818" i="4"/>
  <c r="AB818" i="4"/>
  <c r="AA818" i="4"/>
  <c r="Z818" i="4"/>
  <c r="Y818" i="4"/>
  <c r="X818" i="4"/>
  <c r="W818" i="4"/>
  <c r="V818" i="4"/>
  <c r="T818" i="4"/>
  <c r="U818" i="4" s="1"/>
  <c r="R818" i="4"/>
  <c r="S818" i="4" s="1"/>
  <c r="P818" i="4"/>
  <c r="Q818" i="4" s="1"/>
  <c r="N818" i="4"/>
  <c r="O818" i="4" s="1"/>
  <c r="M818" i="4"/>
  <c r="K818" i="4"/>
  <c r="L818" i="4" s="1"/>
  <c r="J818" i="4"/>
  <c r="H818" i="4"/>
  <c r="I818" i="4" s="1"/>
  <c r="G818" i="4"/>
  <c r="F818" i="4"/>
  <c r="E818" i="4"/>
  <c r="D818" i="4"/>
  <c r="C818" i="4"/>
  <c r="B818" i="4"/>
  <c r="A818" i="4"/>
  <c r="AG818" i="4" s="1"/>
  <c r="AC817" i="4"/>
  <c r="AB817" i="4"/>
  <c r="AA817" i="4"/>
  <c r="Z817" i="4"/>
  <c r="Y817" i="4"/>
  <c r="X817" i="4"/>
  <c r="W817" i="4"/>
  <c r="V817" i="4"/>
  <c r="T817" i="4"/>
  <c r="U817" i="4" s="1"/>
  <c r="R817" i="4"/>
  <c r="S817" i="4" s="1"/>
  <c r="P817" i="4"/>
  <c r="Q817" i="4" s="1"/>
  <c r="N817" i="4"/>
  <c r="O817" i="4" s="1"/>
  <c r="M817" i="4"/>
  <c r="K817" i="4"/>
  <c r="L817" i="4" s="1"/>
  <c r="J817" i="4"/>
  <c r="H817" i="4"/>
  <c r="I817" i="4" s="1"/>
  <c r="G817" i="4"/>
  <c r="F817" i="4"/>
  <c r="E817" i="4"/>
  <c r="D817" i="4"/>
  <c r="C817" i="4"/>
  <c r="B817" i="4"/>
  <c r="A817" i="4"/>
  <c r="AF817" i="4" s="1"/>
  <c r="AC816" i="4"/>
  <c r="AB816" i="4"/>
  <c r="AA816" i="4"/>
  <c r="Z816" i="4"/>
  <c r="Y816" i="4"/>
  <c r="X816" i="4"/>
  <c r="W816" i="4"/>
  <c r="V816" i="4"/>
  <c r="T816" i="4"/>
  <c r="U816" i="4" s="1"/>
  <c r="R816" i="4"/>
  <c r="S816" i="4" s="1"/>
  <c r="P816" i="4"/>
  <c r="Q816" i="4" s="1"/>
  <c r="N816" i="4"/>
  <c r="O816" i="4" s="1"/>
  <c r="M816" i="4"/>
  <c r="L816" i="4"/>
  <c r="K816" i="4"/>
  <c r="J816" i="4"/>
  <c r="H816" i="4"/>
  <c r="I816" i="4" s="1"/>
  <c r="G816" i="4"/>
  <c r="F816" i="4"/>
  <c r="E816" i="4"/>
  <c r="D816" i="4"/>
  <c r="C816" i="4"/>
  <c r="B816" i="4"/>
  <c r="A816" i="4"/>
  <c r="AG816" i="4" s="1"/>
  <c r="AC815" i="4"/>
  <c r="AB815" i="4"/>
  <c r="AA815" i="4"/>
  <c r="Z815" i="4"/>
  <c r="Y815" i="4"/>
  <c r="X815" i="4"/>
  <c r="W815" i="4"/>
  <c r="V815" i="4"/>
  <c r="T815" i="4"/>
  <c r="U815" i="4" s="1"/>
  <c r="R815" i="4"/>
  <c r="S815" i="4" s="1"/>
  <c r="P815" i="4"/>
  <c r="Q815" i="4" s="1"/>
  <c r="N815" i="4"/>
  <c r="O815" i="4" s="1"/>
  <c r="M815" i="4"/>
  <c r="K815" i="4"/>
  <c r="L815" i="4" s="1"/>
  <c r="J815" i="4"/>
  <c r="I815" i="4"/>
  <c r="H815" i="4"/>
  <c r="G815" i="4"/>
  <c r="F815" i="4"/>
  <c r="E815" i="4"/>
  <c r="D815" i="4"/>
  <c r="C815" i="4"/>
  <c r="B815" i="4"/>
  <c r="A815" i="4"/>
  <c r="AG815" i="4" s="1"/>
  <c r="AC814" i="4"/>
  <c r="AB814" i="4"/>
  <c r="AA814" i="4"/>
  <c r="Z814" i="4"/>
  <c r="Y814" i="4"/>
  <c r="X814" i="4"/>
  <c r="W814" i="4"/>
  <c r="V814" i="4"/>
  <c r="T814" i="4"/>
  <c r="U814" i="4" s="1"/>
  <c r="R814" i="4"/>
  <c r="S814" i="4" s="1"/>
  <c r="P814" i="4"/>
  <c r="Q814" i="4" s="1"/>
  <c r="N814" i="4"/>
  <c r="O814" i="4" s="1"/>
  <c r="M814" i="4"/>
  <c r="K814" i="4"/>
  <c r="L814" i="4" s="1"/>
  <c r="J814" i="4"/>
  <c r="H814" i="4"/>
  <c r="I814" i="4" s="1"/>
  <c r="G814" i="4"/>
  <c r="F814" i="4"/>
  <c r="E814" i="4"/>
  <c r="D814" i="4"/>
  <c r="C814" i="4"/>
  <c r="B814" i="4"/>
  <c r="A814" i="4"/>
  <c r="AG814" i="4" s="1"/>
  <c r="AC813" i="4"/>
  <c r="AB813" i="4"/>
  <c r="AA813" i="4"/>
  <c r="Z813" i="4"/>
  <c r="Y813" i="4"/>
  <c r="X813" i="4"/>
  <c r="W813" i="4"/>
  <c r="V813" i="4"/>
  <c r="T813" i="4"/>
  <c r="U813" i="4" s="1"/>
  <c r="R813" i="4"/>
  <c r="S813" i="4" s="1"/>
  <c r="P813" i="4"/>
  <c r="Q813" i="4" s="1"/>
  <c r="N813" i="4"/>
  <c r="O813" i="4" s="1"/>
  <c r="M813" i="4"/>
  <c r="K813" i="4"/>
  <c r="L813" i="4" s="1"/>
  <c r="J813" i="4"/>
  <c r="H813" i="4"/>
  <c r="I813" i="4" s="1"/>
  <c r="G813" i="4"/>
  <c r="F813" i="4"/>
  <c r="E813" i="4"/>
  <c r="D813" i="4"/>
  <c r="C813" i="4"/>
  <c r="B813" i="4"/>
  <c r="A813" i="4"/>
  <c r="AG813" i="4" s="1"/>
  <c r="AC812" i="4"/>
  <c r="AB812" i="4"/>
  <c r="AA812" i="4"/>
  <c r="Z812" i="4"/>
  <c r="Y812" i="4"/>
  <c r="X812" i="4"/>
  <c r="W812" i="4"/>
  <c r="V812" i="4"/>
  <c r="T812" i="4"/>
  <c r="U812" i="4" s="1"/>
  <c r="R812" i="4"/>
  <c r="S812" i="4" s="1"/>
  <c r="P812" i="4"/>
  <c r="Q812" i="4" s="1"/>
  <c r="N812" i="4"/>
  <c r="O812" i="4" s="1"/>
  <c r="M812" i="4"/>
  <c r="K812" i="4"/>
  <c r="L812" i="4" s="1"/>
  <c r="J812" i="4"/>
  <c r="H812" i="4"/>
  <c r="I812" i="4" s="1"/>
  <c r="G812" i="4"/>
  <c r="F812" i="4"/>
  <c r="E812" i="4"/>
  <c r="D812" i="4"/>
  <c r="C812" i="4"/>
  <c r="B812" i="4"/>
  <c r="A812" i="4"/>
  <c r="AG812" i="4" s="1"/>
  <c r="AC811" i="4"/>
  <c r="AB811" i="4"/>
  <c r="AA811" i="4"/>
  <c r="Z811" i="4"/>
  <c r="Y811" i="4"/>
  <c r="X811" i="4"/>
  <c r="W811" i="4"/>
  <c r="V811" i="4"/>
  <c r="T811" i="4"/>
  <c r="U811" i="4" s="1"/>
  <c r="R811" i="4"/>
  <c r="S811" i="4" s="1"/>
  <c r="Q811" i="4"/>
  <c r="P811" i="4"/>
  <c r="N811" i="4"/>
  <c r="O811" i="4" s="1"/>
  <c r="M811" i="4"/>
  <c r="K811" i="4"/>
  <c r="L811" i="4" s="1"/>
  <c r="J811" i="4"/>
  <c r="H811" i="4"/>
  <c r="I811" i="4" s="1"/>
  <c r="G811" i="4"/>
  <c r="F811" i="4"/>
  <c r="E811" i="4"/>
  <c r="D811" i="4"/>
  <c r="C811" i="4"/>
  <c r="B811" i="4"/>
  <c r="A811" i="4"/>
  <c r="AG811" i="4" s="1"/>
  <c r="AC810" i="4"/>
  <c r="AB810" i="4"/>
  <c r="AA810" i="4"/>
  <c r="Z810" i="4"/>
  <c r="Y810" i="4"/>
  <c r="X810" i="4"/>
  <c r="W810" i="4"/>
  <c r="V810" i="4"/>
  <c r="T810" i="4"/>
  <c r="U810" i="4" s="1"/>
  <c r="R810" i="4"/>
  <c r="S810" i="4" s="1"/>
  <c r="P810" i="4"/>
  <c r="Q810" i="4" s="1"/>
  <c r="N810" i="4"/>
  <c r="O810" i="4" s="1"/>
  <c r="M810" i="4"/>
  <c r="K810" i="4"/>
  <c r="L810" i="4" s="1"/>
  <c r="J810" i="4"/>
  <c r="H810" i="4"/>
  <c r="I810" i="4" s="1"/>
  <c r="G810" i="4"/>
  <c r="F810" i="4"/>
  <c r="E810" i="4"/>
  <c r="D810" i="4"/>
  <c r="C810" i="4"/>
  <c r="B810" i="4"/>
  <c r="A810" i="4"/>
  <c r="AG810" i="4" s="1"/>
  <c r="AC809" i="4"/>
  <c r="AB809" i="4"/>
  <c r="AA809" i="4"/>
  <c r="Z809" i="4"/>
  <c r="Y809" i="4"/>
  <c r="X809" i="4"/>
  <c r="W809" i="4"/>
  <c r="V809" i="4"/>
  <c r="T809" i="4"/>
  <c r="U809" i="4" s="1"/>
  <c r="R809" i="4"/>
  <c r="S809" i="4" s="1"/>
  <c r="P809" i="4"/>
  <c r="Q809" i="4" s="1"/>
  <c r="N809" i="4"/>
  <c r="O809" i="4" s="1"/>
  <c r="M809" i="4"/>
  <c r="K809" i="4"/>
  <c r="L809" i="4" s="1"/>
  <c r="J809" i="4"/>
  <c r="H809" i="4"/>
  <c r="I809" i="4" s="1"/>
  <c r="G809" i="4"/>
  <c r="F809" i="4"/>
  <c r="E809" i="4"/>
  <c r="D809" i="4"/>
  <c r="C809" i="4"/>
  <c r="B809" i="4"/>
  <c r="A809" i="4"/>
  <c r="AF809" i="4" s="1"/>
  <c r="AC808" i="4"/>
  <c r="AB808" i="4"/>
  <c r="AA808" i="4"/>
  <c r="Z808" i="4"/>
  <c r="Y808" i="4"/>
  <c r="X808" i="4"/>
  <c r="W808" i="4"/>
  <c r="V808" i="4"/>
  <c r="T808" i="4"/>
  <c r="U808" i="4" s="1"/>
  <c r="R808" i="4"/>
  <c r="S808" i="4" s="1"/>
  <c r="P808" i="4"/>
  <c r="Q808" i="4" s="1"/>
  <c r="N808" i="4"/>
  <c r="O808" i="4" s="1"/>
  <c r="M808" i="4"/>
  <c r="K808" i="4"/>
  <c r="L808" i="4" s="1"/>
  <c r="J808" i="4"/>
  <c r="H808" i="4"/>
  <c r="I808" i="4" s="1"/>
  <c r="G808" i="4"/>
  <c r="F808" i="4"/>
  <c r="E808" i="4"/>
  <c r="D808" i="4"/>
  <c r="C808" i="4"/>
  <c r="B808" i="4"/>
  <c r="A808" i="4"/>
  <c r="AG808" i="4" s="1"/>
  <c r="AC807" i="4"/>
  <c r="AB807" i="4"/>
  <c r="AA807" i="4"/>
  <c r="Z807" i="4"/>
  <c r="Y807" i="4"/>
  <c r="X807" i="4"/>
  <c r="W807" i="4"/>
  <c r="V807" i="4"/>
  <c r="U807" i="4"/>
  <c r="T807" i="4"/>
  <c r="R807" i="4"/>
  <c r="S807" i="4" s="1"/>
  <c r="P807" i="4"/>
  <c r="Q807" i="4" s="1"/>
  <c r="N807" i="4"/>
  <c r="O807" i="4" s="1"/>
  <c r="M807" i="4"/>
  <c r="K807" i="4"/>
  <c r="L807" i="4" s="1"/>
  <c r="J807" i="4"/>
  <c r="H807" i="4"/>
  <c r="I807" i="4" s="1"/>
  <c r="G807" i="4"/>
  <c r="F807" i="4"/>
  <c r="E807" i="4"/>
  <c r="D807" i="4"/>
  <c r="C807" i="4"/>
  <c r="B807" i="4"/>
  <c r="A807" i="4"/>
  <c r="AG807" i="4" s="1"/>
  <c r="AC806" i="4"/>
  <c r="AB806" i="4"/>
  <c r="AA806" i="4"/>
  <c r="Z806" i="4"/>
  <c r="Y806" i="4"/>
  <c r="X806" i="4"/>
  <c r="W806" i="4"/>
  <c r="V806" i="4"/>
  <c r="T806" i="4"/>
  <c r="U806" i="4" s="1"/>
  <c r="R806" i="4"/>
  <c r="S806" i="4" s="1"/>
  <c r="P806" i="4"/>
  <c r="Q806" i="4" s="1"/>
  <c r="N806" i="4"/>
  <c r="O806" i="4" s="1"/>
  <c r="M806" i="4"/>
  <c r="K806" i="4"/>
  <c r="L806" i="4" s="1"/>
  <c r="J806" i="4"/>
  <c r="H806" i="4"/>
  <c r="I806" i="4" s="1"/>
  <c r="G806" i="4"/>
  <c r="F806" i="4"/>
  <c r="E806" i="4"/>
  <c r="D806" i="4"/>
  <c r="C806" i="4"/>
  <c r="B806" i="4"/>
  <c r="A806" i="4"/>
  <c r="AG806" i="4" s="1"/>
  <c r="AC805" i="4"/>
  <c r="AB805" i="4"/>
  <c r="AA805" i="4"/>
  <c r="Z805" i="4"/>
  <c r="Y805" i="4"/>
  <c r="X805" i="4"/>
  <c r="W805" i="4"/>
  <c r="V805" i="4"/>
  <c r="T805" i="4"/>
  <c r="U805" i="4" s="1"/>
  <c r="R805" i="4"/>
  <c r="S805" i="4" s="1"/>
  <c r="P805" i="4"/>
  <c r="Q805" i="4" s="1"/>
  <c r="N805" i="4"/>
  <c r="O805" i="4" s="1"/>
  <c r="M805" i="4"/>
  <c r="K805" i="4"/>
  <c r="L805" i="4" s="1"/>
  <c r="J805" i="4"/>
  <c r="H805" i="4"/>
  <c r="I805" i="4" s="1"/>
  <c r="G805" i="4"/>
  <c r="F805" i="4"/>
  <c r="E805" i="4"/>
  <c r="D805" i="4"/>
  <c r="C805" i="4"/>
  <c r="B805" i="4"/>
  <c r="A805" i="4"/>
  <c r="AG805" i="4" s="1"/>
  <c r="AC804" i="4"/>
  <c r="AB804" i="4"/>
  <c r="AA804" i="4"/>
  <c r="Z804" i="4"/>
  <c r="Y804" i="4"/>
  <c r="X804" i="4"/>
  <c r="W804" i="4"/>
  <c r="V804" i="4"/>
  <c r="T804" i="4"/>
  <c r="U804" i="4" s="1"/>
  <c r="R804" i="4"/>
  <c r="S804" i="4" s="1"/>
  <c r="P804" i="4"/>
  <c r="Q804" i="4" s="1"/>
  <c r="N804" i="4"/>
  <c r="O804" i="4" s="1"/>
  <c r="M804" i="4"/>
  <c r="K804" i="4"/>
  <c r="L804" i="4" s="1"/>
  <c r="J804" i="4"/>
  <c r="H804" i="4"/>
  <c r="I804" i="4" s="1"/>
  <c r="G804" i="4"/>
  <c r="F804" i="4"/>
  <c r="E804" i="4"/>
  <c r="D804" i="4"/>
  <c r="C804" i="4"/>
  <c r="B804" i="4"/>
  <c r="A804" i="4"/>
  <c r="AG804" i="4" s="1"/>
  <c r="AC803" i="4"/>
  <c r="AB803" i="4"/>
  <c r="AA803" i="4"/>
  <c r="Z803" i="4"/>
  <c r="Y803" i="4"/>
  <c r="X803" i="4"/>
  <c r="W803" i="4"/>
  <c r="V803" i="4"/>
  <c r="T803" i="4"/>
  <c r="U803" i="4" s="1"/>
  <c r="R803" i="4"/>
  <c r="S803" i="4" s="1"/>
  <c r="P803" i="4"/>
  <c r="Q803" i="4" s="1"/>
  <c r="N803" i="4"/>
  <c r="O803" i="4" s="1"/>
  <c r="M803" i="4"/>
  <c r="K803" i="4"/>
  <c r="L803" i="4" s="1"/>
  <c r="J803" i="4"/>
  <c r="H803" i="4"/>
  <c r="I803" i="4" s="1"/>
  <c r="G803" i="4"/>
  <c r="F803" i="4"/>
  <c r="E803" i="4"/>
  <c r="D803" i="4"/>
  <c r="C803" i="4"/>
  <c r="B803" i="4"/>
  <c r="A803" i="4"/>
  <c r="AC802" i="4"/>
  <c r="AB802" i="4"/>
  <c r="AA802" i="4"/>
  <c r="Z802" i="4"/>
  <c r="Y802" i="4"/>
  <c r="X802" i="4"/>
  <c r="W802" i="4"/>
  <c r="V802" i="4"/>
  <c r="T802" i="4"/>
  <c r="U802" i="4" s="1"/>
  <c r="R802" i="4"/>
  <c r="S802" i="4" s="1"/>
  <c r="P802" i="4"/>
  <c r="Q802" i="4" s="1"/>
  <c r="N802" i="4"/>
  <c r="O802" i="4" s="1"/>
  <c r="M802" i="4"/>
  <c r="K802" i="4"/>
  <c r="L802" i="4" s="1"/>
  <c r="J802" i="4"/>
  <c r="H802" i="4"/>
  <c r="I802" i="4" s="1"/>
  <c r="G802" i="4"/>
  <c r="F802" i="4"/>
  <c r="E802" i="4"/>
  <c r="D802" i="4"/>
  <c r="C802" i="4"/>
  <c r="B802" i="4"/>
  <c r="A802" i="4"/>
  <c r="AC801" i="4"/>
  <c r="AB801" i="4"/>
  <c r="AA801" i="4"/>
  <c r="Z801" i="4"/>
  <c r="Y801" i="4"/>
  <c r="X801" i="4"/>
  <c r="W801" i="4"/>
  <c r="V801" i="4"/>
  <c r="T801" i="4"/>
  <c r="U801" i="4" s="1"/>
  <c r="R801" i="4"/>
  <c r="S801" i="4" s="1"/>
  <c r="P801" i="4"/>
  <c r="Q801" i="4" s="1"/>
  <c r="N801" i="4"/>
  <c r="O801" i="4" s="1"/>
  <c r="M801" i="4"/>
  <c r="K801" i="4"/>
  <c r="L801" i="4" s="1"/>
  <c r="J801" i="4"/>
  <c r="H801" i="4"/>
  <c r="I801" i="4" s="1"/>
  <c r="G801" i="4"/>
  <c r="F801" i="4"/>
  <c r="E801" i="4"/>
  <c r="D801" i="4"/>
  <c r="C801" i="4"/>
  <c r="B801" i="4"/>
  <c r="A801" i="4"/>
  <c r="AF801" i="4" s="1"/>
  <c r="AC800" i="4"/>
  <c r="AB800" i="4"/>
  <c r="AA800" i="4"/>
  <c r="Z800" i="4"/>
  <c r="Y800" i="4"/>
  <c r="X800" i="4"/>
  <c r="W800" i="4"/>
  <c r="V800" i="4"/>
  <c r="T800" i="4"/>
  <c r="U800" i="4" s="1"/>
  <c r="R800" i="4"/>
  <c r="S800" i="4" s="1"/>
  <c r="P800" i="4"/>
  <c r="Q800" i="4" s="1"/>
  <c r="N800" i="4"/>
  <c r="O800" i="4" s="1"/>
  <c r="M800" i="4"/>
  <c r="K800" i="4"/>
  <c r="L800" i="4" s="1"/>
  <c r="J800" i="4"/>
  <c r="H800" i="4"/>
  <c r="I800" i="4" s="1"/>
  <c r="G800" i="4"/>
  <c r="F800" i="4"/>
  <c r="E800" i="4"/>
  <c r="D800" i="4"/>
  <c r="C800" i="4"/>
  <c r="B800" i="4"/>
  <c r="A800" i="4"/>
  <c r="AG800" i="4" s="1"/>
  <c r="AC799" i="4"/>
  <c r="AB799" i="4"/>
  <c r="AA799" i="4"/>
  <c r="Z799" i="4"/>
  <c r="Y799" i="4"/>
  <c r="X799" i="4"/>
  <c r="W799" i="4"/>
  <c r="V799" i="4"/>
  <c r="T799" i="4"/>
  <c r="U799" i="4" s="1"/>
  <c r="R799" i="4"/>
  <c r="S799" i="4" s="1"/>
  <c r="Q799" i="4"/>
  <c r="P799" i="4"/>
  <c r="O799" i="4"/>
  <c r="N799" i="4"/>
  <c r="M799" i="4"/>
  <c r="K799" i="4"/>
  <c r="L799" i="4" s="1"/>
  <c r="J799" i="4"/>
  <c r="H799" i="4"/>
  <c r="I799" i="4" s="1"/>
  <c r="G799" i="4"/>
  <c r="F799" i="4"/>
  <c r="E799" i="4"/>
  <c r="D799" i="4"/>
  <c r="C799" i="4"/>
  <c r="B799" i="4"/>
  <c r="A799" i="4"/>
  <c r="AG799" i="4" s="1"/>
  <c r="AC798" i="4"/>
  <c r="AB798" i="4"/>
  <c r="AA798" i="4"/>
  <c r="Z798" i="4"/>
  <c r="Y798" i="4"/>
  <c r="X798" i="4"/>
  <c r="W798" i="4"/>
  <c r="V798" i="4"/>
  <c r="T798" i="4"/>
  <c r="U798" i="4" s="1"/>
  <c r="R798" i="4"/>
  <c r="S798" i="4" s="1"/>
  <c r="P798" i="4"/>
  <c r="Q798" i="4" s="1"/>
  <c r="N798" i="4"/>
  <c r="O798" i="4" s="1"/>
  <c r="M798" i="4"/>
  <c r="K798" i="4"/>
  <c r="L798" i="4" s="1"/>
  <c r="J798" i="4"/>
  <c r="H798" i="4"/>
  <c r="I798" i="4" s="1"/>
  <c r="G798" i="4"/>
  <c r="F798" i="4"/>
  <c r="E798" i="4"/>
  <c r="D798" i="4"/>
  <c r="C798" i="4"/>
  <c r="B798" i="4"/>
  <c r="A798" i="4"/>
  <c r="AC797" i="4"/>
  <c r="AB797" i="4"/>
  <c r="AA797" i="4"/>
  <c r="Z797" i="4"/>
  <c r="Y797" i="4"/>
  <c r="X797" i="4"/>
  <c r="W797" i="4"/>
  <c r="V797" i="4"/>
  <c r="T797" i="4"/>
  <c r="U797" i="4" s="1"/>
  <c r="R797" i="4"/>
  <c r="S797" i="4" s="1"/>
  <c r="P797" i="4"/>
  <c r="Q797" i="4" s="1"/>
  <c r="N797" i="4"/>
  <c r="O797" i="4" s="1"/>
  <c r="M797" i="4"/>
  <c r="K797" i="4"/>
  <c r="L797" i="4" s="1"/>
  <c r="J797" i="4"/>
  <c r="H797" i="4"/>
  <c r="I797" i="4" s="1"/>
  <c r="G797" i="4"/>
  <c r="F797" i="4"/>
  <c r="E797" i="4"/>
  <c r="D797" i="4"/>
  <c r="C797" i="4"/>
  <c r="B797" i="4"/>
  <c r="A797" i="4"/>
  <c r="AG797" i="4" s="1"/>
  <c r="AC796" i="4"/>
  <c r="AB796" i="4"/>
  <c r="AA796" i="4"/>
  <c r="Z796" i="4"/>
  <c r="Y796" i="4"/>
  <c r="X796" i="4"/>
  <c r="W796" i="4"/>
  <c r="V796" i="4"/>
  <c r="T796" i="4"/>
  <c r="U796" i="4" s="1"/>
  <c r="R796" i="4"/>
  <c r="S796" i="4" s="1"/>
  <c r="P796" i="4"/>
  <c r="Q796" i="4" s="1"/>
  <c r="N796" i="4"/>
  <c r="O796" i="4" s="1"/>
  <c r="M796" i="4"/>
  <c r="K796" i="4"/>
  <c r="L796" i="4" s="1"/>
  <c r="J796" i="4"/>
  <c r="H796" i="4"/>
  <c r="I796" i="4" s="1"/>
  <c r="G796" i="4"/>
  <c r="F796" i="4"/>
  <c r="E796" i="4"/>
  <c r="D796" i="4"/>
  <c r="C796" i="4"/>
  <c r="B796" i="4"/>
  <c r="A796" i="4"/>
  <c r="AG796" i="4" s="1"/>
  <c r="AC795" i="4"/>
  <c r="AB795" i="4"/>
  <c r="AA795" i="4"/>
  <c r="Z795" i="4"/>
  <c r="Y795" i="4"/>
  <c r="X795" i="4"/>
  <c r="W795" i="4"/>
  <c r="V795" i="4"/>
  <c r="T795" i="4"/>
  <c r="U795" i="4" s="1"/>
  <c r="R795" i="4"/>
  <c r="S795" i="4" s="1"/>
  <c r="P795" i="4"/>
  <c r="Q795" i="4" s="1"/>
  <c r="N795" i="4"/>
  <c r="O795" i="4" s="1"/>
  <c r="M795" i="4"/>
  <c r="K795" i="4"/>
  <c r="L795" i="4" s="1"/>
  <c r="J795" i="4"/>
  <c r="H795" i="4"/>
  <c r="I795" i="4" s="1"/>
  <c r="G795" i="4"/>
  <c r="F795" i="4"/>
  <c r="E795" i="4"/>
  <c r="D795" i="4"/>
  <c r="C795" i="4"/>
  <c r="B795" i="4"/>
  <c r="A795" i="4"/>
  <c r="AC794" i="4"/>
  <c r="AB794" i="4"/>
  <c r="AA794" i="4"/>
  <c r="Z794" i="4"/>
  <c r="Y794" i="4"/>
  <c r="X794" i="4"/>
  <c r="W794" i="4"/>
  <c r="V794" i="4"/>
  <c r="T794" i="4"/>
  <c r="U794" i="4" s="1"/>
  <c r="R794" i="4"/>
  <c r="S794" i="4" s="1"/>
  <c r="P794" i="4"/>
  <c r="Q794" i="4" s="1"/>
  <c r="N794" i="4"/>
  <c r="O794" i="4" s="1"/>
  <c r="M794" i="4"/>
  <c r="K794" i="4"/>
  <c r="L794" i="4" s="1"/>
  <c r="J794" i="4"/>
  <c r="H794" i="4"/>
  <c r="I794" i="4" s="1"/>
  <c r="G794" i="4"/>
  <c r="F794" i="4"/>
  <c r="E794" i="4"/>
  <c r="D794" i="4"/>
  <c r="C794" i="4"/>
  <c r="B794" i="4"/>
  <c r="A794" i="4"/>
  <c r="AD794" i="4" s="1"/>
  <c r="AE794" i="4" s="1"/>
  <c r="AC793" i="4"/>
  <c r="AB793" i="4"/>
  <c r="AA793" i="4"/>
  <c r="Z793" i="4"/>
  <c r="Y793" i="4"/>
  <c r="X793" i="4"/>
  <c r="W793" i="4"/>
  <c r="V793" i="4"/>
  <c r="T793" i="4"/>
  <c r="U793" i="4" s="1"/>
  <c r="S793" i="4"/>
  <c r="R793" i="4"/>
  <c r="Q793" i="4"/>
  <c r="P793" i="4"/>
  <c r="N793" i="4"/>
  <c r="O793" i="4" s="1"/>
  <c r="M793" i="4"/>
  <c r="K793" i="4"/>
  <c r="L793" i="4" s="1"/>
  <c r="J793" i="4"/>
  <c r="H793" i="4"/>
  <c r="I793" i="4" s="1"/>
  <c r="G793" i="4"/>
  <c r="F793" i="4"/>
  <c r="E793" i="4"/>
  <c r="D793" i="4"/>
  <c r="C793" i="4"/>
  <c r="B793" i="4"/>
  <c r="A793" i="4"/>
  <c r="AF793" i="4" s="1"/>
  <c r="AC792" i="4"/>
  <c r="AB792" i="4"/>
  <c r="AA792" i="4"/>
  <c r="Z792" i="4"/>
  <c r="Y792" i="4"/>
  <c r="X792" i="4"/>
  <c r="W792" i="4"/>
  <c r="V792" i="4"/>
  <c r="T792" i="4"/>
  <c r="U792" i="4" s="1"/>
  <c r="R792" i="4"/>
  <c r="S792" i="4" s="1"/>
  <c r="P792" i="4"/>
  <c r="Q792" i="4" s="1"/>
  <c r="N792" i="4"/>
  <c r="O792" i="4" s="1"/>
  <c r="M792" i="4"/>
  <c r="K792" i="4"/>
  <c r="L792" i="4" s="1"/>
  <c r="J792" i="4"/>
  <c r="H792" i="4"/>
  <c r="I792" i="4" s="1"/>
  <c r="G792" i="4"/>
  <c r="F792" i="4"/>
  <c r="E792" i="4"/>
  <c r="D792" i="4"/>
  <c r="C792" i="4"/>
  <c r="B792" i="4"/>
  <c r="A792" i="4"/>
  <c r="AG792" i="4" s="1"/>
  <c r="AC791" i="4"/>
  <c r="AB791" i="4"/>
  <c r="AA791" i="4"/>
  <c r="Z791" i="4"/>
  <c r="Y791" i="4"/>
  <c r="X791" i="4"/>
  <c r="W791" i="4"/>
  <c r="V791" i="4"/>
  <c r="T791" i="4"/>
  <c r="U791" i="4" s="1"/>
  <c r="R791" i="4"/>
  <c r="S791" i="4" s="1"/>
  <c r="P791" i="4"/>
  <c r="Q791" i="4" s="1"/>
  <c r="N791" i="4"/>
  <c r="O791" i="4" s="1"/>
  <c r="M791" i="4"/>
  <c r="K791" i="4"/>
  <c r="L791" i="4" s="1"/>
  <c r="J791" i="4"/>
  <c r="H791" i="4"/>
  <c r="I791" i="4" s="1"/>
  <c r="G791" i="4"/>
  <c r="F791" i="4"/>
  <c r="E791" i="4"/>
  <c r="D791" i="4"/>
  <c r="C791" i="4"/>
  <c r="B791" i="4"/>
  <c r="A791" i="4"/>
  <c r="AG791" i="4" s="1"/>
  <c r="AC790" i="4"/>
  <c r="AB790" i="4"/>
  <c r="AA790" i="4"/>
  <c r="Z790" i="4"/>
  <c r="Y790" i="4"/>
  <c r="X790" i="4"/>
  <c r="W790" i="4"/>
  <c r="V790" i="4"/>
  <c r="T790" i="4"/>
  <c r="U790" i="4" s="1"/>
  <c r="R790" i="4"/>
  <c r="S790" i="4" s="1"/>
  <c r="P790" i="4"/>
  <c r="Q790" i="4" s="1"/>
  <c r="N790" i="4"/>
  <c r="O790" i="4" s="1"/>
  <c r="M790" i="4"/>
  <c r="K790" i="4"/>
  <c r="L790" i="4" s="1"/>
  <c r="J790" i="4"/>
  <c r="H790" i="4"/>
  <c r="I790" i="4" s="1"/>
  <c r="G790" i="4"/>
  <c r="F790" i="4"/>
  <c r="E790" i="4"/>
  <c r="D790" i="4"/>
  <c r="C790" i="4"/>
  <c r="B790" i="4"/>
  <c r="A790" i="4"/>
  <c r="AG790" i="4" s="1"/>
  <c r="AC789" i="4"/>
  <c r="AB789" i="4"/>
  <c r="AA789" i="4"/>
  <c r="Z789" i="4"/>
  <c r="Y789" i="4"/>
  <c r="X789" i="4"/>
  <c r="W789" i="4"/>
  <c r="V789" i="4"/>
  <c r="T789" i="4"/>
  <c r="U789" i="4" s="1"/>
  <c r="S789" i="4"/>
  <c r="R789" i="4"/>
  <c r="P789" i="4"/>
  <c r="Q789" i="4" s="1"/>
  <c r="N789" i="4"/>
  <c r="O789" i="4" s="1"/>
  <c r="M789" i="4"/>
  <c r="K789" i="4"/>
  <c r="L789" i="4" s="1"/>
  <c r="J789" i="4"/>
  <c r="H789" i="4"/>
  <c r="I789" i="4" s="1"/>
  <c r="G789" i="4"/>
  <c r="F789" i="4"/>
  <c r="E789" i="4"/>
  <c r="D789" i="4"/>
  <c r="C789" i="4"/>
  <c r="B789" i="4"/>
  <c r="A789" i="4"/>
  <c r="AG789" i="4" s="1"/>
  <c r="AC788" i="4"/>
  <c r="AB788" i="4"/>
  <c r="AA788" i="4"/>
  <c r="Z788" i="4"/>
  <c r="Y788" i="4"/>
  <c r="X788" i="4"/>
  <c r="W788" i="4"/>
  <c r="V788" i="4"/>
  <c r="T788" i="4"/>
  <c r="U788" i="4" s="1"/>
  <c r="R788" i="4"/>
  <c r="S788" i="4" s="1"/>
  <c r="P788" i="4"/>
  <c r="Q788" i="4" s="1"/>
  <c r="N788" i="4"/>
  <c r="O788" i="4" s="1"/>
  <c r="M788" i="4"/>
  <c r="K788" i="4"/>
  <c r="L788" i="4" s="1"/>
  <c r="J788" i="4"/>
  <c r="H788" i="4"/>
  <c r="I788" i="4" s="1"/>
  <c r="G788" i="4"/>
  <c r="F788" i="4"/>
  <c r="E788" i="4"/>
  <c r="D788" i="4"/>
  <c r="C788" i="4"/>
  <c r="B788" i="4"/>
  <c r="A788" i="4"/>
  <c r="AG788" i="4" s="1"/>
  <c r="AC787" i="4"/>
  <c r="AB787" i="4"/>
  <c r="AA787" i="4"/>
  <c r="Z787" i="4"/>
  <c r="Y787" i="4"/>
  <c r="X787" i="4"/>
  <c r="W787" i="4"/>
  <c r="V787" i="4"/>
  <c r="U787" i="4"/>
  <c r="T787" i="4"/>
  <c r="R787" i="4"/>
  <c r="S787" i="4" s="1"/>
  <c r="P787" i="4"/>
  <c r="Q787" i="4" s="1"/>
  <c r="N787" i="4"/>
  <c r="O787" i="4" s="1"/>
  <c r="M787" i="4"/>
  <c r="K787" i="4"/>
  <c r="L787" i="4" s="1"/>
  <c r="J787" i="4"/>
  <c r="H787" i="4"/>
  <c r="I787" i="4" s="1"/>
  <c r="G787" i="4"/>
  <c r="F787" i="4"/>
  <c r="E787" i="4"/>
  <c r="D787" i="4"/>
  <c r="C787" i="4"/>
  <c r="B787" i="4"/>
  <c r="A787" i="4"/>
  <c r="AG787" i="4" s="1"/>
  <c r="AC786" i="4"/>
  <c r="AB786" i="4"/>
  <c r="AA786" i="4"/>
  <c r="Z786" i="4"/>
  <c r="Y786" i="4"/>
  <c r="X786" i="4"/>
  <c r="W786" i="4"/>
  <c r="V786" i="4"/>
  <c r="T786" i="4"/>
  <c r="U786" i="4" s="1"/>
  <c r="R786" i="4"/>
  <c r="S786" i="4" s="1"/>
  <c r="P786" i="4"/>
  <c r="Q786" i="4" s="1"/>
  <c r="N786" i="4"/>
  <c r="O786" i="4" s="1"/>
  <c r="M786" i="4"/>
  <c r="K786" i="4"/>
  <c r="L786" i="4" s="1"/>
  <c r="J786" i="4"/>
  <c r="H786" i="4"/>
  <c r="I786" i="4" s="1"/>
  <c r="G786" i="4"/>
  <c r="F786" i="4"/>
  <c r="E786" i="4"/>
  <c r="D786" i="4"/>
  <c r="C786" i="4"/>
  <c r="B786" i="4"/>
  <c r="A786" i="4"/>
  <c r="AG786" i="4" s="1"/>
  <c r="AC785" i="4"/>
  <c r="AB785" i="4"/>
  <c r="AA785" i="4"/>
  <c r="Z785" i="4"/>
  <c r="Y785" i="4"/>
  <c r="X785" i="4"/>
  <c r="W785" i="4"/>
  <c r="V785" i="4"/>
  <c r="T785" i="4"/>
  <c r="U785" i="4" s="1"/>
  <c r="S785" i="4"/>
  <c r="R785" i="4"/>
  <c r="P785" i="4"/>
  <c r="Q785" i="4" s="1"/>
  <c r="N785" i="4"/>
  <c r="O785" i="4" s="1"/>
  <c r="M785" i="4"/>
  <c r="K785" i="4"/>
  <c r="L785" i="4" s="1"/>
  <c r="J785" i="4"/>
  <c r="H785" i="4"/>
  <c r="I785" i="4" s="1"/>
  <c r="G785" i="4"/>
  <c r="F785" i="4"/>
  <c r="E785" i="4"/>
  <c r="D785" i="4"/>
  <c r="C785" i="4"/>
  <c r="B785" i="4"/>
  <c r="A785" i="4"/>
  <c r="AF785" i="4" s="1"/>
  <c r="AC784" i="4"/>
  <c r="AB784" i="4"/>
  <c r="AA784" i="4"/>
  <c r="Z784" i="4"/>
  <c r="Y784" i="4"/>
  <c r="X784" i="4"/>
  <c r="W784" i="4"/>
  <c r="V784" i="4"/>
  <c r="T784" i="4"/>
  <c r="U784" i="4" s="1"/>
  <c r="R784" i="4"/>
  <c r="S784" i="4" s="1"/>
  <c r="P784" i="4"/>
  <c r="Q784" i="4" s="1"/>
  <c r="N784" i="4"/>
  <c r="O784" i="4" s="1"/>
  <c r="M784" i="4"/>
  <c r="K784" i="4"/>
  <c r="L784" i="4" s="1"/>
  <c r="J784" i="4"/>
  <c r="H784" i="4"/>
  <c r="I784" i="4" s="1"/>
  <c r="G784" i="4"/>
  <c r="F784" i="4"/>
  <c r="E784" i="4"/>
  <c r="D784" i="4"/>
  <c r="C784" i="4"/>
  <c r="B784" i="4"/>
  <c r="A784" i="4"/>
  <c r="AC783" i="4"/>
  <c r="AB783" i="4"/>
  <c r="AA783" i="4"/>
  <c r="Z783" i="4"/>
  <c r="Y783" i="4"/>
  <c r="X783" i="4"/>
  <c r="W783" i="4"/>
  <c r="V783" i="4"/>
  <c r="U783" i="4"/>
  <c r="T783" i="4"/>
  <c r="S783" i="4"/>
  <c r="R783" i="4"/>
  <c r="P783" i="4"/>
  <c r="Q783" i="4" s="1"/>
  <c r="N783" i="4"/>
  <c r="O783" i="4" s="1"/>
  <c r="M783" i="4"/>
  <c r="K783" i="4"/>
  <c r="L783" i="4" s="1"/>
  <c r="J783" i="4"/>
  <c r="H783" i="4"/>
  <c r="I783" i="4" s="1"/>
  <c r="G783" i="4"/>
  <c r="F783" i="4"/>
  <c r="E783" i="4"/>
  <c r="D783" i="4"/>
  <c r="C783" i="4"/>
  <c r="B783" i="4"/>
  <c r="A783" i="4"/>
  <c r="AG783" i="4" s="1"/>
  <c r="AC782" i="4"/>
  <c r="AB782" i="4"/>
  <c r="AA782" i="4"/>
  <c r="Z782" i="4"/>
  <c r="Y782" i="4"/>
  <c r="X782" i="4"/>
  <c r="W782" i="4"/>
  <c r="V782" i="4"/>
  <c r="T782" i="4"/>
  <c r="U782" i="4" s="1"/>
  <c r="R782" i="4"/>
  <c r="S782" i="4" s="1"/>
  <c r="P782" i="4"/>
  <c r="Q782" i="4" s="1"/>
  <c r="N782" i="4"/>
  <c r="O782" i="4" s="1"/>
  <c r="M782" i="4"/>
  <c r="K782" i="4"/>
  <c r="L782" i="4" s="1"/>
  <c r="J782" i="4"/>
  <c r="H782" i="4"/>
  <c r="I782" i="4" s="1"/>
  <c r="G782" i="4"/>
  <c r="F782" i="4"/>
  <c r="E782" i="4"/>
  <c r="D782" i="4"/>
  <c r="C782" i="4"/>
  <c r="B782" i="4"/>
  <c r="A782" i="4"/>
  <c r="AG782" i="4" s="1"/>
  <c r="AC781" i="4"/>
  <c r="AB781" i="4"/>
  <c r="AA781" i="4"/>
  <c r="Z781" i="4"/>
  <c r="Y781" i="4"/>
  <c r="X781" i="4"/>
  <c r="W781" i="4"/>
  <c r="V781" i="4"/>
  <c r="T781" i="4"/>
  <c r="U781" i="4" s="1"/>
  <c r="R781" i="4"/>
  <c r="S781" i="4" s="1"/>
  <c r="P781" i="4"/>
  <c r="Q781" i="4" s="1"/>
  <c r="N781" i="4"/>
  <c r="O781" i="4" s="1"/>
  <c r="M781" i="4"/>
  <c r="K781" i="4"/>
  <c r="L781" i="4" s="1"/>
  <c r="J781" i="4"/>
  <c r="H781" i="4"/>
  <c r="I781" i="4" s="1"/>
  <c r="G781" i="4"/>
  <c r="F781" i="4"/>
  <c r="E781" i="4"/>
  <c r="D781" i="4"/>
  <c r="C781" i="4"/>
  <c r="B781" i="4"/>
  <c r="A781" i="4"/>
  <c r="AG781" i="4" s="1"/>
  <c r="AC780" i="4"/>
  <c r="AB780" i="4"/>
  <c r="AA780" i="4"/>
  <c r="Z780" i="4"/>
  <c r="Y780" i="4"/>
  <c r="X780" i="4"/>
  <c r="W780" i="4"/>
  <c r="V780" i="4"/>
  <c r="T780" i="4"/>
  <c r="U780" i="4" s="1"/>
  <c r="R780" i="4"/>
  <c r="S780" i="4" s="1"/>
  <c r="P780" i="4"/>
  <c r="Q780" i="4" s="1"/>
  <c r="N780" i="4"/>
  <c r="O780" i="4" s="1"/>
  <c r="M780" i="4"/>
  <c r="K780" i="4"/>
  <c r="L780" i="4" s="1"/>
  <c r="J780" i="4"/>
  <c r="H780" i="4"/>
  <c r="I780" i="4" s="1"/>
  <c r="G780" i="4"/>
  <c r="F780" i="4"/>
  <c r="E780" i="4"/>
  <c r="D780" i="4"/>
  <c r="C780" i="4"/>
  <c r="B780" i="4"/>
  <c r="A780" i="4"/>
  <c r="AG780" i="4" s="1"/>
  <c r="AC779" i="4"/>
  <c r="AB779" i="4"/>
  <c r="AA779" i="4"/>
  <c r="Z779" i="4"/>
  <c r="Y779" i="4"/>
  <c r="X779" i="4"/>
  <c r="W779" i="4"/>
  <c r="V779" i="4"/>
  <c r="T779" i="4"/>
  <c r="U779" i="4" s="1"/>
  <c r="R779" i="4"/>
  <c r="S779" i="4" s="1"/>
  <c r="P779" i="4"/>
  <c r="Q779" i="4" s="1"/>
  <c r="N779" i="4"/>
  <c r="O779" i="4" s="1"/>
  <c r="M779" i="4"/>
  <c r="K779" i="4"/>
  <c r="L779" i="4" s="1"/>
  <c r="J779" i="4"/>
  <c r="H779" i="4"/>
  <c r="I779" i="4" s="1"/>
  <c r="G779" i="4"/>
  <c r="F779" i="4"/>
  <c r="E779" i="4"/>
  <c r="D779" i="4"/>
  <c r="C779" i="4"/>
  <c r="B779" i="4"/>
  <c r="A779" i="4"/>
  <c r="AG779" i="4" s="1"/>
  <c r="AC778" i="4"/>
  <c r="AB778" i="4"/>
  <c r="AA778" i="4"/>
  <c r="Z778" i="4"/>
  <c r="Y778" i="4"/>
  <c r="X778" i="4"/>
  <c r="W778" i="4"/>
  <c r="V778" i="4"/>
  <c r="T778" i="4"/>
  <c r="U778" i="4" s="1"/>
  <c r="R778" i="4"/>
  <c r="S778" i="4" s="1"/>
  <c r="P778" i="4"/>
  <c r="Q778" i="4" s="1"/>
  <c r="N778" i="4"/>
  <c r="O778" i="4" s="1"/>
  <c r="M778" i="4"/>
  <c r="K778" i="4"/>
  <c r="L778" i="4" s="1"/>
  <c r="J778" i="4"/>
  <c r="H778" i="4"/>
  <c r="I778" i="4" s="1"/>
  <c r="G778" i="4"/>
  <c r="F778" i="4"/>
  <c r="E778" i="4"/>
  <c r="D778" i="4"/>
  <c r="C778" i="4"/>
  <c r="B778" i="4"/>
  <c r="A778" i="4"/>
  <c r="AG778" i="4" s="1"/>
  <c r="AC777" i="4"/>
  <c r="AB777" i="4"/>
  <c r="AA777" i="4"/>
  <c r="Z777" i="4"/>
  <c r="Y777" i="4"/>
  <c r="X777" i="4"/>
  <c r="W777" i="4"/>
  <c r="V777" i="4"/>
  <c r="T777" i="4"/>
  <c r="U777" i="4" s="1"/>
  <c r="R777" i="4"/>
  <c r="S777" i="4" s="1"/>
  <c r="P777" i="4"/>
  <c r="Q777" i="4" s="1"/>
  <c r="N777" i="4"/>
  <c r="O777" i="4" s="1"/>
  <c r="M777" i="4"/>
  <c r="K777" i="4"/>
  <c r="L777" i="4" s="1"/>
  <c r="J777" i="4"/>
  <c r="H777" i="4"/>
  <c r="I777" i="4" s="1"/>
  <c r="G777" i="4"/>
  <c r="F777" i="4"/>
  <c r="E777" i="4"/>
  <c r="D777" i="4"/>
  <c r="C777" i="4"/>
  <c r="B777" i="4"/>
  <c r="A777" i="4"/>
  <c r="AG777" i="4" s="1"/>
  <c r="AC776" i="4"/>
  <c r="AB776" i="4"/>
  <c r="AA776" i="4"/>
  <c r="Z776" i="4"/>
  <c r="Y776" i="4"/>
  <c r="X776" i="4"/>
  <c r="W776" i="4"/>
  <c r="V776" i="4"/>
  <c r="T776" i="4"/>
  <c r="U776" i="4" s="1"/>
  <c r="R776" i="4"/>
  <c r="S776" i="4" s="1"/>
  <c r="P776" i="4"/>
  <c r="Q776" i="4" s="1"/>
  <c r="N776" i="4"/>
  <c r="O776" i="4" s="1"/>
  <c r="M776" i="4"/>
  <c r="K776" i="4"/>
  <c r="L776" i="4" s="1"/>
  <c r="J776" i="4"/>
  <c r="H776" i="4"/>
  <c r="I776" i="4" s="1"/>
  <c r="G776" i="4"/>
  <c r="F776" i="4"/>
  <c r="E776" i="4"/>
  <c r="D776" i="4"/>
  <c r="C776" i="4"/>
  <c r="B776" i="4"/>
  <c r="A776" i="4"/>
  <c r="AG776" i="4" s="1"/>
  <c r="AC775" i="4"/>
  <c r="AB775" i="4"/>
  <c r="AA775" i="4"/>
  <c r="Z775" i="4"/>
  <c r="Y775" i="4"/>
  <c r="X775" i="4"/>
  <c r="W775" i="4"/>
  <c r="V775" i="4"/>
  <c r="T775" i="4"/>
  <c r="U775" i="4" s="1"/>
  <c r="R775" i="4"/>
  <c r="S775" i="4" s="1"/>
  <c r="P775" i="4"/>
  <c r="Q775" i="4" s="1"/>
  <c r="N775" i="4"/>
  <c r="O775" i="4" s="1"/>
  <c r="M775" i="4"/>
  <c r="K775" i="4"/>
  <c r="L775" i="4" s="1"/>
  <c r="J775" i="4"/>
  <c r="H775" i="4"/>
  <c r="I775" i="4" s="1"/>
  <c r="G775" i="4"/>
  <c r="F775" i="4"/>
  <c r="E775" i="4"/>
  <c r="D775" i="4"/>
  <c r="C775" i="4"/>
  <c r="B775" i="4"/>
  <c r="A775" i="4"/>
  <c r="AG775" i="4" s="1"/>
  <c r="AC774" i="4"/>
  <c r="AB774" i="4"/>
  <c r="AA774" i="4"/>
  <c r="Z774" i="4"/>
  <c r="Y774" i="4"/>
  <c r="X774" i="4"/>
  <c r="W774" i="4"/>
  <c r="V774" i="4"/>
  <c r="T774" i="4"/>
  <c r="U774" i="4" s="1"/>
  <c r="R774" i="4"/>
  <c r="S774" i="4" s="1"/>
  <c r="P774" i="4"/>
  <c r="Q774" i="4" s="1"/>
  <c r="N774" i="4"/>
  <c r="O774" i="4" s="1"/>
  <c r="M774" i="4"/>
  <c r="K774" i="4"/>
  <c r="L774" i="4" s="1"/>
  <c r="J774" i="4"/>
  <c r="H774" i="4"/>
  <c r="I774" i="4" s="1"/>
  <c r="G774" i="4"/>
  <c r="F774" i="4"/>
  <c r="E774" i="4"/>
  <c r="D774" i="4"/>
  <c r="C774" i="4"/>
  <c r="B774" i="4"/>
  <c r="A774" i="4"/>
  <c r="AG774" i="4" s="1"/>
  <c r="AC773" i="4"/>
  <c r="AB773" i="4"/>
  <c r="AA773" i="4"/>
  <c r="Z773" i="4"/>
  <c r="Y773" i="4"/>
  <c r="X773" i="4"/>
  <c r="W773" i="4"/>
  <c r="V773" i="4"/>
  <c r="T773" i="4"/>
  <c r="U773" i="4" s="1"/>
  <c r="R773" i="4"/>
  <c r="S773" i="4" s="1"/>
  <c r="P773" i="4"/>
  <c r="Q773" i="4" s="1"/>
  <c r="N773" i="4"/>
  <c r="O773" i="4" s="1"/>
  <c r="M773" i="4"/>
  <c r="K773" i="4"/>
  <c r="L773" i="4" s="1"/>
  <c r="J773" i="4"/>
  <c r="H773" i="4"/>
  <c r="I773" i="4" s="1"/>
  <c r="G773" i="4"/>
  <c r="F773" i="4"/>
  <c r="E773" i="4"/>
  <c r="D773" i="4"/>
  <c r="C773" i="4"/>
  <c r="B773" i="4"/>
  <c r="A773" i="4"/>
  <c r="AG773" i="4" s="1"/>
  <c r="AC772" i="4"/>
  <c r="AB772" i="4"/>
  <c r="AA772" i="4"/>
  <c r="Z772" i="4"/>
  <c r="Y772" i="4"/>
  <c r="X772" i="4"/>
  <c r="W772" i="4"/>
  <c r="V772" i="4"/>
  <c r="T772" i="4"/>
  <c r="U772" i="4" s="1"/>
  <c r="R772" i="4"/>
  <c r="S772" i="4" s="1"/>
  <c r="P772" i="4"/>
  <c r="Q772" i="4" s="1"/>
  <c r="N772" i="4"/>
  <c r="O772" i="4" s="1"/>
  <c r="M772" i="4"/>
  <c r="K772" i="4"/>
  <c r="L772" i="4" s="1"/>
  <c r="J772" i="4"/>
  <c r="H772" i="4"/>
  <c r="I772" i="4" s="1"/>
  <c r="G772" i="4"/>
  <c r="F772" i="4"/>
  <c r="E772" i="4"/>
  <c r="D772" i="4"/>
  <c r="C772" i="4"/>
  <c r="B772" i="4"/>
  <c r="A772" i="4"/>
  <c r="AG772" i="4" s="1"/>
  <c r="AC771" i="4"/>
  <c r="AB771" i="4"/>
  <c r="AA771" i="4"/>
  <c r="Z771" i="4"/>
  <c r="Y771" i="4"/>
  <c r="X771" i="4"/>
  <c r="W771" i="4"/>
  <c r="V771" i="4"/>
  <c r="T771" i="4"/>
  <c r="U771" i="4" s="1"/>
  <c r="R771" i="4"/>
  <c r="S771" i="4" s="1"/>
  <c r="P771" i="4"/>
  <c r="Q771" i="4" s="1"/>
  <c r="N771" i="4"/>
  <c r="O771" i="4" s="1"/>
  <c r="M771" i="4"/>
  <c r="K771" i="4"/>
  <c r="L771" i="4" s="1"/>
  <c r="J771" i="4"/>
  <c r="H771" i="4"/>
  <c r="I771" i="4" s="1"/>
  <c r="G771" i="4"/>
  <c r="F771" i="4"/>
  <c r="E771" i="4"/>
  <c r="D771" i="4"/>
  <c r="C771" i="4"/>
  <c r="B771" i="4"/>
  <c r="A771" i="4"/>
  <c r="AG771" i="4" s="1"/>
  <c r="AC770" i="4"/>
  <c r="AB770" i="4"/>
  <c r="AA770" i="4"/>
  <c r="Z770" i="4"/>
  <c r="Y770" i="4"/>
  <c r="X770" i="4"/>
  <c r="W770" i="4"/>
  <c r="V770" i="4"/>
  <c r="T770" i="4"/>
  <c r="U770" i="4" s="1"/>
  <c r="R770" i="4"/>
  <c r="S770" i="4" s="1"/>
  <c r="P770" i="4"/>
  <c r="Q770" i="4" s="1"/>
  <c r="N770" i="4"/>
  <c r="O770" i="4" s="1"/>
  <c r="M770" i="4"/>
  <c r="K770" i="4"/>
  <c r="L770" i="4" s="1"/>
  <c r="J770" i="4"/>
  <c r="H770" i="4"/>
  <c r="I770" i="4" s="1"/>
  <c r="G770" i="4"/>
  <c r="F770" i="4"/>
  <c r="E770" i="4"/>
  <c r="D770" i="4"/>
  <c r="C770" i="4"/>
  <c r="B770" i="4"/>
  <c r="A770" i="4"/>
  <c r="AC769" i="4"/>
  <c r="AB769" i="4"/>
  <c r="AA769" i="4"/>
  <c r="Z769" i="4"/>
  <c r="Y769" i="4"/>
  <c r="X769" i="4"/>
  <c r="W769" i="4"/>
  <c r="V769" i="4"/>
  <c r="T769" i="4"/>
  <c r="U769" i="4" s="1"/>
  <c r="R769" i="4"/>
  <c r="S769" i="4" s="1"/>
  <c r="P769" i="4"/>
  <c r="Q769" i="4" s="1"/>
  <c r="N769" i="4"/>
  <c r="O769" i="4" s="1"/>
  <c r="M769" i="4"/>
  <c r="L769" i="4"/>
  <c r="K769" i="4"/>
  <c r="J769" i="4"/>
  <c r="H769" i="4"/>
  <c r="I769" i="4" s="1"/>
  <c r="G769" i="4"/>
  <c r="F769" i="4"/>
  <c r="E769" i="4"/>
  <c r="D769" i="4"/>
  <c r="C769" i="4"/>
  <c r="B769" i="4"/>
  <c r="A769" i="4"/>
  <c r="AG769" i="4" s="1"/>
  <c r="AC768" i="4"/>
  <c r="AB768" i="4"/>
  <c r="AA768" i="4"/>
  <c r="Z768" i="4"/>
  <c r="Y768" i="4"/>
  <c r="X768" i="4"/>
  <c r="W768" i="4"/>
  <c r="V768" i="4"/>
  <c r="T768" i="4"/>
  <c r="U768" i="4" s="1"/>
  <c r="R768" i="4"/>
  <c r="S768" i="4" s="1"/>
  <c r="P768" i="4"/>
  <c r="Q768" i="4" s="1"/>
  <c r="N768" i="4"/>
  <c r="O768" i="4" s="1"/>
  <c r="M768" i="4"/>
  <c r="K768" i="4"/>
  <c r="L768" i="4" s="1"/>
  <c r="J768" i="4"/>
  <c r="H768" i="4"/>
  <c r="I768" i="4" s="1"/>
  <c r="G768" i="4"/>
  <c r="F768" i="4"/>
  <c r="E768" i="4"/>
  <c r="D768" i="4"/>
  <c r="C768" i="4"/>
  <c r="B768" i="4"/>
  <c r="A768" i="4"/>
  <c r="AC767" i="4"/>
  <c r="AB767" i="4"/>
  <c r="AA767" i="4"/>
  <c r="Z767" i="4"/>
  <c r="Y767" i="4"/>
  <c r="X767" i="4"/>
  <c r="W767" i="4"/>
  <c r="V767" i="4"/>
  <c r="T767" i="4"/>
  <c r="U767" i="4" s="1"/>
  <c r="R767" i="4"/>
  <c r="S767" i="4" s="1"/>
  <c r="P767" i="4"/>
  <c r="Q767" i="4" s="1"/>
  <c r="N767" i="4"/>
  <c r="O767" i="4" s="1"/>
  <c r="M767" i="4"/>
  <c r="K767" i="4"/>
  <c r="L767" i="4" s="1"/>
  <c r="J767" i="4"/>
  <c r="H767" i="4"/>
  <c r="I767" i="4" s="1"/>
  <c r="G767" i="4"/>
  <c r="F767" i="4"/>
  <c r="E767" i="4"/>
  <c r="D767" i="4"/>
  <c r="C767" i="4"/>
  <c r="B767" i="4"/>
  <c r="A767" i="4"/>
  <c r="AG767" i="4" s="1"/>
  <c r="AC766" i="4"/>
  <c r="AB766" i="4"/>
  <c r="AA766" i="4"/>
  <c r="Z766" i="4"/>
  <c r="Y766" i="4"/>
  <c r="X766" i="4"/>
  <c r="W766" i="4"/>
  <c r="V766" i="4"/>
  <c r="T766" i="4"/>
  <c r="U766" i="4" s="1"/>
  <c r="R766" i="4"/>
  <c r="S766" i="4" s="1"/>
  <c r="P766" i="4"/>
  <c r="Q766" i="4" s="1"/>
  <c r="N766" i="4"/>
  <c r="O766" i="4" s="1"/>
  <c r="M766" i="4"/>
  <c r="K766" i="4"/>
  <c r="L766" i="4" s="1"/>
  <c r="J766" i="4"/>
  <c r="H766" i="4"/>
  <c r="I766" i="4" s="1"/>
  <c r="G766" i="4"/>
  <c r="F766" i="4"/>
  <c r="E766" i="4"/>
  <c r="D766" i="4"/>
  <c r="C766" i="4"/>
  <c r="B766" i="4"/>
  <c r="A766" i="4"/>
  <c r="AG766" i="4" s="1"/>
  <c r="AC765" i="4"/>
  <c r="AB765" i="4"/>
  <c r="AA765" i="4"/>
  <c r="Z765" i="4"/>
  <c r="Y765" i="4"/>
  <c r="X765" i="4"/>
  <c r="W765" i="4"/>
  <c r="V765" i="4"/>
  <c r="T765" i="4"/>
  <c r="U765" i="4" s="1"/>
  <c r="R765" i="4"/>
  <c r="S765" i="4" s="1"/>
  <c r="P765" i="4"/>
  <c r="Q765" i="4" s="1"/>
  <c r="N765" i="4"/>
  <c r="O765" i="4" s="1"/>
  <c r="M765" i="4"/>
  <c r="K765" i="4"/>
  <c r="L765" i="4" s="1"/>
  <c r="J765" i="4"/>
  <c r="H765" i="4"/>
  <c r="I765" i="4" s="1"/>
  <c r="G765" i="4"/>
  <c r="F765" i="4"/>
  <c r="E765" i="4"/>
  <c r="D765" i="4"/>
  <c r="C765" i="4"/>
  <c r="B765" i="4"/>
  <c r="A765" i="4"/>
  <c r="AC764" i="4"/>
  <c r="AB764" i="4"/>
  <c r="AA764" i="4"/>
  <c r="Z764" i="4"/>
  <c r="Y764" i="4"/>
  <c r="X764" i="4"/>
  <c r="W764" i="4"/>
  <c r="V764" i="4"/>
  <c r="T764" i="4"/>
  <c r="U764" i="4" s="1"/>
  <c r="R764" i="4"/>
  <c r="S764" i="4" s="1"/>
  <c r="P764" i="4"/>
  <c r="Q764" i="4" s="1"/>
  <c r="N764" i="4"/>
  <c r="O764" i="4" s="1"/>
  <c r="M764" i="4"/>
  <c r="K764" i="4"/>
  <c r="L764" i="4" s="1"/>
  <c r="J764" i="4"/>
  <c r="H764" i="4"/>
  <c r="I764" i="4" s="1"/>
  <c r="G764" i="4"/>
  <c r="F764" i="4"/>
  <c r="E764" i="4"/>
  <c r="D764" i="4"/>
  <c r="C764" i="4"/>
  <c r="B764" i="4"/>
  <c r="A764" i="4"/>
  <c r="AG764" i="4" s="1"/>
  <c r="AC763" i="4"/>
  <c r="AB763" i="4"/>
  <c r="AA763" i="4"/>
  <c r="Z763" i="4"/>
  <c r="Y763" i="4"/>
  <c r="X763" i="4"/>
  <c r="W763" i="4"/>
  <c r="V763" i="4"/>
  <c r="T763" i="4"/>
  <c r="U763" i="4" s="1"/>
  <c r="R763" i="4"/>
  <c r="S763" i="4" s="1"/>
  <c r="P763" i="4"/>
  <c r="Q763" i="4" s="1"/>
  <c r="N763" i="4"/>
  <c r="O763" i="4" s="1"/>
  <c r="M763" i="4"/>
  <c r="K763" i="4"/>
  <c r="L763" i="4" s="1"/>
  <c r="J763" i="4"/>
  <c r="H763" i="4"/>
  <c r="I763" i="4" s="1"/>
  <c r="G763" i="4"/>
  <c r="F763" i="4"/>
  <c r="E763" i="4"/>
  <c r="D763" i="4"/>
  <c r="C763" i="4"/>
  <c r="B763" i="4"/>
  <c r="A763" i="4"/>
  <c r="AF763" i="4" s="1"/>
  <c r="AC762" i="4"/>
  <c r="AB762" i="4"/>
  <c r="AA762" i="4"/>
  <c r="Z762" i="4"/>
  <c r="Y762" i="4"/>
  <c r="X762" i="4"/>
  <c r="W762" i="4"/>
  <c r="V762" i="4"/>
  <c r="T762" i="4"/>
  <c r="U762" i="4" s="1"/>
  <c r="R762" i="4"/>
  <c r="S762" i="4" s="1"/>
  <c r="P762" i="4"/>
  <c r="Q762" i="4" s="1"/>
  <c r="N762" i="4"/>
  <c r="O762" i="4" s="1"/>
  <c r="M762" i="4"/>
  <c r="L762" i="4"/>
  <c r="K762" i="4"/>
  <c r="J762" i="4"/>
  <c r="H762" i="4"/>
  <c r="I762" i="4" s="1"/>
  <c r="G762" i="4"/>
  <c r="F762" i="4"/>
  <c r="E762" i="4"/>
  <c r="D762" i="4"/>
  <c r="C762" i="4"/>
  <c r="B762" i="4"/>
  <c r="A762" i="4"/>
  <c r="AG762" i="4" s="1"/>
  <c r="AC761" i="4"/>
  <c r="AB761" i="4"/>
  <c r="AA761" i="4"/>
  <c r="Z761" i="4"/>
  <c r="Y761" i="4"/>
  <c r="X761" i="4"/>
  <c r="W761" i="4"/>
  <c r="V761" i="4"/>
  <c r="T761" i="4"/>
  <c r="U761" i="4" s="1"/>
  <c r="S761" i="4"/>
  <c r="R761" i="4"/>
  <c r="P761" i="4"/>
  <c r="Q761" i="4" s="1"/>
  <c r="N761" i="4"/>
  <c r="O761" i="4" s="1"/>
  <c r="M761" i="4"/>
  <c r="K761" i="4"/>
  <c r="L761" i="4" s="1"/>
  <c r="J761" i="4"/>
  <c r="H761" i="4"/>
  <c r="I761" i="4" s="1"/>
  <c r="G761" i="4"/>
  <c r="F761" i="4"/>
  <c r="E761" i="4"/>
  <c r="D761" i="4"/>
  <c r="C761" i="4"/>
  <c r="B761" i="4"/>
  <c r="A761" i="4"/>
  <c r="AG761" i="4" s="1"/>
  <c r="AC760" i="4"/>
  <c r="AB760" i="4"/>
  <c r="AA760" i="4"/>
  <c r="Z760" i="4"/>
  <c r="Y760" i="4"/>
  <c r="X760" i="4"/>
  <c r="W760" i="4"/>
  <c r="V760" i="4"/>
  <c r="T760" i="4"/>
  <c r="U760" i="4" s="1"/>
  <c r="R760" i="4"/>
  <c r="S760" i="4" s="1"/>
  <c r="P760" i="4"/>
  <c r="Q760" i="4" s="1"/>
  <c r="N760" i="4"/>
  <c r="O760" i="4" s="1"/>
  <c r="M760" i="4"/>
  <c r="K760" i="4"/>
  <c r="L760" i="4" s="1"/>
  <c r="J760" i="4"/>
  <c r="H760" i="4"/>
  <c r="I760" i="4" s="1"/>
  <c r="G760" i="4"/>
  <c r="F760" i="4"/>
  <c r="E760" i="4"/>
  <c r="D760" i="4"/>
  <c r="C760" i="4"/>
  <c r="B760" i="4"/>
  <c r="A760" i="4"/>
  <c r="AG760" i="4" s="1"/>
  <c r="AC759" i="4"/>
  <c r="AB759" i="4"/>
  <c r="AA759" i="4"/>
  <c r="Z759" i="4"/>
  <c r="Y759" i="4"/>
  <c r="X759" i="4"/>
  <c r="W759" i="4"/>
  <c r="V759" i="4"/>
  <c r="T759" i="4"/>
  <c r="U759" i="4" s="1"/>
  <c r="R759" i="4"/>
  <c r="S759" i="4" s="1"/>
  <c r="P759" i="4"/>
  <c r="Q759" i="4" s="1"/>
  <c r="N759" i="4"/>
  <c r="O759" i="4" s="1"/>
  <c r="M759" i="4"/>
  <c r="K759" i="4"/>
  <c r="L759" i="4" s="1"/>
  <c r="J759" i="4"/>
  <c r="H759" i="4"/>
  <c r="I759" i="4" s="1"/>
  <c r="G759" i="4"/>
  <c r="F759" i="4"/>
  <c r="E759" i="4"/>
  <c r="D759" i="4"/>
  <c r="C759" i="4"/>
  <c r="B759" i="4"/>
  <c r="A759" i="4"/>
  <c r="AG759" i="4" s="1"/>
  <c r="AC758" i="4"/>
  <c r="AB758" i="4"/>
  <c r="AA758" i="4"/>
  <c r="Z758" i="4"/>
  <c r="Y758" i="4"/>
  <c r="X758" i="4"/>
  <c r="W758" i="4"/>
  <c r="V758" i="4"/>
  <c r="T758" i="4"/>
  <c r="U758" i="4" s="1"/>
  <c r="R758" i="4"/>
  <c r="S758" i="4" s="1"/>
  <c r="P758" i="4"/>
  <c r="Q758" i="4" s="1"/>
  <c r="N758" i="4"/>
  <c r="O758" i="4" s="1"/>
  <c r="M758" i="4"/>
  <c r="L758" i="4"/>
  <c r="K758" i="4"/>
  <c r="J758" i="4"/>
  <c r="H758" i="4"/>
  <c r="I758" i="4" s="1"/>
  <c r="G758" i="4"/>
  <c r="F758" i="4"/>
  <c r="E758" i="4"/>
  <c r="D758" i="4"/>
  <c r="C758" i="4"/>
  <c r="B758" i="4"/>
  <c r="A758" i="4"/>
  <c r="AG758" i="4" s="1"/>
  <c r="AC757" i="4"/>
  <c r="AB757" i="4"/>
  <c r="AA757" i="4"/>
  <c r="Z757" i="4"/>
  <c r="Y757" i="4"/>
  <c r="X757" i="4"/>
  <c r="W757" i="4"/>
  <c r="V757" i="4"/>
  <c r="T757" i="4"/>
  <c r="U757" i="4" s="1"/>
  <c r="R757" i="4"/>
  <c r="S757" i="4" s="1"/>
  <c r="P757" i="4"/>
  <c r="Q757" i="4" s="1"/>
  <c r="N757" i="4"/>
  <c r="O757" i="4" s="1"/>
  <c r="M757" i="4"/>
  <c r="K757" i="4"/>
  <c r="L757" i="4" s="1"/>
  <c r="J757" i="4"/>
  <c r="I757" i="4"/>
  <c r="H757" i="4"/>
  <c r="G757" i="4"/>
  <c r="F757" i="4"/>
  <c r="E757" i="4"/>
  <c r="D757" i="4"/>
  <c r="C757" i="4"/>
  <c r="B757" i="4"/>
  <c r="A757" i="4"/>
  <c r="AC756" i="4"/>
  <c r="AB756" i="4"/>
  <c r="AA756" i="4"/>
  <c r="Z756" i="4"/>
  <c r="Y756" i="4"/>
  <c r="X756" i="4"/>
  <c r="W756" i="4"/>
  <c r="V756" i="4"/>
  <c r="T756" i="4"/>
  <c r="U756" i="4" s="1"/>
  <c r="R756" i="4"/>
  <c r="S756" i="4" s="1"/>
  <c r="P756" i="4"/>
  <c r="Q756" i="4" s="1"/>
  <c r="N756" i="4"/>
  <c r="O756" i="4" s="1"/>
  <c r="M756" i="4"/>
  <c r="K756" i="4"/>
  <c r="L756" i="4" s="1"/>
  <c r="J756" i="4"/>
  <c r="H756" i="4"/>
  <c r="I756" i="4" s="1"/>
  <c r="G756" i="4"/>
  <c r="F756" i="4"/>
  <c r="E756" i="4"/>
  <c r="D756" i="4"/>
  <c r="C756" i="4"/>
  <c r="B756" i="4"/>
  <c r="A756" i="4"/>
  <c r="AG756" i="4" s="1"/>
  <c r="AC755" i="4"/>
  <c r="AB755" i="4"/>
  <c r="AA755" i="4"/>
  <c r="Z755" i="4"/>
  <c r="Y755" i="4"/>
  <c r="X755" i="4"/>
  <c r="W755" i="4"/>
  <c r="V755" i="4"/>
  <c r="U755" i="4"/>
  <c r="T755" i="4"/>
  <c r="R755" i="4"/>
  <c r="S755" i="4" s="1"/>
  <c r="P755" i="4"/>
  <c r="Q755" i="4" s="1"/>
  <c r="N755" i="4"/>
  <c r="O755" i="4" s="1"/>
  <c r="M755" i="4"/>
  <c r="K755" i="4"/>
  <c r="L755" i="4" s="1"/>
  <c r="J755" i="4"/>
  <c r="H755" i="4"/>
  <c r="I755" i="4" s="1"/>
  <c r="G755" i="4"/>
  <c r="F755" i="4"/>
  <c r="E755" i="4"/>
  <c r="D755" i="4"/>
  <c r="C755" i="4"/>
  <c r="B755" i="4"/>
  <c r="A755" i="4"/>
  <c r="AF755" i="4" s="1"/>
  <c r="AC754" i="4"/>
  <c r="AB754" i="4"/>
  <c r="AA754" i="4"/>
  <c r="Z754" i="4"/>
  <c r="Y754" i="4"/>
  <c r="X754" i="4"/>
  <c r="W754" i="4"/>
  <c r="V754" i="4"/>
  <c r="T754" i="4"/>
  <c r="U754" i="4" s="1"/>
  <c r="R754" i="4"/>
  <c r="S754" i="4" s="1"/>
  <c r="P754" i="4"/>
  <c r="Q754" i="4" s="1"/>
  <c r="N754" i="4"/>
  <c r="O754" i="4" s="1"/>
  <c r="M754" i="4"/>
  <c r="K754" i="4"/>
  <c r="L754" i="4" s="1"/>
  <c r="J754" i="4"/>
  <c r="H754" i="4"/>
  <c r="I754" i="4" s="1"/>
  <c r="G754" i="4"/>
  <c r="F754" i="4"/>
  <c r="E754" i="4"/>
  <c r="D754" i="4"/>
  <c r="C754" i="4"/>
  <c r="B754" i="4"/>
  <c r="A754" i="4"/>
  <c r="AG754" i="4" s="1"/>
  <c r="AC753" i="4"/>
  <c r="AB753" i="4"/>
  <c r="AA753" i="4"/>
  <c r="Z753" i="4"/>
  <c r="Y753" i="4"/>
  <c r="X753" i="4"/>
  <c r="W753" i="4"/>
  <c r="V753" i="4"/>
  <c r="T753" i="4"/>
  <c r="U753" i="4" s="1"/>
  <c r="R753" i="4"/>
  <c r="S753" i="4" s="1"/>
  <c r="P753" i="4"/>
  <c r="Q753" i="4" s="1"/>
  <c r="N753" i="4"/>
  <c r="O753" i="4" s="1"/>
  <c r="M753" i="4"/>
  <c r="K753" i="4"/>
  <c r="L753" i="4" s="1"/>
  <c r="J753" i="4"/>
  <c r="I753" i="4"/>
  <c r="H753" i="4"/>
  <c r="G753" i="4"/>
  <c r="F753" i="4"/>
  <c r="E753" i="4"/>
  <c r="D753" i="4"/>
  <c r="C753" i="4"/>
  <c r="B753" i="4"/>
  <c r="A753" i="4"/>
  <c r="AG753" i="4" s="1"/>
  <c r="AC752" i="4"/>
  <c r="AB752" i="4"/>
  <c r="AA752" i="4"/>
  <c r="Z752" i="4"/>
  <c r="Y752" i="4"/>
  <c r="X752" i="4"/>
  <c r="W752" i="4"/>
  <c r="V752" i="4"/>
  <c r="T752" i="4"/>
  <c r="U752" i="4" s="1"/>
  <c r="R752" i="4"/>
  <c r="S752" i="4" s="1"/>
  <c r="P752" i="4"/>
  <c r="Q752" i="4" s="1"/>
  <c r="N752" i="4"/>
  <c r="O752" i="4" s="1"/>
  <c r="M752" i="4"/>
  <c r="K752" i="4"/>
  <c r="L752" i="4" s="1"/>
  <c r="J752" i="4"/>
  <c r="H752" i="4"/>
  <c r="I752" i="4" s="1"/>
  <c r="G752" i="4"/>
  <c r="F752" i="4"/>
  <c r="E752" i="4"/>
  <c r="D752" i="4"/>
  <c r="C752" i="4"/>
  <c r="B752" i="4"/>
  <c r="A752" i="4"/>
  <c r="AG752" i="4" s="1"/>
  <c r="AC751" i="4"/>
  <c r="AB751" i="4"/>
  <c r="AA751" i="4"/>
  <c r="Z751" i="4"/>
  <c r="Y751" i="4"/>
  <c r="X751" i="4"/>
  <c r="W751" i="4"/>
  <c r="V751" i="4"/>
  <c r="T751" i="4"/>
  <c r="U751" i="4" s="1"/>
  <c r="R751" i="4"/>
  <c r="S751" i="4" s="1"/>
  <c r="P751" i="4"/>
  <c r="Q751" i="4" s="1"/>
  <c r="N751" i="4"/>
  <c r="O751" i="4" s="1"/>
  <c r="M751" i="4"/>
  <c r="K751" i="4"/>
  <c r="L751" i="4" s="1"/>
  <c r="J751" i="4"/>
  <c r="H751" i="4"/>
  <c r="I751" i="4" s="1"/>
  <c r="G751" i="4"/>
  <c r="F751" i="4"/>
  <c r="E751" i="4"/>
  <c r="D751" i="4"/>
  <c r="C751" i="4"/>
  <c r="B751" i="4"/>
  <c r="A751" i="4"/>
  <c r="AG751" i="4" s="1"/>
  <c r="AC750" i="4"/>
  <c r="AB750" i="4"/>
  <c r="AA750" i="4"/>
  <c r="Z750" i="4"/>
  <c r="Y750" i="4"/>
  <c r="X750" i="4"/>
  <c r="W750" i="4"/>
  <c r="V750" i="4"/>
  <c r="T750" i="4"/>
  <c r="U750" i="4" s="1"/>
  <c r="R750" i="4"/>
  <c r="S750" i="4" s="1"/>
  <c r="P750" i="4"/>
  <c r="Q750" i="4" s="1"/>
  <c r="N750" i="4"/>
  <c r="O750" i="4" s="1"/>
  <c r="M750" i="4"/>
  <c r="L750" i="4"/>
  <c r="K750" i="4"/>
  <c r="J750" i="4"/>
  <c r="H750" i="4"/>
  <c r="I750" i="4" s="1"/>
  <c r="G750" i="4"/>
  <c r="F750" i="4"/>
  <c r="E750" i="4"/>
  <c r="D750" i="4"/>
  <c r="C750" i="4"/>
  <c r="B750" i="4"/>
  <c r="A750" i="4"/>
  <c r="AG750" i="4" s="1"/>
  <c r="AC749" i="4"/>
  <c r="AB749" i="4"/>
  <c r="AA749" i="4"/>
  <c r="Z749" i="4"/>
  <c r="Y749" i="4"/>
  <c r="X749" i="4"/>
  <c r="W749" i="4"/>
  <c r="V749" i="4"/>
  <c r="T749" i="4"/>
  <c r="U749" i="4" s="1"/>
  <c r="R749" i="4"/>
  <c r="S749" i="4" s="1"/>
  <c r="P749" i="4"/>
  <c r="Q749" i="4" s="1"/>
  <c r="N749" i="4"/>
  <c r="O749" i="4" s="1"/>
  <c r="M749" i="4"/>
  <c r="K749" i="4"/>
  <c r="L749" i="4" s="1"/>
  <c r="J749" i="4"/>
  <c r="H749" i="4"/>
  <c r="I749" i="4" s="1"/>
  <c r="G749" i="4"/>
  <c r="F749" i="4"/>
  <c r="E749" i="4"/>
  <c r="D749" i="4"/>
  <c r="C749" i="4"/>
  <c r="B749" i="4"/>
  <c r="A749" i="4"/>
  <c r="AC748" i="4"/>
  <c r="AB748" i="4"/>
  <c r="AA748" i="4"/>
  <c r="Z748" i="4"/>
  <c r="Y748" i="4"/>
  <c r="X748" i="4"/>
  <c r="W748" i="4"/>
  <c r="V748" i="4"/>
  <c r="T748" i="4"/>
  <c r="U748" i="4" s="1"/>
  <c r="R748" i="4"/>
  <c r="S748" i="4" s="1"/>
  <c r="P748" i="4"/>
  <c r="Q748" i="4" s="1"/>
  <c r="N748" i="4"/>
  <c r="O748" i="4" s="1"/>
  <c r="M748" i="4"/>
  <c r="K748" i="4"/>
  <c r="L748" i="4" s="1"/>
  <c r="J748" i="4"/>
  <c r="H748" i="4"/>
  <c r="I748" i="4" s="1"/>
  <c r="G748" i="4"/>
  <c r="F748" i="4"/>
  <c r="E748" i="4"/>
  <c r="D748" i="4"/>
  <c r="C748" i="4"/>
  <c r="B748" i="4"/>
  <c r="A748" i="4"/>
  <c r="AC747" i="4"/>
  <c r="AB747" i="4"/>
  <c r="AA747" i="4"/>
  <c r="Z747" i="4"/>
  <c r="Y747" i="4"/>
  <c r="X747" i="4"/>
  <c r="W747" i="4"/>
  <c r="V747" i="4"/>
  <c r="T747" i="4"/>
  <c r="U747" i="4" s="1"/>
  <c r="R747" i="4"/>
  <c r="S747" i="4" s="1"/>
  <c r="P747" i="4"/>
  <c r="Q747" i="4" s="1"/>
  <c r="N747" i="4"/>
  <c r="O747" i="4" s="1"/>
  <c r="M747" i="4"/>
  <c r="K747" i="4"/>
  <c r="L747" i="4" s="1"/>
  <c r="J747" i="4"/>
  <c r="H747" i="4"/>
  <c r="I747" i="4" s="1"/>
  <c r="G747" i="4"/>
  <c r="F747" i="4"/>
  <c r="E747" i="4"/>
  <c r="D747" i="4"/>
  <c r="C747" i="4"/>
  <c r="B747" i="4"/>
  <c r="A747" i="4"/>
  <c r="AF747" i="4" s="1"/>
  <c r="AC746" i="4"/>
  <c r="AB746" i="4"/>
  <c r="AA746" i="4"/>
  <c r="Z746" i="4"/>
  <c r="Y746" i="4"/>
  <c r="X746" i="4"/>
  <c r="W746" i="4"/>
  <c r="V746" i="4"/>
  <c r="T746" i="4"/>
  <c r="U746" i="4" s="1"/>
  <c r="R746" i="4"/>
  <c r="S746" i="4" s="1"/>
  <c r="P746" i="4"/>
  <c r="Q746" i="4" s="1"/>
  <c r="N746" i="4"/>
  <c r="O746" i="4" s="1"/>
  <c r="M746" i="4"/>
  <c r="K746" i="4"/>
  <c r="L746" i="4" s="1"/>
  <c r="J746" i="4"/>
  <c r="H746" i="4"/>
  <c r="I746" i="4" s="1"/>
  <c r="G746" i="4"/>
  <c r="F746" i="4"/>
  <c r="E746" i="4"/>
  <c r="D746" i="4"/>
  <c r="C746" i="4"/>
  <c r="B746" i="4"/>
  <c r="A746" i="4"/>
  <c r="AD746" i="4" s="1"/>
  <c r="AE746" i="4" s="1"/>
  <c r="AC745" i="4"/>
  <c r="AB745" i="4"/>
  <c r="AA745" i="4"/>
  <c r="Z745" i="4"/>
  <c r="Y745" i="4"/>
  <c r="X745" i="4"/>
  <c r="W745" i="4"/>
  <c r="V745" i="4"/>
  <c r="T745" i="4"/>
  <c r="U745" i="4" s="1"/>
  <c r="R745" i="4"/>
  <c r="S745" i="4" s="1"/>
  <c r="P745" i="4"/>
  <c r="Q745" i="4" s="1"/>
  <c r="O745" i="4"/>
  <c r="N745" i="4"/>
  <c r="M745" i="4"/>
  <c r="K745" i="4"/>
  <c r="L745" i="4" s="1"/>
  <c r="J745" i="4"/>
  <c r="H745" i="4"/>
  <c r="I745" i="4" s="1"/>
  <c r="G745" i="4"/>
  <c r="F745" i="4"/>
  <c r="E745" i="4"/>
  <c r="D745" i="4"/>
  <c r="C745" i="4"/>
  <c r="B745" i="4"/>
  <c r="A745" i="4"/>
  <c r="AG745" i="4" s="1"/>
  <c r="AC744" i="4"/>
  <c r="AB744" i="4"/>
  <c r="AA744" i="4"/>
  <c r="Z744" i="4"/>
  <c r="Y744" i="4"/>
  <c r="X744" i="4"/>
  <c r="W744" i="4"/>
  <c r="V744" i="4"/>
  <c r="T744" i="4"/>
  <c r="U744" i="4" s="1"/>
  <c r="R744" i="4"/>
  <c r="S744" i="4" s="1"/>
  <c r="P744" i="4"/>
  <c r="Q744" i="4" s="1"/>
  <c r="N744" i="4"/>
  <c r="O744" i="4" s="1"/>
  <c r="M744" i="4"/>
  <c r="K744" i="4"/>
  <c r="L744" i="4" s="1"/>
  <c r="J744" i="4"/>
  <c r="H744" i="4"/>
  <c r="I744" i="4" s="1"/>
  <c r="G744" i="4"/>
  <c r="F744" i="4"/>
  <c r="E744" i="4"/>
  <c r="D744" i="4"/>
  <c r="C744" i="4"/>
  <c r="B744" i="4"/>
  <c r="A744" i="4"/>
  <c r="AC743" i="4"/>
  <c r="AB743" i="4"/>
  <c r="AA743" i="4"/>
  <c r="Z743" i="4"/>
  <c r="Y743" i="4"/>
  <c r="X743" i="4"/>
  <c r="W743" i="4"/>
  <c r="V743" i="4"/>
  <c r="T743" i="4"/>
  <c r="U743" i="4" s="1"/>
  <c r="R743" i="4"/>
  <c r="S743" i="4" s="1"/>
  <c r="P743" i="4"/>
  <c r="Q743" i="4" s="1"/>
  <c r="N743" i="4"/>
  <c r="O743" i="4" s="1"/>
  <c r="M743" i="4"/>
  <c r="K743" i="4"/>
  <c r="L743" i="4" s="1"/>
  <c r="J743" i="4"/>
  <c r="H743" i="4"/>
  <c r="I743" i="4" s="1"/>
  <c r="G743" i="4"/>
  <c r="F743" i="4"/>
  <c r="E743" i="4"/>
  <c r="D743" i="4"/>
  <c r="C743" i="4"/>
  <c r="B743" i="4"/>
  <c r="A743" i="4"/>
  <c r="AG743" i="4" s="1"/>
  <c r="AC742" i="4"/>
  <c r="AB742" i="4"/>
  <c r="AA742" i="4"/>
  <c r="Z742" i="4"/>
  <c r="Y742" i="4"/>
  <c r="X742" i="4"/>
  <c r="W742" i="4"/>
  <c r="V742" i="4"/>
  <c r="T742" i="4"/>
  <c r="U742" i="4" s="1"/>
  <c r="R742" i="4"/>
  <c r="S742" i="4" s="1"/>
  <c r="P742" i="4"/>
  <c r="Q742" i="4" s="1"/>
  <c r="N742" i="4"/>
  <c r="O742" i="4" s="1"/>
  <c r="M742" i="4"/>
  <c r="K742" i="4"/>
  <c r="L742" i="4" s="1"/>
  <c r="J742" i="4"/>
  <c r="H742" i="4"/>
  <c r="I742" i="4" s="1"/>
  <c r="G742" i="4"/>
  <c r="F742" i="4"/>
  <c r="E742" i="4"/>
  <c r="D742" i="4"/>
  <c r="C742" i="4"/>
  <c r="B742" i="4"/>
  <c r="A742" i="4"/>
  <c r="AD742" i="4" s="1"/>
  <c r="AE742" i="4" s="1"/>
  <c r="AC741" i="4"/>
  <c r="AB741" i="4"/>
  <c r="AA741" i="4"/>
  <c r="Z741" i="4"/>
  <c r="Y741" i="4"/>
  <c r="X741" i="4"/>
  <c r="W741" i="4"/>
  <c r="V741" i="4"/>
  <c r="T741" i="4"/>
  <c r="U741" i="4" s="1"/>
  <c r="R741" i="4"/>
  <c r="S741" i="4" s="1"/>
  <c r="P741" i="4"/>
  <c r="Q741" i="4" s="1"/>
  <c r="O741" i="4"/>
  <c r="N741" i="4"/>
  <c r="M741" i="4"/>
  <c r="K741" i="4"/>
  <c r="L741" i="4" s="1"/>
  <c r="J741" i="4"/>
  <c r="H741" i="4"/>
  <c r="I741" i="4" s="1"/>
  <c r="G741" i="4"/>
  <c r="F741" i="4"/>
  <c r="E741" i="4"/>
  <c r="D741" i="4"/>
  <c r="C741" i="4"/>
  <c r="B741" i="4"/>
  <c r="A741" i="4"/>
  <c r="AC740" i="4"/>
  <c r="AB740" i="4"/>
  <c r="AA740" i="4"/>
  <c r="Z740" i="4"/>
  <c r="Y740" i="4"/>
  <c r="X740" i="4"/>
  <c r="W740" i="4"/>
  <c r="V740" i="4"/>
  <c r="T740" i="4"/>
  <c r="U740" i="4" s="1"/>
  <c r="R740" i="4"/>
  <c r="S740" i="4" s="1"/>
  <c r="P740" i="4"/>
  <c r="Q740" i="4" s="1"/>
  <c r="N740" i="4"/>
  <c r="O740" i="4" s="1"/>
  <c r="M740" i="4"/>
  <c r="L740" i="4"/>
  <c r="K740" i="4"/>
  <c r="J740" i="4"/>
  <c r="H740" i="4"/>
  <c r="I740" i="4" s="1"/>
  <c r="G740" i="4"/>
  <c r="F740" i="4"/>
  <c r="E740" i="4"/>
  <c r="D740" i="4"/>
  <c r="C740" i="4"/>
  <c r="B740" i="4"/>
  <c r="A740" i="4"/>
  <c r="AC739" i="4"/>
  <c r="AB739" i="4"/>
  <c r="AA739" i="4"/>
  <c r="Z739" i="4"/>
  <c r="Y739" i="4"/>
  <c r="X739" i="4"/>
  <c r="W739" i="4"/>
  <c r="V739" i="4"/>
  <c r="T739" i="4"/>
  <c r="U739" i="4" s="1"/>
  <c r="R739" i="4"/>
  <c r="S739" i="4" s="1"/>
  <c r="P739" i="4"/>
  <c r="Q739" i="4" s="1"/>
  <c r="N739" i="4"/>
  <c r="O739" i="4" s="1"/>
  <c r="M739" i="4"/>
  <c r="K739" i="4"/>
  <c r="L739" i="4" s="1"/>
  <c r="J739" i="4"/>
  <c r="H739" i="4"/>
  <c r="I739" i="4" s="1"/>
  <c r="G739" i="4"/>
  <c r="F739" i="4"/>
  <c r="E739" i="4"/>
  <c r="D739" i="4"/>
  <c r="C739" i="4"/>
  <c r="B739" i="4"/>
  <c r="A739" i="4"/>
  <c r="AF739" i="4" s="1"/>
  <c r="AC738" i="4"/>
  <c r="AB738" i="4"/>
  <c r="AA738" i="4"/>
  <c r="Z738" i="4"/>
  <c r="Y738" i="4"/>
  <c r="X738" i="4"/>
  <c r="W738" i="4"/>
  <c r="V738" i="4"/>
  <c r="T738" i="4"/>
  <c r="U738" i="4" s="1"/>
  <c r="R738" i="4"/>
  <c r="S738" i="4" s="1"/>
  <c r="P738" i="4"/>
  <c r="Q738" i="4" s="1"/>
  <c r="N738" i="4"/>
  <c r="O738" i="4" s="1"/>
  <c r="M738" i="4"/>
  <c r="K738" i="4"/>
  <c r="L738" i="4" s="1"/>
  <c r="J738" i="4"/>
  <c r="H738" i="4"/>
  <c r="I738" i="4" s="1"/>
  <c r="G738" i="4"/>
  <c r="F738" i="4"/>
  <c r="E738" i="4"/>
  <c r="D738" i="4"/>
  <c r="C738" i="4"/>
  <c r="B738" i="4"/>
  <c r="A738" i="4"/>
  <c r="AG738" i="4" s="1"/>
  <c r="AC737" i="4"/>
  <c r="AB737" i="4"/>
  <c r="AA737" i="4"/>
  <c r="Z737" i="4"/>
  <c r="Y737" i="4"/>
  <c r="X737" i="4"/>
  <c r="W737" i="4"/>
  <c r="V737" i="4"/>
  <c r="T737" i="4"/>
  <c r="U737" i="4" s="1"/>
  <c r="R737" i="4"/>
  <c r="S737" i="4" s="1"/>
  <c r="P737" i="4"/>
  <c r="Q737" i="4" s="1"/>
  <c r="N737" i="4"/>
  <c r="O737" i="4" s="1"/>
  <c r="M737" i="4"/>
  <c r="K737" i="4"/>
  <c r="L737" i="4" s="1"/>
  <c r="J737" i="4"/>
  <c r="H737" i="4"/>
  <c r="I737" i="4" s="1"/>
  <c r="G737" i="4"/>
  <c r="F737" i="4"/>
  <c r="E737" i="4"/>
  <c r="D737" i="4"/>
  <c r="C737" i="4"/>
  <c r="B737" i="4"/>
  <c r="A737" i="4"/>
  <c r="AG737" i="4" s="1"/>
  <c r="AC736" i="4"/>
  <c r="AB736" i="4"/>
  <c r="AA736" i="4"/>
  <c r="Z736" i="4"/>
  <c r="Y736" i="4"/>
  <c r="X736" i="4"/>
  <c r="W736" i="4"/>
  <c r="V736" i="4"/>
  <c r="T736" i="4"/>
  <c r="U736" i="4" s="1"/>
  <c r="R736" i="4"/>
  <c r="S736" i="4" s="1"/>
  <c r="P736" i="4"/>
  <c r="Q736" i="4" s="1"/>
  <c r="N736" i="4"/>
  <c r="O736" i="4" s="1"/>
  <c r="M736" i="4"/>
  <c r="K736" i="4"/>
  <c r="L736" i="4" s="1"/>
  <c r="J736" i="4"/>
  <c r="H736" i="4"/>
  <c r="I736" i="4" s="1"/>
  <c r="G736" i="4"/>
  <c r="F736" i="4"/>
  <c r="E736" i="4"/>
  <c r="D736" i="4"/>
  <c r="C736" i="4"/>
  <c r="B736" i="4"/>
  <c r="A736" i="4"/>
  <c r="AG736" i="4" s="1"/>
  <c r="AC735" i="4"/>
  <c r="AB735" i="4"/>
  <c r="AA735" i="4"/>
  <c r="Z735" i="4"/>
  <c r="Y735" i="4"/>
  <c r="X735" i="4"/>
  <c r="W735" i="4"/>
  <c r="V735" i="4"/>
  <c r="T735" i="4"/>
  <c r="U735" i="4" s="1"/>
  <c r="R735" i="4"/>
  <c r="S735" i="4" s="1"/>
  <c r="P735" i="4"/>
  <c r="Q735" i="4" s="1"/>
  <c r="N735" i="4"/>
  <c r="O735" i="4" s="1"/>
  <c r="M735" i="4"/>
  <c r="K735" i="4"/>
  <c r="L735" i="4" s="1"/>
  <c r="J735" i="4"/>
  <c r="H735" i="4"/>
  <c r="I735" i="4" s="1"/>
  <c r="G735" i="4"/>
  <c r="F735" i="4"/>
  <c r="E735" i="4"/>
  <c r="D735" i="4"/>
  <c r="C735" i="4"/>
  <c r="B735" i="4"/>
  <c r="A735" i="4"/>
  <c r="AG735" i="4" s="1"/>
  <c r="AC734" i="4"/>
  <c r="AB734" i="4"/>
  <c r="AA734" i="4"/>
  <c r="Z734" i="4"/>
  <c r="Y734" i="4"/>
  <c r="X734" i="4"/>
  <c r="W734" i="4"/>
  <c r="V734" i="4"/>
  <c r="T734" i="4"/>
  <c r="U734" i="4" s="1"/>
  <c r="R734" i="4"/>
  <c r="S734" i="4" s="1"/>
  <c r="P734" i="4"/>
  <c r="Q734" i="4" s="1"/>
  <c r="N734" i="4"/>
  <c r="O734" i="4" s="1"/>
  <c r="M734" i="4"/>
  <c r="K734" i="4"/>
  <c r="L734" i="4" s="1"/>
  <c r="J734" i="4"/>
  <c r="H734" i="4"/>
  <c r="I734" i="4" s="1"/>
  <c r="G734" i="4"/>
  <c r="F734" i="4"/>
  <c r="E734" i="4"/>
  <c r="D734" i="4"/>
  <c r="C734" i="4"/>
  <c r="B734" i="4"/>
  <c r="A734" i="4"/>
  <c r="AG734" i="4" s="1"/>
  <c r="AC733" i="4"/>
  <c r="AB733" i="4"/>
  <c r="AA733" i="4"/>
  <c r="Z733" i="4"/>
  <c r="Y733" i="4"/>
  <c r="X733" i="4"/>
  <c r="W733" i="4"/>
  <c r="V733" i="4"/>
  <c r="T733" i="4"/>
  <c r="U733" i="4" s="1"/>
  <c r="R733" i="4"/>
  <c r="S733" i="4" s="1"/>
  <c r="P733" i="4"/>
  <c r="Q733" i="4" s="1"/>
  <c r="N733" i="4"/>
  <c r="O733" i="4" s="1"/>
  <c r="M733" i="4"/>
  <c r="K733" i="4"/>
  <c r="L733" i="4" s="1"/>
  <c r="J733" i="4"/>
  <c r="H733" i="4"/>
  <c r="I733" i="4" s="1"/>
  <c r="G733" i="4"/>
  <c r="F733" i="4"/>
  <c r="E733" i="4"/>
  <c r="D733" i="4"/>
  <c r="C733" i="4"/>
  <c r="B733" i="4"/>
  <c r="A733" i="4"/>
  <c r="AC732" i="4"/>
  <c r="AB732" i="4"/>
  <c r="AA732" i="4"/>
  <c r="Z732" i="4"/>
  <c r="Y732" i="4"/>
  <c r="X732" i="4"/>
  <c r="W732" i="4"/>
  <c r="V732" i="4"/>
  <c r="T732" i="4"/>
  <c r="U732" i="4" s="1"/>
  <c r="R732" i="4"/>
  <c r="S732" i="4" s="1"/>
  <c r="P732" i="4"/>
  <c r="Q732" i="4" s="1"/>
  <c r="N732" i="4"/>
  <c r="O732" i="4" s="1"/>
  <c r="M732" i="4"/>
  <c r="K732" i="4"/>
  <c r="L732" i="4" s="1"/>
  <c r="J732" i="4"/>
  <c r="H732" i="4"/>
  <c r="I732" i="4" s="1"/>
  <c r="G732" i="4"/>
  <c r="F732" i="4"/>
  <c r="E732" i="4"/>
  <c r="D732" i="4"/>
  <c r="C732" i="4"/>
  <c r="B732" i="4"/>
  <c r="A732" i="4"/>
  <c r="AG732" i="4" s="1"/>
  <c r="AC731" i="4"/>
  <c r="AB731" i="4"/>
  <c r="AA731" i="4"/>
  <c r="Z731" i="4"/>
  <c r="Y731" i="4"/>
  <c r="X731" i="4"/>
  <c r="W731" i="4"/>
  <c r="V731" i="4"/>
  <c r="T731" i="4"/>
  <c r="U731" i="4" s="1"/>
  <c r="R731" i="4"/>
  <c r="S731" i="4" s="1"/>
  <c r="P731" i="4"/>
  <c r="Q731" i="4" s="1"/>
  <c r="N731" i="4"/>
  <c r="O731" i="4" s="1"/>
  <c r="M731" i="4"/>
  <c r="K731" i="4"/>
  <c r="L731" i="4" s="1"/>
  <c r="J731" i="4"/>
  <c r="H731" i="4"/>
  <c r="I731" i="4" s="1"/>
  <c r="G731" i="4"/>
  <c r="F731" i="4"/>
  <c r="E731" i="4"/>
  <c r="D731" i="4"/>
  <c r="C731" i="4"/>
  <c r="B731" i="4"/>
  <c r="A731" i="4"/>
  <c r="AF731" i="4" s="1"/>
  <c r="AC730" i="4"/>
  <c r="AB730" i="4"/>
  <c r="AA730" i="4"/>
  <c r="Z730" i="4"/>
  <c r="Y730" i="4"/>
  <c r="X730" i="4"/>
  <c r="W730" i="4"/>
  <c r="V730" i="4"/>
  <c r="T730" i="4"/>
  <c r="U730" i="4" s="1"/>
  <c r="R730" i="4"/>
  <c r="S730" i="4" s="1"/>
  <c r="P730" i="4"/>
  <c r="Q730" i="4" s="1"/>
  <c r="N730" i="4"/>
  <c r="O730" i="4" s="1"/>
  <c r="M730" i="4"/>
  <c r="K730" i="4"/>
  <c r="L730" i="4" s="1"/>
  <c r="J730" i="4"/>
  <c r="H730" i="4"/>
  <c r="I730" i="4" s="1"/>
  <c r="G730" i="4"/>
  <c r="F730" i="4"/>
  <c r="E730" i="4"/>
  <c r="D730" i="4"/>
  <c r="C730" i="4"/>
  <c r="B730" i="4"/>
  <c r="A730" i="4"/>
  <c r="AG730" i="4" s="1"/>
  <c r="AC729" i="4"/>
  <c r="AB729" i="4"/>
  <c r="AA729" i="4"/>
  <c r="Z729" i="4"/>
  <c r="Y729" i="4"/>
  <c r="X729" i="4"/>
  <c r="W729" i="4"/>
  <c r="V729" i="4"/>
  <c r="T729" i="4"/>
  <c r="U729" i="4" s="1"/>
  <c r="R729" i="4"/>
  <c r="S729" i="4" s="1"/>
  <c r="P729" i="4"/>
  <c r="Q729" i="4" s="1"/>
  <c r="N729" i="4"/>
  <c r="O729" i="4" s="1"/>
  <c r="M729" i="4"/>
  <c r="K729" i="4"/>
  <c r="L729" i="4" s="1"/>
  <c r="J729" i="4"/>
  <c r="H729" i="4"/>
  <c r="I729" i="4" s="1"/>
  <c r="G729" i="4"/>
  <c r="F729" i="4"/>
  <c r="E729" i="4"/>
  <c r="D729" i="4"/>
  <c r="C729" i="4"/>
  <c r="B729" i="4"/>
  <c r="A729" i="4"/>
  <c r="AC728" i="4"/>
  <c r="AB728" i="4"/>
  <c r="AA728" i="4"/>
  <c r="Z728" i="4"/>
  <c r="Y728" i="4"/>
  <c r="X728" i="4"/>
  <c r="W728" i="4"/>
  <c r="V728" i="4"/>
  <c r="T728" i="4"/>
  <c r="U728" i="4" s="1"/>
  <c r="R728" i="4"/>
  <c r="S728" i="4" s="1"/>
  <c r="P728" i="4"/>
  <c r="Q728" i="4" s="1"/>
  <c r="N728" i="4"/>
  <c r="O728" i="4" s="1"/>
  <c r="M728" i="4"/>
  <c r="K728" i="4"/>
  <c r="L728" i="4" s="1"/>
  <c r="J728" i="4"/>
  <c r="H728" i="4"/>
  <c r="I728" i="4" s="1"/>
  <c r="G728" i="4"/>
  <c r="F728" i="4"/>
  <c r="E728" i="4"/>
  <c r="D728" i="4"/>
  <c r="C728" i="4"/>
  <c r="B728" i="4"/>
  <c r="A728" i="4"/>
  <c r="AC727" i="4"/>
  <c r="AB727" i="4"/>
  <c r="AA727" i="4"/>
  <c r="Z727" i="4"/>
  <c r="Y727" i="4"/>
  <c r="X727" i="4"/>
  <c r="W727" i="4"/>
  <c r="V727" i="4"/>
  <c r="T727" i="4"/>
  <c r="U727" i="4" s="1"/>
  <c r="R727" i="4"/>
  <c r="S727" i="4" s="1"/>
  <c r="P727" i="4"/>
  <c r="Q727" i="4" s="1"/>
  <c r="N727" i="4"/>
  <c r="O727" i="4" s="1"/>
  <c r="M727" i="4"/>
  <c r="K727" i="4"/>
  <c r="L727" i="4" s="1"/>
  <c r="J727" i="4"/>
  <c r="H727" i="4"/>
  <c r="I727" i="4" s="1"/>
  <c r="G727" i="4"/>
  <c r="F727" i="4"/>
  <c r="E727" i="4"/>
  <c r="D727" i="4"/>
  <c r="C727" i="4"/>
  <c r="B727" i="4"/>
  <c r="A727" i="4"/>
  <c r="AG727" i="4" s="1"/>
  <c r="AC726" i="4"/>
  <c r="AB726" i="4"/>
  <c r="AA726" i="4"/>
  <c r="Z726" i="4"/>
  <c r="Y726" i="4"/>
  <c r="X726" i="4"/>
  <c r="W726" i="4"/>
  <c r="V726" i="4"/>
  <c r="T726" i="4"/>
  <c r="U726" i="4" s="1"/>
  <c r="R726" i="4"/>
  <c r="S726" i="4" s="1"/>
  <c r="P726" i="4"/>
  <c r="Q726" i="4" s="1"/>
  <c r="N726" i="4"/>
  <c r="O726" i="4" s="1"/>
  <c r="M726" i="4"/>
  <c r="K726" i="4"/>
  <c r="L726" i="4" s="1"/>
  <c r="J726" i="4"/>
  <c r="H726" i="4"/>
  <c r="I726" i="4" s="1"/>
  <c r="G726" i="4"/>
  <c r="F726" i="4"/>
  <c r="E726" i="4"/>
  <c r="D726" i="4"/>
  <c r="C726" i="4"/>
  <c r="B726" i="4"/>
  <c r="A726" i="4"/>
  <c r="AG726" i="4" s="1"/>
  <c r="AC725" i="4"/>
  <c r="AB725" i="4"/>
  <c r="AA725" i="4"/>
  <c r="Z725" i="4"/>
  <c r="Y725" i="4"/>
  <c r="X725" i="4"/>
  <c r="W725" i="4"/>
  <c r="V725" i="4"/>
  <c r="T725" i="4"/>
  <c r="U725" i="4" s="1"/>
  <c r="R725" i="4"/>
  <c r="S725" i="4" s="1"/>
  <c r="P725" i="4"/>
  <c r="Q725" i="4" s="1"/>
  <c r="N725" i="4"/>
  <c r="O725" i="4" s="1"/>
  <c r="M725" i="4"/>
  <c r="K725" i="4"/>
  <c r="L725" i="4" s="1"/>
  <c r="J725" i="4"/>
  <c r="H725" i="4"/>
  <c r="I725" i="4" s="1"/>
  <c r="G725" i="4"/>
  <c r="F725" i="4"/>
  <c r="E725" i="4"/>
  <c r="D725" i="4"/>
  <c r="C725" i="4"/>
  <c r="B725" i="4"/>
  <c r="A725" i="4"/>
  <c r="AG725" i="4" s="1"/>
  <c r="AC724" i="4"/>
  <c r="AB724" i="4"/>
  <c r="AA724" i="4"/>
  <c r="Z724" i="4"/>
  <c r="Y724" i="4"/>
  <c r="X724" i="4"/>
  <c r="W724" i="4"/>
  <c r="V724" i="4"/>
  <c r="T724" i="4"/>
  <c r="U724" i="4" s="1"/>
  <c r="R724" i="4"/>
  <c r="S724" i="4" s="1"/>
  <c r="P724" i="4"/>
  <c r="Q724" i="4" s="1"/>
  <c r="N724" i="4"/>
  <c r="O724" i="4" s="1"/>
  <c r="M724" i="4"/>
  <c r="K724" i="4"/>
  <c r="L724" i="4" s="1"/>
  <c r="J724" i="4"/>
  <c r="H724" i="4"/>
  <c r="I724" i="4" s="1"/>
  <c r="G724" i="4"/>
  <c r="F724" i="4"/>
  <c r="E724" i="4"/>
  <c r="D724" i="4"/>
  <c r="C724" i="4"/>
  <c r="B724" i="4"/>
  <c r="A724" i="4"/>
  <c r="AG724" i="4" s="1"/>
  <c r="AC723" i="4"/>
  <c r="AB723" i="4"/>
  <c r="AA723" i="4"/>
  <c r="Z723" i="4"/>
  <c r="Y723" i="4"/>
  <c r="X723" i="4"/>
  <c r="W723" i="4"/>
  <c r="V723" i="4"/>
  <c r="T723" i="4"/>
  <c r="U723" i="4" s="1"/>
  <c r="R723" i="4"/>
  <c r="S723" i="4" s="1"/>
  <c r="P723" i="4"/>
  <c r="Q723" i="4" s="1"/>
  <c r="N723" i="4"/>
  <c r="O723" i="4" s="1"/>
  <c r="M723" i="4"/>
  <c r="K723" i="4"/>
  <c r="L723" i="4" s="1"/>
  <c r="J723" i="4"/>
  <c r="H723" i="4"/>
  <c r="I723" i="4" s="1"/>
  <c r="G723" i="4"/>
  <c r="F723" i="4"/>
  <c r="E723" i="4"/>
  <c r="D723" i="4"/>
  <c r="C723" i="4"/>
  <c r="B723" i="4"/>
  <c r="A723" i="4"/>
  <c r="AF723" i="4" s="1"/>
  <c r="AC722" i="4"/>
  <c r="AB722" i="4"/>
  <c r="AA722" i="4"/>
  <c r="Z722" i="4"/>
  <c r="Y722" i="4"/>
  <c r="X722" i="4"/>
  <c r="W722" i="4"/>
  <c r="V722" i="4"/>
  <c r="T722" i="4"/>
  <c r="U722" i="4" s="1"/>
  <c r="R722" i="4"/>
  <c r="S722" i="4" s="1"/>
  <c r="P722" i="4"/>
  <c r="Q722" i="4" s="1"/>
  <c r="N722" i="4"/>
  <c r="O722" i="4" s="1"/>
  <c r="M722" i="4"/>
  <c r="K722" i="4"/>
  <c r="L722" i="4" s="1"/>
  <c r="J722" i="4"/>
  <c r="H722" i="4"/>
  <c r="I722" i="4" s="1"/>
  <c r="G722" i="4"/>
  <c r="F722" i="4"/>
  <c r="E722" i="4"/>
  <c r="D722" i="4"/>
  <c r="C722" i="4"/>
  <c r="B722" i="4"/>
  <c r="A722" i="4"/>
  <c r="AG722" i="4" s="1"/>
  <c r="AC721" i="4"/>
  <c r="AB721" i="4"/>
  <c r="AA721" i="4"/>
  <c r="Z721" i="4"/>
  <c r="Y721" i="4"/>
  <c r="X721" i="4"/>
  <c r="W721" i="4"/>
  <c r="V721" i="4"/>
  <c r="T721" i="4"/>
  <c r="U721" i="4" s="1"/>
  <c r="R721" i="4"/>
  <c r="S721" i="4" s="1"/>
  <c r="P721" i="4"/>
  <c r="Q721" i="4" s="1"/>
  <c r="N721" i="4"/>
  <c r="O721" i="4" s="1"/>
  <c r="M721" i="4"/>
  <c r="K721" i="4"/>
  <c r="L721" i="4" s="1"/>
  <c r="J721" i="4"/>
  <c r="H721" i="4"/>
  <c r="I721" i="4" s="1"/>
  <c r="G721" i="4"/>
  <c r="F721" i="4"/>
  <c r="E721" i="4"/>
  <c r="D721" i="4"/>
  <c r="C721" i="4"/>
  <c r="B721" i="4"/>
  <c r="A721" i="4"/>
  <c r="AG721" i="4" s="1"/>
  <c r="AC720" i="4"/>
  <c r="AB720" i="4"/>
  <c r="AA720" i="4"/>
  <c r="Z720" i="4"/>
  <c r="Y720" i="4"/>
  <c r="X720" i="4"/>
  <c r="W720" i="4"/>
  <c r="V720" i="4"/>
  <c r="T720" i="4"/>
  <c r="U720" i="4" s="1"/>
  <c r="R720" i="4"/>
  <c r="S720" i="4" s="1"/>
  <c r="P720" i="4"/>
  <c r="Q720" i="4" s="1"/>
  <c r="N720" i="4"/>
  <c r="O720" i="4" s="1"/>
  <c r="M720" i="4"/>
  <c r="K720" i="4"/>
  <c r="L720" i="4" s="1"/>
  <c r="J720" i="4"/>
  <c r="H720" i="4"/>
  <c r="I720" i="4" s="1"/>
  <c r="G720" i="4"/>
  <c r="F720" i="4"/>
  <c r="E720" i="4"/>
  <c r="D720" i="4"/>
  <c r="C720" i="4"/>
  <c r="B720" i="4"/>
  <c r="A720" i="4"/>
  <c r="AG720" i="4" s="1"/>
  <c r="AC719" i="4"/>
  <c r="AB719" i="4"/>
  <c r="AA719" i="4"/>
  <c r="Z719" i="4"/>
  <c r="Y719" i="4"/>
  <c r="X719" i="4"/>
  <c r="W719" i="4"/>
  <c r="V719" i="4"/>
  <c r="T719" i="4"/>
  <c r="U719" i="4" s="1"/>
  <c r="R719" i="4"/>
  <c r="S719" i="4" s="1"/>
  <c r="P719" i="4"/>
  <c r="Q719" i="4" s="1"/>
  <c r="N719" i="4"/>
  <c r="O719" i="4" s="1"/>
  <c r="M719" i="4"/>
  <c r="K719" i="4"/>
  <c r="L719" i="4" s="1"/>
  <c r="J719" i="4"/>
  <c r="H719" i="4"/>
  <c r="I719" i="4" s="1"/>
  <c r="G719" i="4"/>
  <c r="F719" i="4"/>
  <c r="E719" i="4"/>
  <c r="D719" i="4"/>
  <c r="C719" i="4"/>
  <c r="B719" i="4"/>
  <c r="A719" i="4"/>
  <c r="AG719" i="4" s="1"/>
  <c r="AC718" i="4"/>
  <c r="AB718" i="4"/>
  <c r="AA718" i="4"/>
  <c r="Z718" i="4"/>
  <c r="Y718" i="4"/>
  <c r="X718" i="4"/>
  <c r="W718" i="4"/>
  <c r="V718" i="4"/>
  <c r="T718" i="4"/>
  <c r="U718" i="4" s="1"/>
  <c r="R718" i="4"/>
  <c r="S718" i="4" s="1"/>
  <c r="P718" i="4"/>
  <c r="Q718" i="4" s="1"/>
  <c r="N718" i="4"/>
  <c r="O718" i="4" s="1"/>
  <c r="M718" i="4"/>
  <c r="K718" i="4"/>
  <c r="L718" i="4" s="1"/>
  <c r="J718" i="4"/>
  <c r="H718" i="4"/>
  <c r="I718" i="4" s="1"/>
  <c r="G718" i="4"/>
  <c r="F718" i="4"/>
  <c r="E718" i="4"/>
  <c r="D718" i="4"/>
  <c r="C718" i="4"/>
  <c r="B718" i="4"/>
  <c r="A718" i="4"/>
  <c r="AG718" i="4" s="1"/>
  <c r="AC717" i="4"/>
  <c r="AB717" i="4"/>
  <c r="AA717" i="4"/>
  <c r="Z717" i="4"/>
  <c r="Y717" i="4"/>
  <c r="X717" i="4"/>
  <c r="W717" i="4"/>
  <c r="V717" i="4"/>
  <c r="T717" i="4"/>
  <c r="U717" i="4" s="1"/>
  <c r="R717" i="4"/>
  <c r="S717" i="4" s="1"/>
  <c r="P717" i="4"/>
  <c r="Q717" i="4" s="1"/>
  <c r="N717" i="4"/>
  <c r="O717" i="4" s="1"/>
  <c r="M717" i="4"/>
  <c r="K717" i="4"/>
  <c r="L717" i="4" s="1"/>
  <c r="J717" i="4"/>
  <c r="H717" i="4"/>
  <c r="I717" i="4" s="1"/>
  <c r="G717" i="4"/>
  <c r="F717" i="4"/>
  <c r="E717" i="4"/>
  <c r="D717" i="4"/>
  <c r="C717" i="4"/>
  <c r="B717" i="4"/>
  <c r="A717" i="4"/>
  <c r="AD717" i="4" s="1"/>
  <c r="AE717" i="4" s="1"/>
  <c r="AC716" i="4"/>
  <c r="AB716" i="4"/>
  <c r="AA716" i="4"/>
  <c r="Z716" i="4"/>
  <c r="Y716" i="4"/>
  <c r="X716" i="4"/>
  <c r="W716" i="4"/>
  <c r="V716" i="4"/>
  <c r="T716" i="4"/>
  <c r="U716" i="4" s="1"/>
  <c r="R716" i="4"/>
  <c r="S716" i="4" s="1"/>
  <c r="P716" i="4"/>
  <c r="Q716" i="4" s="1"/>
  <c r="N716" i="4"/>
  <c r="O716" i="4" s="1"/>
  <c r="M716" i="4"/>
  <c r="K716" i="4"/>
  <c r="L716" i="4" s="1"/>
  <c r="J716" i="4"/>
  <c r="H716" i="4"/>
  <c r="I716" i="4" s="1"/>
  <c r="G716" i="4"/>
  <c r="F716" i="4"/>
  <c r="E716" i="4"/>
  <c r="D716" i="4"/>
  <c r="C716" i="4"/>
  <c r="B716" i="4"/>
  <c r="A716" i="4"/>
  <c r="AF716" i="4" s="1"/>
  <c r="AC715" i="4"/>
  <c r="AB715" i="4"/>
  <c r="AA715" i="4"/>
  <c r="Z715" i="4"/>
  <c r="Y715" i="4"/>
  <c r="X715" i="4"/>
  <c r="W715" i="4"/>
  <c r="V715" i="4"/>
  <c r="T715" i="4"/>
  <c r="U715" i="4" s="1"/>
  <c r="R715" i="4"/>
  <c r="S715" i="4" s="1"/>
  <c r="P715" i="4"/>
  <c r="Q715" i="4" s="1"/>
  <c r="N715" i="4"/>
  <c r="O715" i="4" s="1"/>
  <c r="M715" i="4"/>
  <c r="K715" i="4"/>
  <c r="L715" i="4" s="1"/>
  <c r="J715" i="4"/>
  <c r="H715" i="4"/>
  <c r="I715" i="4" s="1"/>
  <c r="G715" i="4"/>
  <c r="F715" i="4"/>
  <c r="E715" i="4"/>
  <c r="D715" i="4"/>
  <c r="C715" i="4"/>
  <c r="B715" i="4"/>
  <c r="A715" i="4"/>
  <c r="AC714" i="4"/>
  <c r="AB714" i="4"/>
  <c r="AA714" i="4"/>
  <c r="Z714" i="4"/>
  <c r="Y714" i="4"/>
  <c r="X714" i="4"/>
  <c r="W714" i="4"/>
  <c r="V714" i="4"/>
  <c r="T714" i="4"/>
  <c r="U714" i="4" s="1"/>
  <c r="R714" i="4"/>
  <c r="S714" i="4" s="1"/>
  <c r="P714" i="4"/>
  <c r="Q714" i="4" s="1"/>
  <c r="N714" i="4"/>
  <c r="O714" i="4" s="1"/>
  <c r="M714" i="4"/>
  <c r="K714" i="4"/>
  <c r="L714" i="4" s="1"/>
  <c r="J714" i="4"/>
  <c r="H714" i="4"/>
  <c r="I714" i="4" s="1"/>
  <c r="G714" i="4"/>
  <c r="F714" i="4"/>
  <c r="E714" i="4"/>
  <c r="D714" i="4"/>
  <c r="C714" i="4"/>
  <c r="B714" i="4"/>
  <c r="A714" i="4"/>
  <c r="AC713" i="4"/>
  <c r="AB713" i="4"/>
  <c r="AA713" i="4"/>
  <c r="Z713" i="4"/>
  <c r="Y713" i="4"/>
  <c r="X713" i="4"/>
  <c r="W713" i="4"/>
  <c r="V713" i="4"/>
  <c r="T713" i="4"/>
  <c r="U713" i="4" s="1"/>
  <c r="R713" i="4"/>
  <c r="S713" i="4" s="1"/>
  <c r="P713" i="4"/>
  <c r="Q713" i="4" s="1"/>
  <c r="N713" i="4"/>
  <c r="O713" i="4" s="1"/>
  <c r="M713" i="4"/>
  <c r="K713" i="4"/>
  <c r="L713" i="4" s="1"/>
  <c r="J713" i="4"/>
  <c r="H713" i="4"/>
  <c r="I713" i="4" s="1"/>
  <c r="G713" i="4"/>
  <c r="F713" i="4"/>
  <c r="E713" i="4"/>
  <c r="D713" i="4"/>
  <c r="C713" i="4"/>
  <c r="B713" i="4"/>
  <c r="A713" i="4"/>
  <c r="AC712" i="4"/>
  <c r="AB712" i="4"/>
  <c r="AA712" i="4"/>
  <c r="Z712" i="4"/>
  <c r="Y712" i="4"/>
  <c r="X712" i="4"/>
  <c r="W712" i="4"/>
  <c r="V712" i="4"/>
  <c r="T712" i="4"/>
  <c r="U712" i="4" s="1"/>
  <c r="R712" i="4"/>
  <c r="S712" i="4" s="1"/>
  <c r="P712" i="4"/>
  <c r="Q712" i="4" s="1"/>
  <c r="N712" i="4"/>
  <c r="O712" i="4" s="1"/>
  <c r="M712" i="4"/>
  <c r="K712" i="4"/>
  <c r="L712" i="4" s="1"/>
  <c r="J712" i="4"/>
  <c r="H712" i="4"/>
  <c r="I712" i="4" s="1"/>
  <c r="G712" i="4"/>
  <c r="F712" i="4"/>
  <c r="E712" i="4"/>
  <c r="D712" i="4"/>
  <c r="C712" i="4"/>
  <c r="B712" i="4"/>
  <c r="A712" i="4"/>
  <c r="AF712" i="4" s="1"/>
  <c r="AC711" i="4"/>
  <c r="AB711" i="4"/>
  <c r="AA711" i="4"/>
  <c r="Z711" i="4"/>
  <c r="Y711" i="4"/>
  <c r="X711" i="4"/>
  <c r="W711" i="4"/>
  <c r="V711" i="4"/>
  <c r="T711" i="4"/>
  <c r="U711" i="4" s="1"/>
  <c r="R711" i="4"/>
  <c r="S711" i="4" s="1"/>
  <c r="P711" i="4"/>
  <c r="Q711" i="4" s="1"/>
  <c r="N711" i="4"/>
  <c r="O711" i="4" s="1"/>
  <c r="M711" i="4"/>
  <c r="K711" i="4"/>
  <c r="L711" i="4" s="1"/>
  <c r="J711" i="4"/>
  <c r="H711" i="4"/>
  <c r="I711" i="4" s="1"/>
  <c r="G711" i="4"/>
  <c r="F711" i="4"/>
  <c r="E711" i="4"/>
  <c r="D711" i="4"/>
  <c r="C711" i="4"/>
  <c r="B711" i="4"/>
  <c r="A711" i="4"/>
  <c r="AC710" i="4"/>
  <c r="AB710" i="4"/>
  <c r="AA710" i="4"/>
  <c r="Z710" i="4"/>
  <c r="Y710" i="4"/>
  <c r="X710" i="4"/>
  <c r="W710" i="4"/>
  <c r="V710" i="4"/>
  <c r="T710" i="4"/>
  <c r="U710" i="4" s="1"/>
  <c r="R710" i="4"/>
  <c r="S710" i="4" s="1"/>
  <c r="P710" i="4"/>
  <c r="Q710" i="4" s="1"/>
  <c r="N710" i="4"/>
  <c r="O710" i="4" s="1"/>
  <c r="M710" i="4"/>
  <c r="K710" i="4"/>
  <c r="L710" i="4" s="1"/>
  <c r="J710" i="4"/>
  <c r="H710" i="4"/>
  <c r="I710" i="4" s="1"/>
  <c r="G710" i="4"/>
  <c r="F710" i="4"/>
  <c r="E710" i="4"/>
  <c r="D710" i="4"/>
  <c r="C710" i="4"/>
  <c r="B710" i="4"/>
  <c r="A710" i="4"/>
  <c r="AF710" i="4" s="1"/>
  <c r="AC709" i="4"/>
  <c r="AB709" i="4"/>
  <c r="AA709" i="4"/>
  <c r="Z709" i="4"/>
  <c r="Y709" i="4"/>
  <c r="X709" i="4"/>
  <c r="W709" i="4"/>
  <c r="V709" i="4"/>
  <c r="T709" i="4"/>
  <c r="U709" i="4" s="1"/>
  <c r="R709" i="4"/>
  <c r="S709" i="4" s="1"/>
  <c r="P709" i="4"/>
  <c r="Q709" i="4" s="1"/>
  <c r="N709" i="4"/>
  <c r="O709" i="4" s="1"/>
  <c r="M709" i="4"/>
  <c r="K709" i="4"/>
  <c r="L709" i="4" s="1"/>
  <c r="J709" i="4"/>
  <c r="H709" i="4"/>
  <c r="I709" i="4" s="1"/>
  <c r="G709" i="4"/>
  <c r="F709" i="4"/>
  <c r="E709" i="4"/>
  <c r="D709" i="4"/>
  <c r="C709" i="4"/>
  <c r="B709" i="4"/>
  <c r="A709" i="4"/>
  <c r="AC708" i="4"/>
  <c r="AB708" i="4"/>
  <c r="AA708" i="4"/>
  <c r="Z708" i="4"/>
  <c r="Y708" i="4"/>
  <c r="X708" i="4"/>
  <c r="W708" i="4"/>
  <c r="V708" i="4"/>
  <c r="T708" i="4"/>
  <c r="U708" i="4" s="1"/>
  <c r="R708" i="4"/>
  <c r="S708" i="4" s="1"/>
  <c r="P708" i="4"/>
  <c r="Q708" i="4" s="1"/>
  <c r="N708" i="4"/>
  <c r="O708" i="4" s="1"/>
  <c r="M708" i="4"/>
  <c r="K708" i="4"/>
  <c r="L708" i="4" s="1"/>
  <c r="J708" i="4"/>
  <c r="H708" i="4"/>
  <c r="I708" i="4" s="1"/>
  <c r="G708" i="4"/>
  <c r="F708" i="4"/>
  <c r="E708" i="4"/>
  <c r="D708" i="4"/>
  <c r="C708" i="4"/>
  <c r="B708" i="4"/>
  <c r="A708" i="4"/>
  <c r="AC707" i="4"/>
  <c r="AB707" i="4"/>
  <c r="AA707" i="4"/>
  <c r="Z707" i="4"/>
  <c r="Y707" i="4"/>
  <c r="X707" i="4"/>
  <c r="W707" i="4"/>
  <c r="V707" i="4"/>
  <c r="T707" i="4"/>
  <c r="U707" i="4" s="1"/>
  <c r="R707" i="4"/>
  <c r="S707" i="4" s="1"/>
  <c r="P707" i="4"/>
  <c r="Q707" i="4" s="1"/>
  <c r="N707" i="4"/>
  <c r="O707" i="4" s="1"/>
  <c r="M707" i="4"/>
  <c r="K707" i="4"/>
  <c r="L707" i="4" s="1"/>
  <c r="J707" i="4"/>
  <c r="H707" i="4"/>
  <c r="I707" i="4" s="1"/>
  <c r="G707" i="4"/>
  <c r="F707" i="4"/>
  <c r="E707" i="4"/>
  <c r="D707" i="4"/>
  <c r="C707" i="4"/>
  <c r="B707" i="4"/>
  <c r="A707" i="4"/>
  <c r="AG707" i="4" s="1"/>
  <c r="AC706" i="4"/>
  <c r="AB706" i="4"/>
  <c r="AA706" i="4"/>
  <c r="Z706" i="4"/>
  <c r="Y706" i="4"/>
  <c r="X706" i="4"/>
  <c r="W706" i="4"/>
  <c r="V706" i="4"/>
  <c r="T706" i="4"/>
  <c r="U706" i="4" s="1"/>
  <c r="R706" i="4"/>
  <c r="S706" i="4" s="1"/>
  <c r="P706" i="4"/>
  <c r="Q706" i="4" s="1"/>
  <c r="N706" i="4"/>
  <c r="O706" i="4" s="1"/>
  <c r="M706" i="4"/>
  <c r="K706" i="4"/>
  <c r="L706" i="4" s="1"/>
  <c r="J706" i="4"/>
  <c r="H706" i="4"/>
  <c r="I706" i="4" s="1"/>
  <c r="G706" i="4"/>
  <c r="F706" i="4"/>
  <c r="E706" i="4"/>
  <c r="D706" i="4"/>
  <c r="C706" i="4"/>
  <c r="B706" i="4"/>
  <c r="A706" i="4"/>
  <c r="AG706" i="4" s="1"/>
  <c r="AC705" i="4"/>
  <c r="AB705" i="4"/>
  <c r="AA705" i="4"/>
  <c r="Z705" i="4"/>
  <c r="Y705" i="4"/>
  <c r="X705" i="4"/>
  <c r="W705" i="4"/>
  <c r="V705" i="4"/>
  <c r="T705" i="4"/>
  <c r="U705" i="4" s="1"/>
  <c r="R705" i="4"/>
  <c r="S705" i="4" s="1"/>
  <c r="P705" i="4"/>
  <c r="Q705" i="4" s="1"/>
  <c r="N705" i="4"/>
  <c r="O705" i="4" s="1"/>
  <c r="M705" i="4"/>
  <c r="K705" i="4"/>
  <c r="L705" i="4" s="1"/>
  <c r="J705" i="4"/>
  <c r="H705" i="4"/>
  <c r="I705" i="4" s="1"/>
  <c r="G705" i="4"/>
  <c r="F705" i="4"/>
  <c r="E705" i="4"/>
  <c r="D705" i="4"/>
  <c r="C705" i="4"/>
  <c r="B705" i="4"/>
  <c r="A705" i="4"/>
  <c r="AC704" i="4"/>
  <c r="AB704" i="4"/>
  <c r="AA704" i="4"/>
  <c r="Z704" i="4"/>
  <c r="Y704" i="4"/>
  <c r="X704" i="4"/>
  <c r="W704" i="4"/>
  <c r="V704" i="4"/>
  <c r="T704" i="4"/>
  <c r="U704" i="4" s="1"/>
  <c r="R704" i="4"/>
  <c r="S704" i="4" s="1"/>
  <c r="P704" i="4"/>
  <c r="Q704" i="4" s="1"/>
  <c r="N704" i="4"/>
  <c r="O704" i="4" s="1"/>
  <c r="M704" i="4"/>
  <c r="K704" i="4"/>
  <c r="L704" i="4" s="1"/>
  <c r="J704" i="4"/>
  <c r="H704" i="4"/>
  <c r="I704" i="4" s="1"/>
  <c r="G704" i="4"/>
  <c r="F704" i="4"/>
  <c r="E704" i="4"/>
  <c r="D704" i="4"/>
  <c r="C704" i="4"/>
  <c r="B704" i="4"/>
  <c r="A704" i="4"/>
  <c r="AG704" i="4" s="1"/>
  <c r="AC703" i="4"/>
  <c r="AB703" i="4"/>
  <c r="AA703" i="4"/>
  <c r="Z703" i="4"/>
  <c r="Y703" i="4"/>
  <c r="X703" i="4"/>
  <c r="W703" i="4"/>
  <c r="V703" i="4"/>
  <c r="T703" i="4"/>
  <c r="U703" i="4" s="1"/>
  <c r="R703" i="4"/>
  <c r="S703" i="4" s="1"/>
  <c r="P703" i="4"/>
  <c r="Q703" i="4" s="1"/>
  <c r="N703" i="4"/>
  <c r="O703" i="4" s="1"/>
  <c r="M703" i="4"/>
  <c r="K703" i="4"/>
  <c r="L703" i="4" s="1"/>
  <c r="J703" i="4"/>
  <c r="H703" i="4"/>
  <c r="I703" i="4" s="1"/>
  <c r="G703" i="4"/>
  <c r="F703" i="4"/>
  <c r="E703" i="4"/>
  <c r="D703" i="4"/>
  <c r="C703" i="4"/>
  <c r="B703" i="4"/>
  <c r="A703" i="4"/>
  <c r="AF703" i="4" s="1"/>
  <c r="AC702" i="4"/>
  <c r="AB702" i="4"/>
  <c r="AA702" i="4"/>
  <c r="Z702" i="4"/>
  <c r="Y702" i="4"/>
  <c r="X702" i="4"/>
  <c r="W702" i="4"/>
  <c r="V702" i="4"/>
  <c r="T702" i="4"/>
  <c r="U702" i="4" s="1"/>
  <c r="R702" i="4"/>
  <c r="S702" i="4" s="1"/>
  <c r="P702" i="4"/>
  <c r="Q702" i="4" s="1"/>
  <c r="N702" i="4"/>
  <c r="O702" i="4" s="1"/>
  <c r="M702" i="4"/>
  <c r="L702" i="4"/>
  <c r="K702" i="4"/>
  <c r="J702" i="4"/>
  <c r="H702" i="4"/>
  <c r="I702" i="4" s="1"/>
  <c r="G702" i="4"/>
  <c r="F702" i="4"/>
  <c r="E702" i="4"/>
  <c r="D702" i="4"/>
  <c r="C702" i="4"/>
  <c r="B702" i="4"/>
  <c r="A702" i="4"/>
  <c r="AC701" i="4"/>
  <c r="AB701" i="4"/>
  <c r="AA701" i="4"/>
  <c r="Z701" i="4"/>
  <c r="Y701" i="4"/>
  <c r="X701" i="4"/>
  <c r="W701" i="4"/>
  <c r="V701" i="4"/>
  <c r="T701" i="4"/>
  <c r="U701" i="4" s="1"/>
  <c r="R701" i="4"/>
  <c r="S701" i="4" s="1"/>
  <c r="P701" i="4"/>
  <c r="Q701" i="4" s="1"/>
  <c r="N701" i="4"/>
  <c r="O701" i="4" s="1"/>
  <c r="M701" i="4"/>
  <c r="K701" i="4"/>
  <c r="L701" i="4" s="1"/>
  <c r="J701" i="4"/>
  <c r="H701" i="4"/>
  <c r="I701" i="4" s="1"/>
  <c r="G701" i="4"/>
  <c r="F701" i="4"/>
  <c r="E701" i="4"/>
  <c r="D701" i="4"/>
  <c r="C701" i="4"/>
  <c r="B701" i="4"/>
  <c r="A701" i="4"/>
  <c r="AC700" i="4"/>
  <c r="AB700" i="4"/>
  <c r="AA700" i="4"/>
  <c r="Z700" i="4"/>
  <c r="Y700" i="4"/>
  <c r="X700" i="4"/>
  <c r="W700" i="4"/>
  <c r="V700" i="4"/>
  <c r="T700" i="4"/>
  <c r="U700" i="4" s="1"/>
  <c r="R700" i="4"/>
  <c r="S700" i="4" s="1"/>
  <c r="P700" i="4"/>
  <c r="Q700" i="4" s="1"/>
  <c r="N700" i="4"/>
  <c r="O700" i="4" s="1"/>
  <c r="M700" i="4"/>
  <c r="K700" i="4"/>
  <c r="L700" i="4" s="1"/>
  <c r="J700" i="4"/>
  <c r="H700" i="4"/>
  <c r="I700" i="4" s="1"/>
  <c r="G700" i="4"/>
  <c r="F700" i="4"/>
  <c r="E700" i="4"/>
  <c r="D700" i="4"/>
  <c r="C700" i="4"/>
  <c r="B700" i="4"/>
  <c r="A700" i="4"/>
  <c r="AF700" i="4" s="1"/>
  <c r="AC699" i="4"/>
  <c r="AB699" i="4"/>
  <c r="AA699" i="4"/>
  <c r="Z699" i="4"/>
  <c r="Y699" i="4"/>
  <c r="X699" i="4"/>
  <c r="W699" i="4"/>
  <c r="V699" i="4"/>
  <c r="T699" i="4"/>
  <c r="U699" i="4" s="1"/>
  <c r="R699" i="4"/>
  <c r="S699" i="4" s="1"/>
  <c r="P699" i="4"/>
  <c r="Q699" i="4" s="1"/>
  <c r="O699" i="4"/>
  <c r="N699" i="4"/>
  <c r="M699" i="4"/>
  <c r="K699" i="4"/>
  <c r="L699" i="4" s="1"/>
  <c r="J699" i="4"/>
  <c r="H699" i="4"/>
  <c r="I699" i="4" s="1"/>
  <c r="G699" i="4"/>
  <c r="F699" i="4"/>
  <c r="E699" i="4"/>
  <c r="D699" i="4"/>
  <c r="C699" i="4"/>
  <c r="B699" i="4"/>
  <c r="A699" i="4"/>
  <c r="AC698" i="4"/>
  <c r="AB698" i="4"/>
  <c r="AA698" i="4"/>
  <c r="Z698" i="4"/>
  <c r="Y698" i="4"/>
  <c r="X698" i="4"/>
  <c r="W698" i="4"/>
  <c r="V698" i="4"/>
  <c r="T698" i="4"/>
  <c r="U698" i="4" s="1"/>
  <c r="R698" i="4"/>
  <c r="S698" i="4" s="1"/>
  <c r="P698" i="4"/>
  <c r="Q698" i="4" s="1"/>
  <c r="N698" i="4"/>
  <c r="O698" i="4" s="1"/>
  <c r="M698" i="4"/>
  <c r="K698" i="4"/>
  <c r="L698" i="4" s="1"/>
  <c r="J698" i="4"/>
  <c r="H698" i="4"/>
  <c r="I698" i="4" s="1"/>
  <c r="G698" i="4"/>
  <c r="F698" i="4"/>
  <c r="E698" i="4"/>
  <c r="D698" i="4"/>
  <c r="C698" i="4"/>
  <c r="B698" i="4"/>
  <c r="A698" i="4"/>
  <c r="AG698" i="4" s="1"/>
  <c r="AC697" i="4"/>
  <c r="AB697" i="4"/>
  <c r="AA697" i="4"/>
  <c r="Z697" i="4"/>
  <c r="Y697" i="4"/>
  <c r="X697" i="4"/>
  <c r="W697" i="4"/>
  <c r="V697" i="4"/>
  <c r="T697" i="4"/>
  <c r="U697" i="4" s="1"/>
  <c r="R697" i="4"/>
  <c r="S697" i="4" s="1"/>
  <c r="P697" i="4"/>
  <c r="Q697" i="4" s="1"/>
  <c r="N697" i="4"/>
  <c r="O697" i="4" s="1"/>
  <c r="M697" i="4"/>
  <c r="K697" i="4"/>
  <c r="L697" i="4" s="1"/>
  <c r="J697" i="4"/>
  <c r="H697" i="4"/>
  <c r="I697" i="4" s="1"/>
  <c r="G697" i="4"/>
  <c r="F697" i="4"/>
  <c r="E697" i="4"/>
  <c r="D697" i="4"/>
  <c r="C697" i="4"/>
  <c r="B697" i="4"/>
  <c r="A697" i="4"/>
  <c r="AG697" i="4" s="1"/>
  <c r="AC696" i="4"/>
  <c r="AB696" i="4"/>
  <c r="AA696" i="4"/>
  <c r="Z696" i="4"/>
  <c r="Y696" i="4"/>
  <c r="X696" i="4"/>
  <c r="W696" i="4"/>
  <c r="V696" i="4"/>
  <c r="T696" i="4"/>
  <c r="U696" i="4" s="1"/>
  <c r="R696" i="4"/>
  <c r="S696" i="4" s="1"/>
  <c r="P696" i="4"/>
  <c r="Q696" i="4" s="1"/>
  <c r="N696" i="4"/>
  <c r="O696" i="4" s="1"/>
  <c r="M696" i="4"/>
  <c r="K696" i="4"/>
  <c r="L696" i="4" s="1"/>
  <c r="J696" i="4"/>
  <c r="H696" i="4"/>
  <c r="I696" i="4" s="1"/>
  <c r="G696" i="4"/>
  <c r="F696" i="4"/>
  <c r="E696" i="4"/>
  <c r="D696" i="4"/>
  <c r="C696" i="4"/>
  <c r="B696" i="4"/>
  <c r="A696" i="4"/>
  <c r="AG696" i="4" s="1"/>
  <c r="AC695" i="4"/>
  <c r="AB695" i="4"/>
  <c r="AA695" i="4"/>
  <c r="Z695" i="4"/>
  <c r="Y695" i="4"/>
  <c r="X695" i="4"/>
  <c r="W695" i="4"/>
  <c r="V695" i="4"/>
  <c r="T695" i="4"/>
  <c r="U695" i="4" s="1"/>
  <c r="R695" i="4"/>
  <c r="S695" i="4" s="1"/>
  <c r="P695" i="4"/>
  <c r="Q695" i="4" s="1"/>
  <c r="N695" i="4"/>
  <c r="O695" i="4" s="1"/>
  <c r="M695" i="4"/>
  <c r="K695" i="4"/>
  <c r="L695" i="4" s="1"/>
  <c r="J695" i="4"/>
  <c r="H695" i="4"/>
  <c r="I695" i="4" s="1"/>
  <c r="G695" i="4"/>
  <c r="F695" i="4"/>
  <c r="E695" i="4"/>
  <c r="D695" i="4"/>
  <c r="C695" i="4"/>
  <c r="B695" i="4"/>
  <c r="A695" i="4"/>
  <c r="AG695" i="4" s="1"/>
  <c r="AC694" i="4"/>
  <c r="AB694" i="4"/>
  <c r="AA694" i="4"/>
  <c r="Z694" i="4"/>
  <c r="Y694" i="4"/>
  <c r="X694" i="4"/>
  <c r="W694" i="4"/>
  <c r="V694" i="4"/>
  <c r="T694" i="4"/>
  <c r="U694" i="4" s="1"/>
  <c r="R694" i="4"/>
  <c r="S694" i="4" s="1"/>
  <c r="P694" i="4"/>
  <c r="Q694" i="4" s="1"/>
  <c r="N694" i="4"/>
  <c r="O694" i="4" s="1"/>
  <c r="M694" i="4"/>
  <c r="K694" i="4"/>
  <c r="L694" i="4" s="1"/>
  <c r="J694" i="4"/>
  <c r="H694" i="4"/>
  <c r="I694" i="4" s="1"/>
  <c r="G694" i="4"/>
  <c r="F694" i="4"/>
  <c r="E694" i="4"/>
  <c r="D694" i="4"/>
  <c r="C694" i="4"/>
  <c r="B694" i="4"/>
  <c r="A694" i="4"/>
  <c r="AG694" i="4" s="1"/>
  <c r="AC693" i="4"/>
  <c r="AB693" i="4"/>
  <c r="AA693" i="4"/>
  <c r="Z693" i="4"/>
  <c r="Y693" i="4"/>
  <c r="X693" i="4"/>
  <c r="W693" i="4"/>
  <c r="V693" i="4"/>
  <c r="T693" i="4"/>
  <c r="U693" i="4" s="1"/>
  <c r="R693" i="4"/>
  <c r="S693" i="4" s="1"/>
  <c r="P693" i="4"/>
  <c r="Q693" i="4" s="1"/>
  <c r="N693" i="4"/>
  <c r="O693" i="4" s="1"/>
  <c r="M693" i="4"/>
  <c r="K693" i="4"/>
  <c r="L693" i="4" s="1"/>
  <c r="J693" i="4"/>
  <c r="H693" i="4"/>
  <c r="I693" i="4" s="1"/>
  <c r="G693" i="4"/>
  <c r="F693" i="4"/>
  <c r="E693" i="4"/>
  <c r="D693" i="4"/>
  <c r="C693" i="4"/>
  <c r="B693" i="4"/>
  <c r="A693" i="4"/>
  <c r="AG693" i="4" s="1"/>
  <c r="AC692" i="4"/>
  <c r="AB692" i="4"/>
  <c r="AA692" i="4"/>
  <c r="Z692" i="4"/>
  <c r="Y692" i="4"/>
  <c r="X692" i="4"/>
  <c r="W692" i="4"/>
  <c r="V692" i="4"/>
  <c r="T692" i="4"/>
  <c r="U692" i="4" s="1"/>
  <c r="R692" i="4"/>
  <c r="S692" i="4" s="1"/>
  <c r="P692" i="4"/>
  <c r="Q692" i="4" s="1"/>
  <c r="N692" i="4"/>
  <c r="O692" i="4" s="1"/>
  <c r="M692" i="4"/>
  <c r="K692" i="4"/>
  <c r="L692" i="4" s="1"/>
  <c r="J692" i="4"/>
  <c r="H692" i="4"/>
  <c r="I692" i="4" s="1"/>
  <c r="G692" i="4"/>
  <c r="F692" i="4"/>
  <c r="E692" i="4"/>
  <c r="D692" i="4"/>
  <c r="C692" i="4"/>
  <c r="B692" i="4"/>
  <c r="A692" i="4"/>
  <c r="AF692" i="4" s="1"/>
  <c r="AC691" i="4"/>
  <c r="AB691" i="4"/>
  <c r="AA691" i="4"/>
  <c r="Z691" i="4"/>
  <c r="Y691" i="4"/>
  <c r="X691" i="4"/>
  <c r="W691" i="4"/>
  <c r="V691" i="4"/>
  <c r="T691" i="4"/>
  <c r="U691" i="4" s="1"/>
  <c r="R691" i="4"/>
  <c r="S691" i="4" s="1"/>
  <c r="P691" i="4"/>
  <c r="Q691" i="4" s="1"/>
  <c r="N691" i="4"/>
  <c r="O691" i="4" s="1"/>
  <c r="M691" i="4"/>
  <c r="K691" i="4"/>
  <c r="L691" i="4" s="1"/>
  <c r="J691" i="4"/>
  <c r="H691" i="4"/>
  <c r="I691" i="4" s="1"/>
  <c r="G691" i="4"/>
  <c r="F691" i="4"/>
  <c r="E691" i="4"/>
  <c r="D691" i="4"/>
  <c r="C691" i="4"/>
  <c r="B691" i="4"/>
  <c r="A691" i="4"/>
  <c r="AG691" i="4" s="1"/>
  <c r="AC690" i="4"/>
  <c r="AB690" i="4"/>
  <c r="AA690" i="4"/>
  <c r="Z690" i="4"/>
  <c r="Y690" i="4"/>
  <c r="X690" i="4"/>
  <c r="W690" i="4"/>
  <c r="V690" i="4"/>
  <c r="T690" i="4"/>
  <c r="U690" i="4" s="1"/>
  <c r="R690" i="4"/>
  <c r="S690" i="4" s="1"/>
  <c r="P690" i="4"/>
  <c r="Q690" i="4" s="1"/>
  <c r="N690" i="4"/>
  <c r="O690" i="4" s="1"/>
  <c r="M690" i="4"/>
  <c r="K690" i="4"/>
  <c r="L690" i="4" s="1"/>
  <c r="J690" i="4"/>
  <c r="H690" i="4"/>
  <c r="I690" i="4" s="1"/>
  <c r="G690" i="4"/>
  <c r="F690" i="4"/>
  <c r="E690" i="4"/>
  <c r="D690" i="4"/>
  <c r="C690" i="4"/>
  <c r="B690" i="4"/>
  <c r="A690" i="4"/>
  <c r="AG690" i="4" s="1"/>
  <c r="AC689" i="4"/>
  <c r="AB689" i="4"/>
  <c r="AA689" i="4"/>
  <c r="Z689" i="4"/>
  <c r="Y689" i="4"/>
  <c r="X689" i="4"/>
  <c r="W689" i="4"/>
  <c r="V689" i="4"/>
  <c r="T689" i="4"/>
  <c r="U689" i="4" s="1"/>
  <c r="R689" i="4"/>
  <c r="S689" i="4" s="1"/>
  <c r="P689" i="4"/>
  <c r="Q689" i="4" s="1"/>
  <c r="N689" i="4"/>
  <c r="O689" i="4" s="1"/>
  <c r="M689" i="4"/>
  <c r="K689" i="4"/>
  <c r="L689" i="4" s="1"/>
  <c r="J689" i="4"/>
  <c r="H689" i="4"/>
  <c r="I689" i="4" s="1"/>
  <c r="G689" i="4"/>
  <c r="F689" i="4"/>
  <c r="E689" i="4"/>
  <c r="D689" i="4"/>
  <c r="C689" i="4"/>
  <c r="B689" i="4"/>
  <c r="A689" i="4"/>
  <c r="AG689" i="4" s="1"/>
  <c r="AC688" i="4"/>
  <c r="AB688" i="4"/>
  <c r="AA688" i="4"/>
  <c r="Z688" i="4"/>
  <c r="Y688" i="4"/>
  <c r="X688" i="4"/>
  <c r="W688" i="4"/>
  <c r="V688" i="4"/>
  <c r="T688" i="4"/>
  <c r="U688" i="4" s="1"/>
  <c r="R688" i="4"/>
  <c r="S688" i="4" s="1"/>
  <c r="P688" i="4"/>
  <c r="Q688" i="4" s="1"/>
  <c r="O688" i="4"/>
  <c r="N688" i="4"/>
  <c r="M688" i="4"/>
  <c r="K688" i="4"/>
  <c r="L688" i="4" s="1"/>
  <c r="J688" i="4"/>
  <c r="H688" i="4"/>
  <c r="I688" i="4" s="1"/>
  <c r="G688" i="4"/>
  <c r="F688" i="4"/>
  <c r="E688" i="4"/>
  <c r="D688" i="4"/>
  <c r="C688" i="4"/>
  <c r="B688" i="4"/>
  <c r="A688" i="4"/>
  <c r="AG688" i="4" s="1"/>
  <c r="AC687" i="4"/>
  <c r="AB687" i="4"/>
  <c r="AA687" i="4"/>
  <c r="Z687" i="4"/>
  <c r="Y687" i="4"/>
  <c r="X687" i="4"/>
  <c r="W687" i="4"/>
  <c r="V687" i="4"/>
  <c r="T687" i="4"/>
  <c r="U687" i="4" s="1"/>
  <c r="S687" i="4"/>
  <c r="R687" i="4"/>
  <c r="P687" i="4"/>
  <c r="Q687" i="4" s="1"/>
  <c r="N687" i="4"/>
  <c r="O687" i="4" s="1"/>
  <c r="M687" i="4"/>
  <c r="K687" i="4"/>
  <c r="L687" i="4" s="1"/>
  <c r="J687" i="4"/>
  <c r="H687" i="4"/>
  <c r="I687" i="4" s="1"/>
  <c r="G687" i="4"/>
  <c r="F687" i="4"/>
  <c r="E687" i="4"/>
  <c r="D687" i="4"/>
  <c r="C687" i="4"/>
  <c r="B687" i="4"/>
  <c r="A687" i="4"/>
  <c r="AG687" i="4" s="1"/>
  <c r="AC686" i="4"/>
  <c r="AB686" i="4"/>
  <c r="AA686" i="4"/>
  <c r="Z686" i="4"/>
  <c r="Y686" i="4"/>
  <c r="X686" i="4"/>
  <c r="W686" i="4"/>
  <c r="V686" i="4"/>
  <c r="T686" i="4"/>
  <c r="U686" i="4" s="1"/>
  <c r="R686" i="4"/>
  <c r="S686" i="4" s="1"/>
  <c r="P686" i="4"/>
  <c r="Q686" i="4" s="1"/>
  <c r="N686" i="4"/>
  <c r="O686" i="4" s="1"/>
  <c r="M686" i="4"/>
  <c r="K686" i="4"/>
  <c r="L686" i="4" s="1"/>
  <c r="J686" i="4"/>
  <c r="H686" i="4"/>
  <c r="I686" i="4" s="1"/>
  <c r="G686" i="4"/>
  <c r="F686" i="4"/>
  <c r="E686" i="4"/>
  <c r="D686" i="4"/>
  <c r="C686" i="4"/>
  <c r="B686" i="4"/>
  <c r="A686" i="4"/>
  <c r="AG686" i="4" s="1"/>
  <c r="AC685" i="4"/>
  <c r="AB685" i="4"/>
  <c r="AA685" i="4"/>
  <c r="Z685" i="4"/>
  <c r="Y685" i="4"/>
  <c r="X685" i="4"/>
  <c r="W685" i="4"/>
  <c r="V685" i="4"/>
  <c r="T685" i="4"/>
  <c r="U685" i="4" s="1"/>
  <c r="R685" i="4"/>
  <c r="S685" i="4" s="1"/>
  <c r="P685" i="4"/>
  <c r="Q685" i="4" s="1"/>
  <c r="N685" i="4"/>
  <c r="O685" i="4" s="1"/>
  <c r="M685" i="4"/>
  <c r="K685" i="4"/>
  <c r="L685" i="4" s="1"/>
  <c r="J685" i="4"/>
  <c r="H685" i="4"/>
  <c r="I685" i="4" s="1"/>
  <c r="G685" i="4"/>
  <c r="F685" i="4"/>
  <c r="E685" i="4"/>
  <c r="D685" i="4"/>
  <c r="C685" i="4"/>
  <c r="B685" i="4"/>
  <c r="A685" i="4"/>
  <c r="AG685" i="4" s="1"/>
  <c r="AC684" i="4"/>
  <c r="AB684" i="4"/>
  <c r="AA684" i="4"/>
  <c r="Z684" i="4"/>
  <c r="Y684" i="4"/>
  <c r="X684" i="4"/>
  <c r="W684" i="4"/>
  <c r="V684" i="4"/>
  <c r="T684" i="4"/>
  <c r="U684" i="4" s="1"/>
  <c r="R684" i="4"/>
  <c r="S684" i="4" s="1"/>
  <c r="P684" i="4"/>
  <c r="Q684" i="4" s="1"/>
  <c r="O684" i="4"/>
  <c r="N684" i="4"/>
  <c r="M684" i="4"/>
  <c r="K684" i="4"/>
  <c r="L684" i="4" s="1"/>
  <c r="J684" i="4"/>
  <c r="H684" i="4"/>
  <c r="I684" i="4" s="1"/>
  <c r="G684" i="4"/>
  <c r="F684" i="4"/>
  <c r="E684" i="4"/>
  <c r="D684" i="4"/>
  <c r="C684" i="4"/>
  <c r="B684" i="4"/>
  <c r="A684" i="4"/>
  <c r="AF684" i="4" s="1"/>
  <c r="AC683" i="4"/>
  <c r="AB683" i="4"/>
  <c r="AA683" i="4"/>
  <c r="Z683" i="4"/>
  <c r="Y683" i="4"/>
  <c r="X683" i="4"/>
  <c r="W683" i="4"/>
  <c r="V683" i="4"/>
  <c r="T683" i="4"/>
  <c r="U683" i="4" s="1"/>
  <c r="R683" i="4"/>
  <c r="S683" i="4" s="1"/>
  <c r="P683" i="4"/>
  <c r="Q683" i="4" s="1"/>
  <c r="N683" i="4"/>
  <c r="O683" i="4" s="1"/>
  <c r="M683" i="4"/>
  <c r="K683" i="4"/>
  <c r="L683" i="4" s="1"/>
  <c r="J683" i="4"/>
  <c r="H683" i="4"/>
  <c r="I683" i="4" s="1"/>
  <c r="G683" i="4"/>
  <c r="F683" i="4"/>
  <c r="E683" i="4"/>
  <c r="D683" i="4"/>
  <c r="C683" i="4"/>
  <c r="B683" i="4"/>
  <c r="A683" i="4"/>
  <c r="AG683" i="4" s="1"/>
  <c r="AC682" i="4"/>
  <c r="AB682" i="4"/>
  <c r="AA682" i="4"/>
  <c r="Z682" i="4"/>
  <c r="Y682" i="4"/>
  <c r="X682" i="4"/>
  <c r="W682" i="4"/>
  <c r="V682" i="4"/>
  <c r="T682" i="4"/>
  <c r="U682" i="4" s="1"/>
  <c r="R682" i="4"/>
  <c r="S682" i="4" s="1"/>
  <c r="P682" i="4"/>
  <c r="Q682" i="4" s="1"/>
  <c r="N682" i="4"/>
  <c r="O682" i="4" s="1"/>
  <c r="M682" i="4"/>
  <c r="K682" i="4"/>
  <c r="L682" i="4" s="1"/>
  <c r="J682" i="4"/>
  <c r="H682" i="4"/>
  <c r="I682" i="4" s="1"/>
  <c r="G682" i="4"/>
  <c r="F682" i="4"/>
  <c r="E682" i="4"/>
  <c r="D682" i="4"/>
  <c r="C682" i="4"/>
  <c r="B682" i="4"/>
  <c r="A682" i="4"/>
  <c r="AG682" i="4" s="1"/>
  <c r="AC681" i="4"/>
  <c r="AB681" i="4"/>
  <c r="AA681" i="4"/>
  <c r="Z681" i="4"/>
  <c r="Y681" i="4"/>
  <c r="X681" i="4"/>
  <c r="W681" i="4"/>
  <c r="V681" i="4"/>
  <c r="T681" i="4"/>
  <c r="U681" i="4" s="1"/>
  <c r="R681" i="4"/>
  <c r="S681" i="4" s="1"/>
  <c r="P681" i="4"/>
  <c r="Q681" i="4" s="1"/>
  <c r="N681" i="4"/>
  <c r="O681" i="4" s="1"/>
  <c r="M681" i="4"/>
  <c r="K681" i="4"/>
  <c r="L681" i="4" s="1"/>
  <c r="J681" i="4"/>
  <c r="H681" i="4"/>
  <c r="I681" i="4" s="1"/>
  <c r="G681" i="4"/>
  <c r="F681" i="4"/>
  <c r="E681" i="4"/>
  <c r="D681" i="4"/>
  <c r="C681" i="4"/>
  <c r="B681" i="4"/>
  <c r="A681" i="4"/>
  <c r="AC680" i="4"/>
  <c r="AB680" i="4"/>
  <c r="AA680" i="4"/>
  <c r="Z680" i="4"/>
  <c r="Y680" i="4"/>
  <c r="X680" i="4"/>
  <c r="W680" i="4"/>
  <c r="V680" i="4"/>
  <c r="T680" i="4"/>
  <c r="U680" i="4" s="1"/>
  <c r="R680" i="4"/>
  <c r="S680" i="4" s="1"/>
  <c r="P680" i="4"/>
  <c r="Q680" i="4" s="1"/>
  <c r="N680" i="4"/>
  <c r="O680" i="4" s="1"/>
  <c r="M680" i="4"/>
  <c r="K680" i="4"/>
  <c r="L680" i="4" s="1"/>
  <c r="J680" i="4"/>
  <c r="H680" i="4"/>
  <c r="I680" i="4" s="1"/>
  <c r="G680" i="4"/>
  <c r="F680" i="4"/>
  <c r="E680" i="4"/>
  <c r="D680" i="4"/>
  <c r="C680" i="4"/>
  <c r="B680" i="4"/>
  <c r="A680" i="4"/>
  <c r="AG680" i="4" s="1"/>
  <c r="AC679" i="4"/>
  <c r="AB679" i="4"/>
  <c r="AA679" i="4"/>
  <c r="Z679" i="4"/>
  <c r="Y679" i="4"/>
  <c r="X679" i="4"/>
  <c r="W679" i="4"/>
  <c r="V679" i="4"/>
  <c r="T679" i="4"/>
  <c r="U679" i="4" s="1"/>
  <c r="R679" i="4"/>
  <c r="S679" i="4" s="1"/>
  <c r="P679" i="4"/>
  <c r="Q679" i="4" s="1"/>
  <c r="N679" i="4"/>
  <c r="O679" i="4" s="1"/>
  <c r="M679" i="4"/>
  <c r="K679" i="4"/>
  <c r="L679" i="4" s="1"/>
  <c r="J679" i="4"/>
  <c r="H679" i="4"/>
  <c r="I679" i="4" s="1"/>
  <c r="G679" i="4"/>
  <c r="F679" i="4"/>
  <c r="E679" i="4"/>
  <c r="D679" i="4"/>
  <c r="C679" i="4"/>
  <c r="B679" i="4"/>
  <c r="A679" i="4"/>
  <c r="AG679" i="4" s="1"/>
  <c r="AC678" i="4"/>
  <c r="AB678" i="4"/>
  <c r="AA678" i="4"/>
  <c r="Z678" i="4"/>
  <c r="Y678" i="4"/>
  <c r="X678" i="4"/>
  <c r="W678" i="4"/>
  <c r="V678" i="4"/>
  <c r="T678" i="4"/>
  <c r="U678" i="4" s="1"/>
  <c r="R678" i="4"/>
  <c r="S678" i="4" s="1"/>
  <c r="P678" i="4"/>
  <c r="Q678" i="4" s="1"/>
  <c r="N678" i="4"/>
  <c r="O678" i="4" s="1"/>
  <c r="M678" i="4"/>
  <c r="K678" i="4"/>
  <c r="L678" i="4" s="1"/>
  <c r="J678" i="4"/>
  <c r="H678" i="4"/>
  <c r="I678" i="4" s="1"/>
  <c r="G678" i="4"/>
  <c r="F678" i="4"/>
  <c r="E678" i="4"/>
  <c r="D678" i="4"/>
  <c r="C678" i="4"/>
  <c r="B678" i="4"/>
  <c r="A678" i="4"/>
  <c r="AG678" i="4" s="1"/>
  <c r="AC677" i="4"/>
  <c r="AB677" i="4"/>
  <c r="AA677" i="4"/>
  <c r="Z677" i="4"/>
  <c r="Y677" i="4"/>
  <c r="X677" i="4"/>
  <c r="W677" i="4"/>
  <c r="V677" i="4"/>
  <c r="T677" i="4"/>
  <c r="U677" i="4" s="1"/>
  <c r="R677" i="4"/>
  <c r="S677" i="4" s="1"/>
  <c r="P677" i="4"/>
  <c r="Q677" i="4" s="1"/>
  <c r="N677" i="4"/>
  <c r="O677" i="4" s="1"/>
  <c r="M677" i="4"/>
  <c r="L677" i="4"/>
  <c r="K677" i="4"/>
  <c r="J677" i="4"/>
  <c r="H677" i="4"/>
  <c r="I677" i="4" s="1"/>
  <c r="G677" i="4"/>
  <c r="F677" i="4"/>
  <c r="E677" i="4"/>
  <c r="D677" i="4"/>
  <c r="C677" i="4"/>
  <c r="B677" i="4"/>
  <c r="A677" i="4"/>
  <c r="AC676" i="4"/>
  <c r="AB676" i="4"/>
  <c r="AA676" i="4"/>
  <c r="Z676" i="4"/>
  <c r="Y676" i="4"/>
  <c r="X676" i="4"/>
  <c r="W676" i="4"/>
  <c r="V676" i="4"/>
  <c r="T676" i="4"/>
  <c r="U676" i="4" s="1"/>
  <c r="R676" i="4"/>
  <c r="S676" i="4" s="1"/>
  <c r="P676" i="4"/>
  <c r="Q676" i="4" s="1"/>
  <c r="N676" i="4"/>
  <c r="O676" i="4" s="1"/>
  <c r="M676" i="4"/>
  <c r="K676" i="4"/>
  <c r="L676" i="4" s="1"/>
  <c r="J676" i="4"/>
  <c r="H676" i="4"/>
  <c r="I676" i="4" s="1"/>
  <c r="G676" i="4"/>
  <c r="F676" i="4"/>
  <c r="E676" i="4"/>
  <c r="D676" i="4"/>
  <c r="C676" i="4"/>
  <c r="B676" i="4"/>
  <c r="A676" i="4"/>
  <c r="AF676" i="4" s="1"/>
  <c r="AC675" i="4"/>
  <c r="AB675" i="4"/>
  <c r="AA675" i="4"/>
  <c r="Z675" i="4"/>
  <c r="Y675" i="4"/>
  <c r="X675" i="4"/>
  <c r="W675" i="4"/>
  <c r="V675" i="4"/>
  <c r="T675" i="4"/>
  <c r="U675" i="4" s="1"/>
  <c r="R675" i="4"/>
  <c r="S675" i="4" s="1"/>
  <c r="P675" i="4"/>
  <c r="Q675" i="4" s="1"/>
  <c r="N675" i="4"/>
  <c r="O675" i="4" s="1"/>
  <c r="M675" i="4"/>
  <c r="K675" i="4"/>
  <c r="L675" i="4" s="1"/>
  <c r="J675" i="4"/>
  <c r="H675" i="4"/>
  <c r="I675" i="4" s="1"/>
  <c r="G675" i="4"/>
  <c r="F675" i="4"/>
  <c r="E675" i="4"/>
  <c r="D675" i="4"/>
  <c r="C675" i="4"/>
  <c r="B675" i="4"/>
  <c r="A675" i="4"/>
  <c r="AG675" i="4" s="1"/>
  <c r="AC674" i="4"/>
  <c r="AB674" i="4"/>
  <c r="AA674" i="4"/>
  <c r="Z674" i="4"/>
  <c r="Y674" i="4"/>
  <c r="X674" i="4"/>
  <c r="W674" i="4"/>
  <c r="V674" i="4"/>
  <c r="T674" i="4"/>
  <c r="U674" i="4" s="1"/>
  <c r="R674" i="4"/>
  <c r="S674" i="4" s="1"/>
  <c r="P674" i="4"/>
  <c r="Q674" i="4" s="1"/>
  <c r="N674" i="4"/>
  <c r="O674" i="4" s="1"/>
  <c r="M674" i="4"/>
  <c r="K674" i="4"/>
  <c r="L674" i="4" s="1"/>
  <c r="J674" i="4"/>
  <c r="H674" i="4"/>
  <c r="I674" i="4" s="1"/>
  <c r="G674" i="4"/>
  <c r="F674" i="4"/>
  <c r="E674" i="4"/>
  <c r="D674" i="4"/>
  <c r="C674" i="4"/>
  <c r="B674" i="4"/>
  <c r="A674" i="4"/>
  <c r="AG674" i="4" s="1"/>
  <c r="AC673" i="4"/>
  <c r="AB673" i="4"/>
  <c r="AA673" i="4"/>
  <c r="Z673" i="4"/>
  <c r="Y673" i="4"/>
  <c r="X673" i="4"/>
  <c r="W673" i="4"/>
  <c r="V673" i="4"/>
  <c r="T673" i="4"/>
  <c r="U673" i="4" s="1"/>
  <c r="R673" i="4"/>
  <c r="S673" i="4" s="1"/>
  <c r="P673" i="4"/>
  <c r="Q673" i="4" s="1"/>
  <c r="N673" i="4"/>
  <c r="O673" i="4" s="1"/>
  <c r="M673" i="4"/>
  <c r="K673" i="4"/>
  <c r="L673" i="4" s="1"/>
  <c r="J673" i="4"/>
  <c r="H673" i="4"/>
  <c r="I673" i="4" s="1"/>
  <c r="G673" i="4"/>
  <c r="F673" i="4"/>
  <c r="E673" i="4"/>
  <c r="D673" i="4"/>
  <c r="C673" i="4"/>
  <c r="B673" i="4"/>
  <c r="A673" i="4"/>
  <c r="AG673" i="4" s="1"/>
  <c r="AC672" i="4"/>
  <c r="AB672" i="4"/>
  <c r="AA672" i="4"/>
  <c r="Z672" i="4"/>
  <c r="Y672" i="4"/>
  <c r="X672" i="4"/>
  <c r="W672" i="4"/>
  <c r="V672" i="4"/>
  <c r="T672" i="4"/>
  <c r="U672" i="4" s="1"/>
  <c r="R672" i="4"/>
  <c r="S672" i="4" s="1"/>
  <c r="P672" i="4"/>
  <c r="Q672" i="4" s="1"/>
  <c r="O672" i="4"/>
  <c r="N672" i="4"/>
  <c r="M672" i="4"/>
  <c r="K672" i="4"/>
  <c r="L672" i="4" s="1"/>
  <c r="J672" i="4"/>
  <c r="H672" i="4"/>
  <c r="I672" i="4" s="1"/>
  <c r="G672" i="4"/>
  <c r="F672" i="4"/>
  <c r="E672" i="4"/>
  <c r="D672" i="4"/>
  <c r="C672" i="4"/>
  <c r="B672" i="4"/>
  <c r="A672" i="4"/>
  <c r="AG672" i="4" s="1"/>
  <c r="AC671" i="4"/>
  <c r="AB671" i="4"/>
  <c r="AA671" i="4"/>
  <c r="Z671" i="4"/>
  <c r="Y671" i="4"/>
  <c r="X671" i="4"/>
  <c r="W671" i="4"/>
  <c r="V671" i="4"/>
  <c r="T671" i="4"/>
  <c r="U671" i="4" s="1"/>
  <c r="R671" i="4"/>
  <c r="S671" i="4" s="1"/>
  <c r="P671" i="4"/>
  <c r="Q671" i="4" s="1"/>
  <c r="N671" i="4"/>
  <c r="O671" i="4" s="1"/>
  <c r="M671" i="4"/>
  <c r="K671" i="4"/>
  <c r="L671" i="4" s="1"/>
  <c r="J671" i="4"/>
  <c r="H671" i="4"/>
  <c r="I671" i="4" s="1"/>
  <c r="G671" i="4"/>
  <c r="F671" i="4"/>
  <c r="E671" i="4"/>
  <c r="D671" i="4"/>
  <c r="C671" i="4"/>
  <c r="B671" i="4"/>
  <c r="A671" i="4"/>
  <c r="AG671" i="4" s="1"/>
  <c r="AC670" i="4"/>
  <c r="AB670" i="4"/>
  <c r="AA670" i="4"/>
  <c r="Z670" i="4"/>
  <c r="Y670" i="4"/>
  <c r="X670" i="4"/>
  <c r="W670" i="4"/>
  <c r="V670" i="4"/>
  <c r="T670" i="4"/>
  <c r="U670" i="4" s="1"/>
  <c r="R670" i="4"/>
  <c r="S670" i="4" s="1"/>
  <c r="P670" i="4"/>
  <c r="Q670" i="4" s="1"/>
  <c r="N670" i="4"/>
  <c r="O670" i="4" s="1"/>
  <c r="M670" i="4"/>
  <c r="K670" i="4"/>
  <c r="L670" i="4" s="1"/>
  <c r="J670" i="4"/>
  <c r="H670" i="4"/>
  <c r="I670" i="4" s="1"/>
  <c r="G670" i="4"/>
  <c r="F670" i="4"/>
  <c r="E670" i="4"/>
  <c r="D670" i="4"/>
  <c r="C670" i="4"/>
  <c r="B670" i="4"/>
  <c r="A670" i="4"/>
  <c r="AG670" i="4" s="1"/>
  <c r="AC669" i="4"/>
  <c r="AB669" i="4"/>
  <c r="AA669" i="4"/>
  <c r="Z669" i="4"/>
  <c r="Y669" i="4"/>
  <c r="X669" i="4"/>
  <c r="W669" i="4"/>
  <c r="V669" i="4"/>
  <c r="T669" i="4"/>
  <c r="U669" i="4" s="1"/>
  <c r="R669" i="4"/>
  <c r="S669" i="4" s="1"/>
  <c r="P669" i="4"/>
  <c r="Q669" i="4" s="1"/>
  <c r="N669" i="4"/>
  <c r="O669" i="4" s="1"/>
  <c r="M669" i="4"/>
  <c r="K669" i="4"/>
  <c r="L669" i="4" s="1"/>
  <c r="J669" i="4"/>
  <c r="H669" i="4"/>
  <c r="I669" i="4" s="1"/>
  <c r="G669" i="4"/>
  <c r="F669" i="4"/>
  <c r="E669" i="4"/>
  <c r="D669" i="4"/>
  <c r="C669" i="4"/>
  <c r="B669" i="4"/>
  <c r="A669" i="4"/>
  <c r="AG669" i="4" s="1"/>
  <c r="AC668" i="4"/>
  <c r="AB668" i="4"/>
  <c r="AA668" i="4"/>
  <c r="Z668" i="4"/>
  <c r="Y668" i="4"/>
  <c r="X668" i="4"/>
  <c r="W668" i="4"/>
  <c r="V668" i="4"/>
  <c r="T668" i="4"/>
  <c r="U668" i="4" s="1"/>
  <c r="R668" i="4"/>
  <c r="S668" i="4" s="1"/>
  <c r="P668" i="4"/>
  <c r="Q668" i="4" s="1"/>
  <c r="N668" i="4"/>
  <c r="O668" i="4" s="1"/>
  <c r="M668" i="4"/>
  <c r="K668" i="4"/>
  <c r="L668" i="4" s="1"/>
  <c r="J668" i="4"/>
  <c r="H668" i="4"/>
  <c r="I668" i="4" s="1"/>
  <c r="G668" i="4"/>
  <c r="F668" i="4"/>
  <c r="E668" i="4"/>
  <c r="D668" i="4"/>
  <c r="C668" i="4"/>
  <c r="B668" i="4"/>
  <c r="A668" i="4"/>
  <c r="AF668" i="4" s="1"/>
  <c r="AC667" i="4"/>
  <c r="AB667" i="4"/>
  <c r="AA667" i="4"/>
  <c r="Z667" i="4"/>
  <c r="Y667" i="4"/>
  <c r="X667" i="4"/>
  <c r="W667" i="4"/>
  <c r="V667" i="4"/>
  <c r="T667" i="4"/>
  <c r="U667" i="4" s="1"/>
  <c r="R667" i="4"/>
  <c r="S667" i="4" s="1"/>
  <c r="P667" i="4"/>
  <c r="Q667" i="4" s="1"/>
  <c r="N667" i="4"/>
  <c r="O667" i="4" s="1"/>
  <c r="M667" i="4"/>
  <c r="K667" i="4"/>
  <c r="L667" i="4" s="1"/>
  <c r="J667" i="4"/>
  <c r="H667" i="4"/>
  <c r="I667" i="4" s="1"/>
  <c r="G667" i="4"/>
  <c r="F667" i="4"/>
  <c r="E667" i="4"/>
  <c r="D667" i="4"/>
  <c r="C667" i="4"/>
  <c r="B667" i="4"/>
  <c r="A667" i="4"/>
  <c r="AC666" i="4"/>
  <c r="AB666" i="4"/>
  <c r="AA666" i="4"/>
  <c r="Z666" i="4"/>
  <c r="Y666" i="4"/>
  <c r="X666" i="4"/>
  <c r="W666" i="4"/>
  <c r="V666" i="4"/>
  <c r="T666" i="4"/>
  <c r="U666" i="4" s="1"/>
  <c r="R666" i="4"/>
  <c r="S666" i="4" s="1"/>
  <c r="P666" i="4"/>
  <c r="Q666" i="4" s="1"/>
  <c r="N666" i="4"/>
  <c r="O666" i="4" s="1"/>
  <c r="M666" i="4"/>
  <c r="K666" i="4"/>
  <c r="L666" i="4" s="1"/>
  <c r="J666" i="4"/>
  <c r="H666" i="4"/>
  <c r="I666" i="4" s="1"/>
  <c r="G666" i="4"/>
  <c r="F666" i="4"/>
  <c r="E666" i="4"/>
  <c r="D666" i="4"/>
  <c r="C666" i="4"/>
  <c r="B666" i="4"/>
  <c r="A666" i="4"/>
  <c r="AG666" i="4" s="1"/>
  <c r="AC665" i="4"/>
  <c r="AB665" i="4"/>
  <c r="AA665" i="4"/>
  <c r="Z665" i="4"/>
  <c r="Y665" i="4"/>
  <c r="X665" i="4"/>
  <c r="W665" i="4"/>
  <c r="V665" i="4"/>
  <c r="T665" i="4"/>
  <c r="U665" i="4" s="1"/>
  <c r="R665" i="4"/>
  <c r="S665" i="4" s="1"/>
  <c r="P665" i="4"/>
  <c r="Q665" i="4" s="1"/>
  <c r="N665" i="4"/>
  <c r="O665" i="4" s="1"/>
  <c r="M665" i="4"/>
  <c r="K665" i="4"/>
  <c r="L665" i="4" s="1"/>
  <c r="J665" i="4"/>
  <c r="H665" i="4"/>
  <c r="I665" i="4" s="1"/>
  <c r="G665" i="4"/>
  <c r="F665" i="4"/>
  <c r="E665" i="4"/>
  <c r="D665" i="4"/>
  <c r="C665" i="4"/>
  <c r="B665" i="4"/>
  <c r="A665" i="4"/>
  <c r="AG665" i="4" s="1"/>
  <c r="AC664" i="4"/>
  <c r="AB664" i="4"/>
  <c r="AA664" i="4"/>
  <c r="Z664" i="4"/>
  <c r="Y664" i="4"/>
  <c r="X664" i="4"/>
  <c r="W664" i="4"/>
  <c r="V664" i="4"/>
  <c r="T664" i="4"/>
  <c r="U664" i="4" s="1"/>
  <c r="S664" i="4"/>
  <c r="R664" i="4"/>
  <c r="P664" i="4"/>
  <c r="Q664" i="4" s="1"/>
  <c r="N664" i="4"/>
  <c r="O664" i="4" s="1"/>
  <c r="M664" i="4"/>
  <c r="K664" i="4"/>
  <c r="L664" i="4" s="1"/>
  <c r="J664" i="4"/>
  <c r="H664" i="4"/>
  <c r="I664" i="4" s="1"/>
  <c r="G664" i="4"/>
  <c r="F664" i="4"/>
  <c r="E664" i="4"/>
  <c r="D664" i="4"/>
  <c r="C664" i="4"/>
  <c r="B664" i="4"/>
  <c r="A664" i="4"/>
  <c r="AG664" i="4" s="1"/>
  <c r="AC663" i="4"/>
  <c r="AB663" i="4"/>
  <c r="AA663" i="4"/>
  <c r="Z663" i="4"/>
  <c r="Y663" i="4"/>
  <c r="X663" i="4"/>
  <c r="W663" i="4"/>
  <c r="V663" i="4"/>
  <c r="T663" i="4"/>
  <c r="U663" i="4" s="1"/>
  <c r="R663" i="4"/>
  <c r="S663" i="4" s="1"/>
  <c r="P663" i="4"/>
  <c r="Q663" i="4" s="1"/>
  <c r="N663" i="4"/>
  <c r="O663" i="4" s="1"/>
  <c r="M663" i="4"/>
  <c r="K663" i="4"/>
  <c r="L663" i="4" s="1"/>
  <c r="J663" i="4"/>
  <c r="H663" i="4"/>
  <c r="I663" i="4" s="1"/>
  <c r="G663" i="4"/>
  <c r="F663" i="4"/>
  <c r="E663" i="4"/>
  <c r="D663" i="4"/>
  <c r="C663" i="4"/>
  <c r="B663" i="4"/>
  <c r="A663" i="4"/>
  <c r="AD663" i="4" s="1"/>
  <c r="AE663" i="4" s="1"/>
  <c r="AC662" i="4"/>
  <c r="AB662" i="4"/>
  <c r="AA662" i="4"/>
  <c r="Z662" i="4"/>
  <c r="Y662" i="4"/>
  <c r="X662" i="4"/>
  <c r="W662" i="4"/>
  <c r="V662" i="4"/>
  <c r="T662" i="4"/>
  <c r="U662" i="4" s="1"/>
  <c r="R662" i="4"/>
  <c r="S662" i="4" s="1"/>
  <c r="Q662" i="4"/>
  <c r="P662" i="4"/>
  <c r="N662" i="4"/>
  <c r="O662" i="4" s="1"/>
  <c r="M662" i="4"/>
  <c r="K662" i="4"/>
  <c r="L662" i="4" s="1"/>
  <c r="J662" i="4"/>
  <c r="H662" i="4"/>
  <c r="I662" i="4" s="1"/>
  <c r="G662" i="4"/>
  <c r="F662" i="4"/>
  <c r="E662" i="4"/>
  <c r="D662" i="4"/>
  <c r="C662" i="4"/>
  <c r="B662" i="4"/>
  <c r="A662" i="4"/>
  <c r="AC661" i="4"/>
  <c r="AB661" i="4"/>
  <c r="AA661" i="4"/>
  <c r="Z661" i="4"/>
  <c r="Y661" i="4"/>
  <c r="X661" i="4"/>
  <c r="W661" i="4"/>
  <c r="V661" i="4"/>
  <c r="T661" i="4"/>
  <c r="U661" i="4" s="1"/>
  <c r="R661" i="4"/>
  <c r="S661" i="4" s="1"/>
  <c r="P661" i="4"/>
  <c r="Q661" i="4" s="1"/>
  <c r="N661" i="4"/>
  <c r="O661" i="4" s="1"/>
  <c r="M661" i="4"/>
  <c r="K661" i="4"/>
  <c r="L661" i="4" s="1"/>
  <c r="J661" i="4"/>
  <c r="H661" i="4"/>
  <c r="I661" i="4" s="1"/>
  <c r="G661" i="4"/>
  <c r="F661" i="4"/>
  <c r="E661" i="4"/>
  <c r="D661" i="4"/>
  <c r="C661" i="4"/>
  <c r="B661" i="4"/>
  <c r="A661" i="4"/>
  <c r="AC660" i="4"/>
  <c r="AB660" i="4"/>
  <c r="AA660" i="4"/>
  <c r="Z660" i="4"/>
  <c r="Y660" i="4"/>
  <c r="X660" i="4"/>
  <c r="W660" i="4"/>
  <c r="V660" i="4"/>
  <c r="T660" i="4"/>
  <c r="U660" i="4" s="1"/>
  <c r="R660" i="4"/>
  <c r="S660" i="4" s="1"/>
  <c r="P660" i="4"/>
  <c r="Q660" i="4" s="1"/>
  <c r="N660" i="4"/>
  <c r="O660" i="4" s="1"/>
  <c r="M660" i="4"/>
  <c r="K660" i="4"/>
  <c r="L660" i="4" s="1"/>
  <c r="J660" i="4"/>
  <c r="H660" i="4"/>
  <c r="I660" i="4" s="1"/>
  <c r="G660" i="4"/>
  <c r="F660" i="4"/>
  <c r="E660" i="4"/>
  <c r="D660" i="4"/>
  <c r="C660" i="4"/>
  <c r="B660" i="4"/>
  <c r="A660" i="4"/>
  <c r="AF660" i="4" s="1"/>
  <c r="AC659" i="4"/>
  <c r="AB659" i="4"/>
  <c r="AA659" i="4"/>
  <c r="Z659" i="4"/>
  <c r="Y659" i="4"/>
  <c r="X659" i="4"/>
  <c r="W659" i="4"/>
  <c r="V659" i="4"/>
  <c r="T659" i="4"/>
  <c r="U659" i="4" s="1"/>
  <c r="R659" i="4"/>
  <c r="S659" i="4" s="1"/>
  <c r="P659" i="4"/>
  <c r="Q659" i="4" s="1"/>
  <c r="N659" i="4"/>
  <c r="O659" i="4" s="1"/>
  <c r="M659" i="4"/>
  <c r="K659" i="4"/>
  <c r="L659" i="4" s="1"/>
  <c r="J659" i="4"/>
  <c r="H659" i="4"/>
  <c r="I659" i="4" s="1"/>
  <c r="G659" i="4"/>
  <c r="F659" i="4"/>
  <c r="E659" i="4"/>
  <c r="D659" i="4"/>
  <c r="C659" i="4"/>
  <c r="B659" i="4"/>
  <c r="A659" i="4"/>
  <c r="AG659" i="4" s="1"/>
  <c r="AC658" i="4"/>
  <c r="AB658" i="4"/>
  <c r="AA658" i="4"/>
  <c r="Z658" i="4"/>
  <c r="Y658" i="4"/>
  <c r="X658" i="4"/>
  <c r="W658" i="4"/>
  <c r="V658" i="4"/>
  <c r="T658" i="4"/>
  <c r="U658" i="4" s="1"/>
  <c r="R658" i="4"/>
  <c r="S658" i="4" s="1"/>
  <c r="P658" i="4"/>
  <c r="Q658" i="4" s="1"/>
  <c r="N658" i="4"/>
  <c r="O658" i="4" s="1"/>
  <c r="M658" i="4"/>
  <c r="K658" i="4"/>
  <c r="L658" i="4" s="1"/>
  <c r="J658" i="4"/>
  <c r="H658" i="4"/>
  <c r="I658" i="4" s="1"/>
  <c r="G658" i="4"/>
  <c r="F658" i="4"/>
  <c r="E658" i="4"/>
  <c r="D658" i="4"/>
  <c r="C658" i="4"/>
  <c r="B658" i="4"/>
  <c r="A658" i="4"/>
  <c r="AG658" i="4" s="1"/>
  <c r="AC657" i="4"/>
  <c r="AB657" i="4"/>
  <c r="AA657" i="4"/>
  <c r="Z657" i="4"/>
  <c r="Y657" i="4"/>
  <c r="X657" i="4"/>
  <c r="W657" i="4"/>
  <c r="V657" i="4"/>
  <c r="T657" i="4"/>
  <c r="U657" i="4" s="1"/>
  <c r="R657" i="4"/>
  <c r="S657" i="4" s="1"/>
  <c r="P657" i="4"/>
  <c r="Q657" i="4" s="1"/>
  <c r="N657" i="4"/>
  <c r="O657" i="4" s="1"/>
  <c r="M657" i="4"/>
  <c r="K657" i="4"/>
  <c r="L657" i="4" s="1"/>
  <c r="J657" i="4"/>
  <c r="H657" i="4"/>
  <c r="I657" i="4" s="1"/>
  <c r="G657" i="4"/>
  <c r="F657" i="4"/>
  <c r="E657" i="4"/>
  <c r="D657" i="4"/>
  <c r="C657" i="4"/>
  <c r="B657" i="4"/>
  <c r="A657" i="4"/>
  <c r="AG657" i="4" s="1"/>
  <c r="AC656" i="4"/>
  <c r="AB656" i="4"/>
  <c r="AA656" i="4"/>
  <c r="Z656" i="4"/>
  <c r="Y656" i="4"/>
  <c r="X656" i="4"/>
  <c r="W656" i="4"/>
  <c r="V656" i="4"/>
  <c r="T656" i="4"/>
  <c r="U656" i="4" s="1"/>
  <c r="S656" i="4"/>
  <c r="R656" i="4"/>
  <c r="P656" i="4"/>
  <c r="Q656" i="4" s="1"/>
  <c r="N656" i="4"/>
  <c r="O656" i="4" s="1"/>
  <c r="M656" i="4"/>
  <c r="K656" i="4"/>
  <c r="L656" i="4" s="1"/>
  <c r="J656" i="4"/>
  <c r="H656" i="4"/>
  <c r="I656" i="4" s="1"/>
  <c r="G656" i="4"/>
  <c r="F656" i="4"/>
  <c r="E656" i="4"/>
  <c r="D656" i="4"/>
  <c r="C656" i="4"/>
  <c r="B656" i="4"/>
  <c r="A656" i="4"/>
  <c r="AG656" i="4" s="1"/>
  <c r="AC655" i="4"/>
  <c r="AB655" i="4"/>
  <c r="AA655" i="4"/>
  <c r="Z655" i="4"/>
  <c r="Y655" i="4"/>
  <c r="X655" i="4"/>
  <c r="W655" i="4"/>
  <c r="V655" i="4"/>
  <c r="T655" i="4"/>
  <c r="U655" i="4" s="1"/>
  <c r="R655" i="4"/>
  <c r="S655" i="4" s="1"/>
  <c r="P655" i="4"/>
  <c r="Q655" i="4" s="1"/>
  <c r="N655" i="4"/>
  <c r="O655" i="4" s="1"/>
  <c r="M655" i="4"/>
  <c r="K655" i="4"/>
  <c r="L655" i="4" s="1"/>
  <c r="J655" i="4"/>
  <c r="H655" i="4"/>
  <c r="I655" i="4" s="1"/>
  <c r="G655" i="4"/>
  <c r="F655" i="4"/>
  <c r="E655" i="4"/>
  <c r="D655" i="4"/>
  <c r="C655" i="4"/>
  <c r="B655" i="4"/>
  <c r="A655" i="4"/>
  <c r="AD655" i="4" s="1"/>
  <c r="AE655" i="4" s="1"/>
  <c r="AC654" i="4"/>
  <c r="AB654" i="4"/>
  <c r="AA654" i="4"/>
  <c r="Z654" i="4"/>
  <c r="Y654" i="4"/>
  <c r="X654" i="4"/>
  <c r="W654" i="4"/>
  <c r="V654" i="4"/>
  <c r="T654" i="4"/>
  <c r="U654" i="4" s="1"/>
  <c r="R654" i="4"/>
  <c r="S654" i="4" s="1"/>
  <c r="P654" i="4"/>
  <c r="Q654" i="4" s="1"/>
  <c r="N654" i="4"/>
  <c r="O654" i="4" s="1"/>
  <c r="M654" i="4"/>
  <c r="K654" i="4"/>
  <c r="L654" i="4" s="1"/>
  <c r="J654" i="4"/>
  <c r="H654" i="4"/>
  <c r="I654" i="4" s="1"/>
  <c r="G654" i="4"/>
  <c r="F654" i="4"/>
  <c r="E654" i="4"/>
  <c r="D654" i="4"/>
  <c r="C654" i="4"/>
  <c r="B654" i="4"/>
  <c r="A654" i="4"/>
  <c r="AC653" i="4"/>
  <c r="AB653" i="4"/>
  <c r="AA653" i="4"/>
  <c r="Z653" i="4"/>
  <c r="Y653" i="4"/>
  <c r="X653" i="4"/>
  <c r="W653" i="4"/>
  <c r="V653" i="4"/>
  <c r="T653" i="4"/>
  <c r="U653" i="4" s="1"/>
  <c r="R653" i="4"/>
  <c r="S653" i="4" s="1"/>
  <c r="P653" i="4"/>
  <c r="Q653" i="4" s="1"/>
  <c r="N653" i="4"/>
  <c r="O653" i="4" s="1"/>
  <c r="M653" i="4"/>
  <c r="K653" i="4"/>
  <c r="L653" i="4" s="1"/>
  <c r="J653" i="4"/>
  <c r="H653" i="4"/>
  <c r="I653" i="4" s="1"/>
  <c r="G653" i="4"/>
  <c r="F653" i="4"/>
  <c r="E653" i="4"/>
  <c r="D653" i="4"/>
  <c r="C653" i="4"/>
  <c r="B653" i="4"/>
  <c r="A653" i="4"/>
  <c r="AG653" i="4" s="1"/>
  <c r="AC652" i="4"/>
  <c r="AB652" i="4"/>
  <c r="AA652" i="4"/>
  <c r="Z652" i="4"/>
  <c r="Y652" i="4"/>
  <c r="X652" i="4"/>
  <c r="W652" i="4"/>
  <c r="V652" i="4"/>
  <c r="T652" i="4"/>
  <c r="U652" i="4" s="1"/>
  <c r="R652" i="4"/>
  <c r="S652" i="4" s="1"/>
  <c r="P652" i="4"/>
  <c r="Q652" i="4" s="1"/>
  <c r="N652" i="4"/>
  <c r="O652" i="4" s="1"/>
  <c r="M652" i="4"/>
  <c r="K652" i="4"/>
  <c r="L652" i="4" s="1"/>
  <c r="J652" i="4"/>
  <c r="H652" i="4"/>
  <c r="I652" i="4" s="1"/>
  <c r="G652" i="4"/>
  <c r="F652" i="4"/>
  <c r="E652" i="4"/>
  <c r="D652" i="4"/>
  <c r="C652" i="4"/>
  <c r="B652" i="4"/>
  <c r="A652" i="4"/>
  <c r="AF652" i="4" s="1"/>
  <c r="AC651" i="4"/>
  <c r="AB651" i="4"/>
  <c r="AA651" i="4"/>
  <c r="Z651" i="4"/>
  <c r="Y651" i="4"/>
  <c r="X651" i="4"/>
  <c r="W651" i="4"/>
  <c r="V651" i="4"/>
  <c r="T651" i="4"/>
  <c r="U651" i="4" s="1"/>
  <c r="R651" i="4"/>
  <c r="S651" i="4" s="1"/>
  <c r="P651" i="4"/>
  <c r="Q651" i="4" s="1"/>
  <c r="N651" i="4"/>
  <c r="O651" i="4" s="1"/>
  <c r="M651" i="4"/>
  <c r="K651" i="4"/>
  <c r="L651" i="4" s="1"/>
  <c r="J651" i="4"/>
  <c r="H651" i="4"/>
  <c r="I651" i="4" s="1"/>
  <c r="G651" i="4"/>
  <c r="F651" i="4"/>
  <c r="E651" i="4"/>
  <c r="D651" i="4"/>
  <c r="C651" i="4"/>
  <c r="B651" i="4"/>
  <c r="A651" i="4"/>
  <c r="AG651" i="4" s="1"/>
  <c r="AC650" i="4"/>
  <c r="AB650" i="4"/>
  <c r="AA650" i="4"/>
  <c r="Z650" i="4"/>
  <c r="Y650" i="4"/>
  <c r="X650" i="4"/>
  <c r="W650" i="4"/>
  <c r="V650" i="4"/>
  <c r="T650" i="4"/>
  <c r="U650" i="4" s="1"/>
  <c r="R650" i="4"/>
  <c r="S650" i="4" s="1"/>
  <c r="P650" i="4"/>
  <c r="Q650" i="4" s="1"/>
  <c r="N650" i="4"/>
  <c r="O650" i="4" s="1"/>
  <c r="M650" i="4"/>
  <c r="K650" i="4"/>
  <c r="L650" i="4" s="1"/>
  <c r="J650" i="4"/>
  <c r="H650" i="4"/>
  <c r="I650" i="4" s="1"/>
  <c r="G650" i="4"/>
  <c r="F650" i="4"/>
  <c r="E650" i="4"/>
  <c r="D650" i="4"/>
  <c r="C650" i="4"/>
  <c r="B650" i="4"/>
  <c r="A650" i="4"/>
  <c r="AG650" i="4" s="1"/>
  <c r="AC649" i="4"/>
  <c r="AB649" i="4"/>
  <c r="AA649" i="4"/>
  <c r="Z649" i="4"/>
  <c r="Y649" i="4"/>
  <c r="X649" i="4"/>
  <c r="W649" i="4"/>
  <c r="V649" i="4"/>
  <c r="T649" i="4"/>
  <c r="U649" i="4" s="1"/>
  <c r="R649" i="4"/>
  <c r="S649" i="4" s="1"/>
  <c r="P649" i="4"/>
  <c r="Q649" i="4" s="1"/>
  <c r="N649" i="4"/>
  <c r="O649" i="4" s="1"/>
  <c r="M649" i="4"/>
  <c r="K649" i="4"/>
  <c r="L649" i="4" s="1"/>
  <c r="J649" i="4"/>
  <c r="H649" i="4"/>
  <c r="I649" i="4" s="1"/>
  <c r="G649" i="4"/>
  <c r="F649" i="4"/>
  <c r="E649" i="4"/>
  <c r="D649" i="4"/>
  <c r="C649" i="4"/>
  <c r="B649" i="4"/>
  <c r="A649" i="4"/>
  <c r="AG649" i="4" s="1"/>
  <c r="AC648" i="4"/>
  <c r="AB648" i="4"/>
  <c r="AA648" i="4"/>
  <c r="Z648" i="4"/>
  <c r="Y648" i="4"/>
  <c r="X648" i="4"/>
  <c r="W648" i="4"/>
  <c r="V648" i="4"/>
  <c r="T648" i="4"/>
  <c r="U648" i="4" s="1"/>
  <c r="R648" i="4"/>
  <c r="S648" i="4" s="1"/>
  <c r="P648" i="4"/>
  <c r="Q648" i="4" s="1"/>
  <c r="N648" i="4"/>
  <c r="O648" i="4" s="1"/>
  <c r="M648" i="4"/>
  <c r="K648" i="4"/>
  <c r="L648" i="4" s="1"/>
  <c r="J648" i="4"/>
  <c r="H648" i="4"/>
  <c r="I648" i="4" s="1"/>
  <c r="G648" i="4"/>
  <c r="F648" i="4"/>
  <c r="E648" i="4"/>
  <c r="D648" i="4"/>
  <c r="C648" i="4"/>
  <c r="B648" i="4"/>
  <c r="A648" i="4"/>
  <c r="AG648" i="4" s="1"/>
  <c r="AC647" i="4"/>
  <c r="AB647" i="4"/>
  <c r="AA647" i="4"/>
  <c r="Z647" i="4"/>
  <c r="Y647" i="4"/>
  <c r="X647" i="4"/>
  <c r="W647" i="4"/>
  <c r="V647" i="4"/>
  <c r="T647" i="4"/>
  <c r="U647" i="4" s="1"/>
  <c r="R647" i="4"/>
  <c r="S647" i="4" s="1"/>
  <c r="P647" i="4"/>
  <c r="Q647" i="4" s="1"/>
  <c r="N647" i="4"/>
  <c r="O647" i="4" s="1"/>
  <c r="M647" i="4"/>
  <c r="K647" i="4"/>
  <c r="L647" i="4" s="1"/>
  <c r="J647" i="4"/>
  <c r="H647" i="4"/>
  <c r="I647" i="4" s="1"/>
  <c r="G647" i="4"/>
  <c r="F647" i="4"/>
  <c r="E647" i="4"/>
  <c r="D647" i="4"/>
  <c r="C647" i="4"/>
  <c r="B647" i="4"/>
  <c r="A647" i="4"/>
  <c r="AD647" i="4" s="1"/>
  <c r="AE647" i="4" s="1"/>
  <c r="AC646" i="4"/>
  <c r="AB646" i="4"/>
  <c r="AA646" i="4"/>
  <c r="Z646" i="4"/>
  <c r="Y646" i="4"/>
  <c r="X646" i="4"/>
  <c r="W646" i="4"/>
  <c r="V646" i="4"/>
  <c r="T646" i="4"/>
  <c r="U646" i="4" s="1"/>
  <c r="R646" i="4"/>
  <c r="S646" i="4" s="1"/>
  <c r="P646" i="4"/>
  <c r="Q646" i="4" s="1"/>
  <c r="N646" i="4"/>
  <c r="O646" i="4" s="1"/>
  <c r="M646" i="4"/>
  <c r="K646" i="4"/>
  <c r="L646" i="4" s="1"/>
  <c r="J646" i="4"/>
  <c r="H646" i="4"/>
  <c r="I646" i="4" s="1"/>
  <c r="G646" i="4"/>
  <c r="F646" i="4"/>
  <c r="E646" i="4"/>
  <c r="D646" i="4"/>
  <c r="C646" i="4"/>
  <c r="B646" i="4"/>
  <c r="A646" i="4"/>
  <c r="AG646" i="4" s="1"/>
  <c r="AC645" i="4"/>
  <c r="AB645" i="4"/>
  <c r="AA645" i="4"/>
  <c r="Z645" i="4"/>
  <c r="Y645" i="4"/>
  <c r="X645" i="4"/>
  <c r="W645" i="4"/>
  <c r="V645" i="4"/>
  <c r="T645" i="4"/>
  <c r="U645" i="4" s="1"/>
  <c r="R645" i="4"/>
  <c r="S645" i="4" s="1"/>
  <c r="P645" i="4"/>
  <c r="Q645" i="4" s="1"/>
  <c r="N645" i="4"/>
  <c r="O645" i="4" s="1"/>
  <c r="M645" i="4"/>
  <c r="K645" i="4"/>
  <c r="L645" i="4" s="1"/>
  <c r="J645" i="4"/>
  <c r="H645" i="4"/>
  <c r="I645" i="4" s="1"/>
  <c r="G645" i="4"/>
  <c r="F645" i="4"/>
  <c r="E645" i="4"/>
  <c r="D645" i="4"/>
  <c r="C645" i="4"/>
  <c r="B645" i="4"/>
  <c r="A645" i="4"/>
  <c r="AG645" i="4" s="1"/>
  <c r="AC644" i="4"/>
  <c r="AB644" i="4"/>
  <c r="AA644" i="4"/>
  <c r="Z644" i="4"/>
  <c r="Y644" i="4"/>
  <c r="X644" i="4"/>
  <c r="W644" i="4"/>
  <c r="V644" i="4"/>
  <c r="T644" i="4"/>
  <c r="U644" i="4" s="1"/>
  <c r="R644" i="4"/>
  <c r="S644" i="4" s="1"/>
  <c r="P644" i="4"/>
  <c r="Q644" i="4" s="1"/>
  <c r="N644" i="4"/>
  <c r="O644" i="4" s="1"/>
  <c r="M644" i="4"/>
  <c r="K644" i="4"/>
  <c r="L644" i="4" s="1"/>
  <c r="J644" i="4"/>
  <c r="H644" i="4"/>
  <c r="I644" i="4" s="1"/>
  <c r="G644" i="4"/>
  <c r="F644" i="4"/>
  <c r="E644" i="4"/>
  <c r="D644" i="4"/>
  <c r="C644" i="4"/>
  <c r="B644" i="4"/>
  <c r="A644" i="4"/>
  <c r="AF644" i="4" s="1"/>
  <c r="AC643" i="4"/>
  <c r="AB643" i="4"/>
  <c r="AA643" i="4"/>
  <c r="Z643" i="4"/>
  <c r="Y643" i="4"/>
  <c r="X643" i="4"/>
  <c r="W643" i="4"/>
  <c r="V643" i="4"/>
  <c r="T643" i="4"/>
  <c r="U643" i="4" s="1"/>
  <c r="R643" i="4"/>
  <c r="S643" i="4" s="1"/>
  <c r="P643" i="4"/>
  <c r="Q643" i="4" s="1"/>
  <c r="N643" i="4"/>
  <c r="O643" i="4" s="1"/>
  <c r="M643" i="4"/>
  <c r="K643" i="4"/>
  <c r="L643" i="4" s="1"/>
  <c r="J643" i="4"/>
  <c r="H643" i="4"/>
  <c r="I643" i="4" s="1"/>
  <c r="G643" i="4"/>
  <c r="F643" i="4"/>
  <c r="E643" i="4"/>
  <c r="D643" i="4"/>
  <c r="C643" i="4"/>
  <c r="B643" i="4"/>
  <c r="A643" i="4"/>
  <c r="AC642" i="4"/>
  <c r="AB642" i="4"/>
  <c r="AA642" i="4"/>
  <c r="Z642" i="4"/>
  <c r="Y642" i="4"/>
  <c r="X642" i="4"/>
  <c r="W642" i="4"/>
  <c r="V642" i="4"/>
  <c r="T642" i="4"/>
  <c r="U642" i="4" s="1"/>
  <c r="R642" i="4"/>
  <c r="S642" i="4" s="1"/>
  <c r="P642" i="4"/>
  <c r="Q642" i="4" s="1"/>
  <c r="N642" i="4"/>
  <c r="O642" i="4" s="1"/>
  <c r="M642" i="4"/>
  <c r="K642" i="4"/>
  <c r="L642" i="4" s="1"/>
  <c r="J642" i="4"/>
  <c r="H642" i="4"/>
  <c r="I642" i="4" s="1"/>
  <c r="G642" i="4"/>
  <c r="F642" i="4"/>
  <c r="E642" i="4"/>
  <c r="D642" i="4"/>
  <c r="C642" i="4"/>
  <c r="B642" i="4"/>
  <c r="A642" i="4"/>
  <c r="AG642" i="4" s="1"/>
  <c r="AC641" i="4"/>
  <c r="AB641" i="4"/>
  <c r="AA641" i="4"/>
  <c r="Z641" i="4"/>
  <c r="Y641" i="4"/>
  <c r="X641" i="4"/>
  <c r="W641" i="4"/>
  <c r="V641" i="4"/>
  <c r="T641" i="4"/>
  <c r="U641" i="4" s="1"/>
  <c r="R641" i="4"/>
  <c r="S641" i="4" s="1"/>
  <c r="P641" i="4"/>
  <c r="Q641" i="4" s="1"/>
  <c r="N641" i="4"/>
  <c r="O641" i="4" s="1"/>
  <c r="M641" i="4"/>
  <c r="K641" i="4"/>
  <c r="L641" i="4" s="1"/>
  <c r="J641" i="4"/>
  <c r="H641" i="4"/>
  <c r="I641" i="4" s="1"/>
  <c r="G641" i="4"/>
  <c r="F641" i="4"/>
  <c r="E641" i="4"/>
  <c r="D641" i="4"/>
  <c r="C641" i="4"/>
  <c r="B641" i="4"/>
  <c r="A641" i="4"/>
  <c r="AG641" i="4" s="1"/>
  <c r="AC640" i="4"/>
  <c r="AB640" i="4"/>
  <c r="AA640" i="4"/>
  <c r="Z640" i="4"/>
  <c r="Y640" i="4"/>
  <c r="X640" i="4"/>
  <c r="W640" i="4"/>
  <c r="V640" i="4"/>
  <c r="T640" i="4"/>
  <c r="U640" i="4" s="1"/>
  <c r="R640" i="4"/>
  <c r="S640" i="4" s="1"/>
  <c r="P640" i="4"/>
  <c r="Q640" i="4" s="1"/>
  <c r="N640" i="4"/>
  <c r="O640" i="4" s="1"/>
  <c r="M640" i="4"/>
  <c r="K640" i="4"/>
  <c r="L640" i="4" s="1"/>
  <c r="J640" i="4"/>
  <c r="H640" i="4"/>
  <c r="I640" i="4" s="1"/>
  <c r="G640" i="4"/>
  <c r="F640" i="4"/>
  <c r="E640" i="4"/>
  <c r="D640" i="4"/>
  <c r="C640" i="4"/>
  <c r="B640" i="4"/>
  <c r="A640" i="4"/>
  <c r="AG640" i="4" s="1"/>
  <c r="AC639" i="4"/>
  <c r="AB639" i="4"/>
  <c r="AA639" i="4"/>
  <c r="Z639" i="4"/>
  <c r="Y639" i="4"/>
  <c r="X639" i="4"/>
  <c r="W639" i="4"/>
  <c r="V639" i="4"/>
  <c r="T639" i="4"/>
  <c r="U639" i="4" s="1"/>
  <c r="R639" i="4"/>
  <c r="S639" i="4" s="1"/>
  <c r="P639" i="4"/>
  <c r="Q639" i="4" s="1"/>
  <c r="N639" i="4"/>
  <c r="O639" i="4" s="1"/>
  <c r="M639" i="4"/>
  <c r="K639" i="4"/>
  <c r="L639" i="4" s="1"/>
  <c r="J639" i="4"/>
  <c r="H639" i="4"/>
  <c r="I639" i="4" s="1"/>
  <c r="G639" i="4"/>
  <c r="F639" i="4"/>
  <c r="E639" i="4"/>
  <c r="D639" i="4"/>
  <c r="C639" i="4"/>
  <c r="B639" i="4"/>
  <c r="A639" i="4"/>
  <c r="AG639" i="4" s="1"/>
  <c r="AC638" i="4"/>
  <c r="AB638" i="4"/>
  <c r="AA638" i="4"/>
  <c r="Z638" i="4"/>
  <c r="Y638" i="4"/>
  <c r="X638" i="4"/>
  <c r="W638" i="4"/>
  <c r="V638" i="4"/>
  <c r="T638" i="4"/>
  <c r="U638" i="4" s="1"/>
  <c r="R638" i="4"/>
  <c r="S638" i="4" s="1"/>
  <c r="P638" i="4"/>
  <c r="Q638" i="4" s="1"/>
  <c r="N638" i="4"/>
  <c r="O638" i="4" s="1"/>
  <c r="M638" i="4"/>
  <c r="K638" i="4"/>
  <c r="L638" i="4" s="1"/>
  <c r="J638" i="4"/>
  <c r="H638" i="4"/>
  <c r="I638" i="4" s="1"/>
  <c r="G638" i="4"/>
  <c r="F638" i="4"/>
  <c r="E638" i="4"/>
  <c r="D638" i="4"/>
  <c r="C638" i="4"/>
  <c r="B638" i="4"/>
  <c r="A638" i="4"/>
  <c r="AG638" i="4" s="1"/>
  <c r="AC637" i="4"/>
  <c r="AB637" i="4"/>
  <c r="AA637" i="4"/>
  <c r="Z637" i="4"/>
  <c r="Y637" i="4"/>
  <c r="X637" i="4"/>
  <c r="W637" i="4"/>
  <c r="V637" i="4"/>
  <c r="T637" i="4"/>
  <c r="U637" i="4" s="1"/>
  <c r="R637" i="4"/>
  <c r="S637" i="4" s="1"/>
  <c r="P637" i="4"/>
  <c r="Q637" i="4" s="1"/>
  <c r="N637" i="4"/>
  <c r="O637" i="4" s="1"/>
  <c r="M637" i="4"/>
  <c r="K637" i="4"/>
  <c r="L637" i="4" s="1"/>
  <c r="J637" i="4"/>
  <c r="H637" i="4"/>
  <c r="I637" i="4" s="1"/>
  <c r="G637" i="4"/>
  <c r="F637" i="4"/>
  <c r="E637" i="4"/>
  <c r="D637" i="4"/>
  <c r="C637" i="4"/>
  <c r="B637" i="4"/>
  <c r="A637" i="4"/>
  <c r="AD637" i="4" s="1"/>
  <c r="AE637" i="4" s="1"/>
  <c r="AC636" i="4"/>
  <c r="AB636" i="4"/>
  <c r="AA636" i="4"/>
  <c r="Z636" i="4"/>
  <c r="Y636" i="4"/>
  <c r="X636" i="4"/>
  <c r="W636" i="4"/>
  <c r="V636" i="4"/>
  <c r="U636" i="4"/>
  <c r="T636" i="4"/>
  <c r="R636" i="4"/>
  <c r="S636" i="4" s="1"/>
  <c r="P636" i="4"/>
  <c r="Q636" i="4" s="1"/>
  <c r="N636" i="4"/>
  <c r="O636" i="4" s="1"/>
  <c r="M636" i="4"/>
  <c r="K636" i="4"/>
  <c r="L636" i="4" s="1"/>
  <c r="J636" i="4"/>
  <c r="H636" i="4"/>
  <c r="I636" i="4" s="1"/>
  <c r="G636" i="4"/>
  <c r="F636" i="4"/>
  <c r="E636" i="4"/>
  <c r="D636" i="4"/>
  <c r="C636" i="4"/>
  <c r="B636" i="4"/>
  <c r="A636" i="4"/>
  <c r="AF636" i="4" s="1"/>
  <c r="AC635" i="4"/>
  <c r="AB635" i="4"/>
  <c r="AA635" i="4"/>
  <c r="Z635" i="4"/>
  <c r="Y635" i="4"/>
  <c r="X635" i="4"/>
  <c r="W635" i="4"/>
  <c r="V635" i="4"/>
  <c r="T635" i="4"/>
  <c r="U635" i="4" s="1"/>
  <c r="R635" i="4"/>
  <c r="S635" i="4" s="1"/>
  <c r="P635" i="4"/>
  <c r="Q635" i="4" s="1"/>
  <c r="N635" i="4"/>
  <c r="O635" i="4" s="1"/>
  <c r="M635" i="4"/>
  <c r="K635" i="4"/>
  <c r="L635" i="4" s="1"/>
  <c r="J635" i="4"/>
  <c r="H635" i="4"/>
  <c r="I635" i="4" s="1"/>
  <c r="G635" i="4"/>
  <c r="F635" i="4"/>
  <c r="E635" i="4"/>
  <c r="D635" i="4"/>
  <c r="C635" i="4"/>
  <c r="B635" i="4"/>
  <c r="A635" i="4"/>
  <c r="AG635" i="4" s="1"/>
  <c r="AC634" i="4"/>
  <c r="AB634" i="4"/>
  <c r="AA634" i="4"/>
  <c r="Z634" i="4"/>
  <c r="Y634" i="4"/>
  <c r="X634" i="4"/>
  <c r="W634" i="4"/>
  <c r="V634" i="4"/>
  <c r="T634" i="4"/>
  <c r="U634" i="4" s="1"/>
  <c r="R634" i="4"/>
  <c r="S634" i="4" s="1"/>
  <c r="P634" i="4"/>
  <c r="Q634" i="4" s="1"/>
  <c r="N634" i="4"/>
  <c r="O634" i="4" s="1"/>
  <c r="M634" i="4"/>
  <c r="K634" i="4"/>
  <c r="L634" i="4" s="1"/>
  <c r="J634" i="4"/>
  <c r="H634" i="4"/>
  <c r="I634" i="4" s="1"/>
  <c r="G634" i="4"/>
  <c r="F634" i="4"/>
  <c r="E634" i="4"/>
  <c r="D634" i="4"/>
  <c r="C634" i="4"/>
  <c r="B634" i="4"/>
  <c r="A634" i="4"/>
  <c r="AG634" i="4" s="1"/>
  <c r="AC633" i="4"/>
  <c r="AB633" i="4"/>
  <c r="AA633" i="4"/>
  <c r="Z633" i="4"/>
  <c r="Y633" i="4"/>
  <c r="X633" i="4"/>
  <c r="W633" i="4"/>
  <c r="V633" i="4"/>
  <c r="T633" i="4"/>
  <c r="U633" i="4" s="1"/>
  <c r="R633" i="4"/>
  <c r="S633" i="4" s="1"/>
  <c r="P633" i="4"/>
  <c r="Q633" i="4" s="1"/>
  <c r="N633" i="4"/>
  <c r="O633" i="4" s="1"/>
  <c r="M633" i="4"/>
  <c r="K633" i="4"/>
  <c r="L633" i="4" s="1"/>
  <c r="J633" i="4"/>
  <c r="H633" i="4"/>
  <c r="I633" i="4" s="1"/>
  <c r="G633" i="4"/>
  <c r="F633" i="4"/>
  <c r="E633" i="4"/>
  <c r="D633" i="4"/>
  <c r="C633" i="4"/>
  <c r="B633" i="4"/>
  <c r="A633" i="4"/>
  <c r="AC632" i="4"/>
  <c r="AB632" i="4"/>
  <c r="AA632" i="4"/>
  <c r="Z632" i="4"/>
  <c r="Y632" i="4"/>
  <c r="X632" i="4"/>
  <c r="W632" i="4"/>
  <c r="V632" i="4"/>
  <c r="T632" i="4"/>
  <c r="U632" i="4" s="1"/>
  <c r="R632" i="4"/>
  <c r="S632" i="4" s="1"/>
  <c r="P632" i="4"/>
  <c r="Q632" i="4" s="1"/>
  <c r="N632" i="4"/>
  <c r="O632" i="4" s="1"/>
  <c r="M632" i="4"/>
  <c r="K632" i="4"/>
  <c r="L632" i="4" s="1"/>
  <c r="J632" i="4"/>
  <c r="H632" i="4"/>
  <c r="I632" i="4" s="1"/>
  <c r="G632" i="4"/>
  <c r="F632" i="4"/>
  <c r="E632" i="4"/>
  <c r="D632" i="4"/>
  <c r="C632" i="4"/>
  <c r="B632" i="4"/>
  <c r="A632" i="4"/>
  <c r="AG632" i="4" s="1"/>
  <c r="AC631" i="4"/>
  <c r="AB631" i="4"/>
  <c r="AA631" i="4"/>
  <c r="Z631" i="4"/>
  <c r="Y631" i="4"/>
  <c r="X631" i="4"/>
  <c r="W631" i="4"/>
  <c r="V631" i="4"/>
  <c r="T631" i="4"/>
  <c r="U631" i="4" s="1"/>
  <c r="R631" i="4"/>
  <c r="S631" i="4" s="1"/>
  <c r="P631" i="4"/>
  <c r="Q631" i="4" s="1"/>
  <c r="N631" i="4"/>
  <c r="O631" i="4" s="1"/>
  <c r="M631" i="4"/>
  <c r="K631" i="4"/>
  <c r="L631" i="4" s="1"/>
  <c r="J631" i="4"/>
  <c r="H631" i="4"/>
  <c r="I631" i="4" s="1"/>
  <c r="G631" i="4"/>
  <c r="F631" i="4"/>
  <c r="E631" i="4"/>
  <c r="D631" i="4"/>
  <c r="C631" i="4"/>
  <c r="B631" i="4"/>
  <c r="A631" i="4"/>
  <c r="AC630" i="4"/>
  <c r="AB630" i="4"/>
  <c r="AA630" i="4"/>
  <c r="Z630" i="4"/>
  <c r="Y630" i="4"/>
  <c r="X630" i="4"/>
  <c r="W630" i="4"/>
  <c r="V630" i="4"/>
  <c r="T630" i="4"/>
  <c r="U630" i="4" s="1"/>
  <c r="R630" i="4"/>
  <c r="S630" i="4" s="1"/>
  <c r="P630" i="4"/>
  <c r="Q630" i="4" s="1"/>
  <c r="N630" i="4"/>
  <c r="O630" i="4" s="1"/>
  <c r="M630" i="4"/>
  <c r="K630" i="4"/>
  <c r="L630" i="4" s="1"/>
  <c r="J630" i="4"/>
  <c r="H630" i="4"/>
  <c r="I630" i="4" s="1"/>
  <c r="G630" i="4"/>
  <c r="F630" i="4"/>
  <c r="E630" i="4"/>
  <c r="D630" i="4"/>
  <c r="C630" i="4"/>
  <c r="B630" i="4"/>
  <c r="A630" i="4"/>
  <c r="AG630" i="4" s="1"/>
  <c r="AC629" i="4"/>
  <c r="AB629" i="4"/>
  <c r="AA629" i="4"/>
  <c r="Z629" i="4"/>
  <c r="Y629" i="4"/>
  <c r="X629" i="4"/>
  <c r="W629" i="4"/>
  <c r="V629" i="4"/>
  <c r="T629" i="4"/>
  <c r="U629" i="4" s="1"/>
  <c r="R629" i="4"/>
  <c r="S629" i="4" s="1"/>
  <c r="P629" i="4"/>
  <c r="Q629" i="4" s="1"/>
  <c r="N629" i="4"/>
  <c r="O629" i="4" s="1"/>
  <c r="M629" i="4"/>
  <c r="K629" i="4"/>
  <c r="L629" i="4" s="1"/>
  <c r="J629" i="4"/>
  <c r="H629" i="4"/>
  <c r="I629" i="4" s="1"/>
  <c r="G629" i="4"/>
  <c r="F629" i="4"/>
  <c r="E629" i="4"/>
  <c r="D629" i="4"/>
  <c r="C629" i="4"/>
  <c r="B629" i="4"/>
  <c r="A629" i="4"/>
  <c r="AG629" i="4" s="1"/>
  <c r="AC628" i="4"/>
  <c r="AB628" i="4"/>
  <c r="AA628" i="4"/>
  <c r="Z628" i="4"/>
  <c r="Y628" i="4"/>
  <c r="X628" i="4"/>
  <c r="W628" i="4"/>
  <c r="V628" i="4"/>
  <c r="T628" i="4"/>
  <c r="U628" i="4" s="1"/>
  <c r="R628" i="4"/>
  <c r="S628" i="4" s="1"/>
  <c r="P628" i="4"/>
  <c r="Q628" i="4" s="1"/>
  <c r="N628" i="4"/>
  <c r="O628" i="4" s="1"/>
  <c r="M628" i="4"/>
  <c r="K628" i="4"/>
  <c r="L628" i="4" s="1"/>
  <c r="J628" i="4"/>
  <c r="H628" i="4"/>
  <c r="I628" i="4" s="1"/>
  <c r="G628" i="4"/>
  <c r="F628" i="4"/>
  <c r="E628" i="4"/>
  <c r="D628" i="4"/>
  <c r="C628" i="4"/>
  <c r="B628" i="4"/>
  <c r="A628" i="4"/>
  <c r="AF628" i="4" s="1"/>
  <c r="AD627" i="4"/>
  <c r="AE627" i="4" s="1"/>
  <c r="AC627" i="4"/>
  <c r="AB627" i="4"/>
  <c r="AA627" i="4"/>
  <c r="Z627" i="4"/>
  <c r="Y627" i="4"/>
  <c r="X627" i="4"/>
  <c r="W627" i="4"/>
  <c r="V627" i="4"/>
  <c r="T627" i="4"/>
  <c r="U627" i="4" s="1"/>
  <c r="R627" i="4"/>
  <c r="S627" i="4" s="1"/>
  <c r="P627" i="4"/>
  <c r="Q627" i="4" s="1"/>
  <c r="N627" i="4"/>
  <c r="O627" i="4" s="1"/>
  <c r="M627" i="4"/>
  <c r="K627" i="4"/>
  <c r="L627" i="4" s="1"/>
  <c r="J627" i="4"/>
  <c r="H627" i="4"/>
  <c r="I627" i="4" s="1"/>
  <c r="G627" i="4"/>
  <c r="F627" i="4"/>
  <c r="E627" i="4"/>
  <c r="D627" i="4"/>
  <c r="C627" i="4"/>
  <c r="B627" i="4"/>
  <c r="A627" i="4"/>
  <c r="AG627" i="4" s="1"/>
  <c r="AC626" i="4"/>
  <c r="AB626" i="4"/>
  <c r="AA626" i="4"/>
  <c r="Z626" i="4"/>
  <c r="Y626" i="4"/>
  <c r="X626" i="4"/>
  <c r="W626" i="4"/>
  <c r="V626" i="4"/>
  <c r="T626" i="4"/>
  <c r="U626" i="4" s="1"/>
  <c r="R626" i="4"/>
  <c r="S626" i="4" s="1"/>
  <c r="P626" i="4"/>
  <c r="Q626" i="4" s="1"/>
  <c r="N626" i="4"/>
  <c r="O626" i="4" s="1"/>
  <c r="M626" i="4"/>
  <c r="K626" i="4"/>
  <c r="L626" i="4" s="1"/>
  <c r="J626" i="4"/>
  <c r="H626" i="4"/>
  <c r="I626" i="4" s="1"/>
  <c r="G626" i="4"/>
  <c r="F626" i="4"/>
  <c r="E626" i="4"/>
  <c r="D626" i="4"/>
  <c r="C626" i="4"/>
  <c r="B626" i="4"/>
  <c r="A626" i="4"/>
  <c r="AD626" i="4" s="1"/>
  <c r="AE626" i="4" s="1"/>
  <c r="AC625" i="4"/>
  <c r="AB625" i="4"/>
  <c r="AA625" i="4"/>
  <c r="Z625" i="4"/>
  <c r="Y625" i="4"/>
  <c r="X625" i="4"/>
  <c r="W625" i="4"/>
  <c r="V625" i="4"/>
  <c r="T625" i="4"/>
  <c r="U625" i="4" s="1"/>
  <c r="R625" i="4"/>
  <c r="S625" i="4" s="1"/>
  <c r="P625" i="4"/>
  <c r="Q625" i="4" s="1"/>
  <c r="N625" i="4"/>
  <c r="O625" i="4" s="1"/>
  <c r="M625" i="4"/>
  <c r="K625" i="4"/>
  <c r="L625" i="4" s="1"/>
  <c r="J625" i="4"/>
  <c r="H625" i="4"/>
  <c r="I625" i="4" s="1"/>
  <c r="G625" i="4"/>
  <c r="F625" i="4"/>
  <c r="E625" i="4"/>
  <c r="D625" i="4"/>
  <c r="C625" i="4"/>
  <c r="B625" i="4"/>
  <c r="A625" i="4"/>
  <c r="AD625" i="4" s="1"/>
  <c r="AE625" i="4" s="1"/>
  <c r="AC624" i="4"/>
  <c r="AB624" i="4"/>
  <c r="AA624" i="4"/>
  <c r="Z624" i="4"/>
  <c r="Y624" i="4"/>
  <c r="X624" i="4"/>
  <c r="W624" i="4"/>
  <c r="V624" i="4"/>
  <c r="T624" i="4"/>
  <c r="U624" i="4" s="1"/>
  <c r="R624" i="4"/>
  <c r="S624" i="4" s="1"/>
  <c r="P624" i="4"/>
  <c r="Q624" i="4" s="1"/>
  <c r="N624" i="4"/>
  <c r="O624" i="4" s="1"/>
  <c r="M624" i="4"/>
  <c r="K624" i="4"/>
  <c r="L624" i="4" s="1"/>
  <c r="J624" i="4"/>
  <c r="H624" i="4"/>
  <c r="I624" i="4" s="1"/>
  <c r="G624" i="4"/>
  <c r="F624" i="4"/>
  <c r="E624" i="4"/>
  <c r="D624" i="4"/>
  <c r="C624" i="4"/>
  <c r="B624" i="4"/>
  <c r="A624" i="4"/>
  <c r="AG624" i="4" s="1"/>
  <c r="AC623" i="4"/>
  <c r="AB623" i="4"/>
  <c r="AA623" i="4"/>
  <c r="Z623" i="4"/>
  <c r="Y623" i="4"/>
  <c r="X623" i="4"/>
  <c r="W623" i="4"/>
  <c r="V623" i="4"/>
  <c r="T623" i="4"/>
  <c r="U623" i="4" s="1"/>
  <c r="R623" i="4"/>
  <c r="S623" i="4" s="1"/>
  <c r="P623" i="4"/>
  <c r="Q623" i="4" s="1"/>
  <c r="N623" i="4"/>
  <c r="O623" i="4" s="1"/>
  <c r="M623" i="4"/>
  <c r="K623" i="4"/>
  <c r="L623" i="4" s="1"/>
  <c r="J623" i="4"/>
  <c r="H623" i="4"/>
  <c r="I623" i="4" s="1"/>
  <c r="G623" i="4"/>
  <c r="F623" i="4"/>
  <c r="E623" i="4"/>
  <c r="D623" i="4"/>
  <c r="C623" i="4"/>
  <c r="B623" i="4"/>
  <c r="A623" i="4"/>
  <c r="AC622" i="4"/>
  <c r="AB622" i="4"/>
  <c r="AA622" i="4"/>
  <c r="Z622" i="4"/>
  <c r="Y622" i="4"/>
  <c r="X622" i="4"/>
  <c r="W622" i="4"/>
  <c r="V622" i="4"/>
  <c r="T622" i="4"/>
  <c r="U622" i="4" s="1"/>
  <c r="R622" i="4"/>
  <c r="S622" i="4" s="1"/>
  <c r="Q622" i="4"/>
  <c r="P622" i="4"/>
  <c r="N622" i="4"/>
  <c r="O622" i="4" s="1"/>
  <c r="M622" i="4"/>
  <c r="K622" i="4"/>
  <c r="L622" i="4" s="1"/>
  <c r="J622" i="4"/>
  <c r="H622" i="4"/>
  <c r="I622" i="4" s="1"/>
  <c r="G622" i="4"/>
  <c r="F622" i="4"/>
  <c r="E622" i="4"/>
  <c r="D622" i="4"/>
  <c r="C622" i="4"/>
  <c r="B622" i="4"/>
  <c r="A622" i="4"/>
  <c r="AC621" i="4"/>
  <c r="AB621" i="4"/>
  <c r="AA621" i="4"/>
  <c r="Z621" i="4"/>
  <c r="Y621" i="4"/>
  <c r="X621" i="4"/>
  <c r="W621" i="4"/>
  <c r="V621" i="4"/>
  <c r="T621" i="4"/>
  <c r="U621" i="4" s="1"/>
  <c r="R621" i="4"/>
  <c r="S621" i="4" s="1"/>
  <c r="P621" i="4"/>
  <c r="Q621" i="4" s="1"/>
  <c r="N621" i="4"/>
  <c r="O621" i="4" s="1"/>
  <c r="M621" i="4"/>
  <c r="K621" i="4"/>
  <c r="L621" i="4" s="1"/>
  <c r="J621" i="4"/>
  <c r="H621" i="4"/>
  <c r="I621" i="4" s="1"/>
  <c r="G621" i="4"/>
  <c r="F621" i="4"/>
  <c r="E621" i="4"/>
  <c r="D621" i="4"/>
  <c r="C621" i="4"/>
  <c r="B621" i="4"/>
  <c r="A621" i="4"/>
  <c r="AC620" i="4"/>
  <c r="AB620" i="4"/>
  <c r="AA620" i="4"/>
  <c r="Z620" i="4"/>
  <c r="Y620" i="4"/>
  <c r="X620" i="4"/>
  <c r="W620" i="4"/>
  <c r="V620" i="4"/>
  <c r="T620" i="4"/>
  <c r="U620" i="4" s="1"/>
  <c r="R620" i="4"/>
  <c r="S620" i="4" s="1"/>
  <c r="P620" i="4"/>
  <c r="Q620" i="4" s="1"/>
  <c r="N620" i="4"/>
  <c r="O620" i="4" s="1"/>
  <c r="M620" i="4"/>
  <c r="K620" i="4"/>
  <c r="L620" i="4" s="1"/>
  <c r="J620" i="4"/>
  <c r="H620" i="4"/>
  <c r="I620" i="4" s="1"/>
  <c r="G620" i="4"/>
  <c r="F620" i="4"/>
  <c r="E620" i="4"/>
  <c r="D620" i="4"/>
  <c r="C620" i="4"/>
  <c r="B620" i="4"/>
  <c r="A620" i="4"/>
  <c r="AF620" i="4" s="1"/>
  <c r="AC619" i="4"/>
  <c r="AB619" i="4"/>
  <c r="AA619" i="4"/>
  <c r="Z619" i="4"/>
  <c r="Y619" i="4"/>
  <c r="X619" i="4"/>
  <c r="W619" i="4"/>
  <c r="V619" i="4"/>
  <c r="T619" i="4"/>
  <c r="U619" i="4" s="1"/>
  <c r="R619" i="4"/>
  <c r="S619" i="4" s="1"/>
  <c r="P619" i="4"/>
  <c r="Q619" i="4" s="1"/>
  <c r="N619" i="4"/>
  <c r="O619" i="4" s="1"/>
  <c r="M619" i="4"/>
  <c r="K619" i="4"/>
  <c r="L619" i="4" s="1"/>
  <c r="J619" i="4"/>
  <c r="H619" i="4"/>
  <c r="I619" i="4" s="1"/>
  <c r="G619" i="4"/>
  <c r="F619" i="4"/>
  <c r="E619" i="4"/>
  <c r="D619" i="4"/>
  <c r="C619" i="4"/>
  <c r="B619" i="4"/>
  <c r="A619" i="4"/>
  <c r="AG619" i="4" s="1"/>
  <c r="AC618" i="4"/>
  <c r="AB618" i="4"/>
  <c r="AA618" i="4"/>
  <c r="Z618" i="4"/>
  <c r="Y618" i="4"/>
  <c r="X618" i="4"/>
  <c r="W618" i="4"/>
  <c r="V618" i="4"/>
  <c r="T618" i="4"/>
  <c r="U618" i="4" s="1"/>
  <c r="R618" i="4"/>
  <c r="S618" i="4" s="1"/>
  <c r="P618" i="4"/>
  <c r="Q618" i="4" s="1"/>
  <c r="N618" i="4"/>
  <c r="O618" i="4" s="1"/>
  <c r="M618" i="4"/>
  <c r="K618" i="4"/>
  <c r="L618" i="4" s="1"/>
  <c r="J618" i="4"/>
  <c r="H618" i="4"/>
  <c r="I618" i="4" s="1"/>
  <c r="G618" i="4"/>
  <c r="F618" i="4"/>
  <c r="E618" i="4"/>
  <c r="D618" i="4"/>
  <c r="C618" i="4"/>
  <c r="B618" i="4"/>
  <c r="A618" i="4"/>
  <c r="AD618" i="4" s="1"/>
  <c r="AE618" i="4" s="1"/>
  <c r="AC617" i="4"/>
  <c r="AB617" i="4"/>
  <c r="AA617" i="4"/>
  <c r="Z617" i="4"/>
  <c r="Y617" i="4"/>
  <c r="X617" i="4"/>
  <c r="W617" i="4"/>
  <c r="V617" i="4"/>
  <c r="T617" i="4"/>
  <c r="U617" i="4" s="1"/>
  <c r="R617" i="4"/>
  <c r="S617" i="4" s="1"/>
  <c r="Q617" i="4"/>
  <c r="P617" i="4"/>
  <c r="N617" i="4"/>
  <c r="O617" i="4" s="1"/>
  <c r="M617" i="4"/>
  <c r="K617" i="4"/>
  <c r="L617" i="4" s="1"/>
  <c r="J617" i="4"/>
  <c r="H617" i="4"/>
  <c r="I617" i="4" s="1"/>
  <c r="G617" i="4"/>
  <c r="F617" i="4"/>
  <c r="E617" i="4"/>
  <c r="D617" i="4"/>
  <c r="C617" i="4"/>
  <c r="B617" i="4"/>
  <c r="A617" i="4"/>
  <c r="AF617" i="4" s="1"/>
  <c r="AC616" i="4"/>
  <c r="AB616" i="4"/>
  <c r="AA616" i="4"/>
  <c r="Z616" i="4"/>
  <c r="Y616" i="4"/>
  <c r="X616" i="4"/>
  <c r="W616" i="4"/>
  <c r="V616" i="4"/>
  <c r="T616" i="4"/>
  <c r="U616" i="4" s="1"/>
  <c r="R616" i="4"/>
  <c r="S616" i="4" s="1"/>
  <c r="P616" i="4"/>
  <c r="Q616" i="4" s="1"/>
  <c r="N616" i="4"/>
  <c r="O616" i="4" s="1"/>
  <c r="M616" i="4"/>
  <c r="K616" i="4"/>
  <c r="L616" i="4" s="1"/>
  <c r="J616" i="4"/>
  <c r="H616" i="4"/>
  <c r="I616" i="4" s="1"/>
  <c r="G616" i="4"/>
  <c r="F616" i="4"/>
  <c r="E616" i="4"/>
  <c r="D616" i="4"/>
  <c r="C616" i="4"/>
  <c r="B616" i="4"/>
  <c r="A616" i="4"/>
  <c r="AG616" i="4" s="1"/>
  <c r="AC615" i="4"/>
  <c r="AB615" i="4"/>
  <c r="AA615" i="4"/>
  <c r="Z615" i="4"/>
  <c r="Y615" i="4"/>
  <c r="X615" i="4"/>
  <c r="W615" i="4"/>
  <c r="V615" i="4"/>
  <c r="T615" i="4"/>
  <c r="U615" i="4" s="1"/>
  <c r="R615" i="4"/>
  <c r="S615" i="4" s="1"/>
  <c r="P615" i="4"/>
  <c r="Q615" i="4" s="1"/>
  <c r="N615" i="4"/>
  <c r="O615" i="4" s="1"/>
  <c r="M615" i="4"/>
  <c r="K615" i="4"/>
  <c r="L615" i="4" s="1"/>
  <c r="J615" i="4"/>
  <c r="H615" i="4"/>
  <c r="I615" i="4" s="1"/>
  <c r="G615" i="4"/>
  <c r="F615" i="4"/>
  <c r="E615" i="4"/>
  <c r="D615" i="4"/>
  <c r="C615" i="4"/>
  <c r="B615" i="4"/>
  <c r="A615" i="4"/>
  <c r="AG615" i="4" s="1"/>
  <c r="AC614" i="4"/>
  <c r="AB614" i="4"/>
  <c r="AA614" i="4"/>
  <c r="Z614" i="4"/>
  <c r="Y614" i="4"/>
  <c r="X614" i="4"/>
  <c r="W614" i="4"/>
  <c r="V614" i="4"/>
  <c r="T614" i="4"/>
  <c r="U614" i="4" s="1"/>
  <c r="R614" i="4"/>
  <c r="S614" i="4" s="1"/>
  <c r="P614" i="4"/>
  <c r="Q614" i="4" s="1"/>
  <c r="N614" i="4"/>
  <c r="O614" i="4" s="1"/>
  <c r="M614" i="4"/>
  <c r="K614" i="4"/>
  <c r="L614" i="4" s="1"/>
  <c r="J614" i="4"/>
  <c r="H614" i="4"/>
  <c r="I614" i="4" s="1"/>
  <c r="G614" i="4"/>
  <c r="F614" i="4"/>
  <c r="E614" i="4"/>
  <c r="D614" i="4"/>
  <c r="C614" i="4"/>
  <c r="B614" i="4"/>
  <c r="A614" i="4"/>
  <c r="AG614" i="4" s="1"/>
  <c r="AC613" i="4"/>
  <c r="AB613" i="4"/>
  <c r="AA613" i="4"/>
  <c r="Z613" i="4"/>
  <c r="Y613" i="4"/>
  <c r="X613" i="4"/>
  <c r="W613" i="4"/>
  <c r="V613" i="4"/>
  <c r="T613" i="4"/>
  <c r="U613" i="4" s="1"/>
  <c r="R613" i="4"/>
  <c r="S613" i="4" s="1"/>
  <c r="P613" i="4"/>
  <c r="Q613" i="4" s="1"/>
  <c r="N613" i="4"/>
  <c r="O613" i="4" s="1"/>
  <c r="M613" i="4"/>
  <c r="K613" i="4"/>
  <c r="L613" i="4" s="1"/>
  <c r="J613" i="4"/>
  <c r="H613" i="4"/>
  <c r="I613" i="4" s="1"/>
  <c r="G613" i="4"/>
  <c r="F613" i="4"/>
  <c r="E613" i="4"/>
  <c r="D613" i="4"/>
  <c r="C613" i="4"/>
  <c r="B613" i="4"/>
  <c r="A613" i="4"/>
  <c r="AG613" i="4" s="1"/>
  <c r="AC612" i="4"/>
  <c r="AB612" i="4"/>
  <c r="AA612" i="4"/>
  <c r="Z612" i="4"/>
  <c r="Y612" i="4"/>
  <c r="X612" i="4"/>
  <c r="W612" i="4"/>
  <c r="V612" i="4"/>
  <c r="T612" i="4"/>
  <c r="U612" i="4" s="1"/>
  <c r="R612" i="4"/>
  <c r="S612" i="4" s="1"/>
  <c r="P612" i="4"/>
  <c r="Q612" i="4" s="1"/>
  <c r="N612" i="4"/>
  <c r="O612" i="4" s="1"/>
  <c r="M612" i="4"/>
  <c r="K612" i="4"/>
  <c r="L612" i="4" s="1"/>
  <c r="J612" i="4"/>
  <c r="H612" i="4"/>
  <c r="I612" i="4" s="1"/>
  <c r="G612" i="4"/>
  <c r="F612" i="4"/>
  <c r="E612" i="4"/>
  <c r="D612" i="4"/>
  <c r="C612" i="4"/>
  <c r="B612" i="4"/>
  <c r="A612" i="4"/>
  <c r="AC611" i="4"/>
  <c r="AB611" i="4"/>
  <c r="AA611" i="4"/>
  <c r="Z611" i="4"/>
  <c r="Y611" i="4"/>
  <c r="X611" i="4"/>
  <c r="W611" i="4"/>
  <c r="V611" i="4"/>
  <c r="T611" i="4"/>
  <c r="U611" i="4" s="1"/>
  <c r="R611" i="4"/>
  <c r="S611" i="4" s="1"/>
  <c r="P611" i="4"/>
  <c r="Q611" i="4" s="1"/>
  <c r="N611" i="4"/>
  <c r="O611" i="4" s="1"/>
  <c r="M611" i="4"/>
  <c r="K611" i="4"/>
  <c r="L611" i="4" s="1"/>
  <c r="J611" i="4"/>
  <c r="H611" i="4"/>
  <c r="I611" i="4" s="1"/>
  <c r="G611" i="4"/>
  <c r="F611" i="4"/>
  <c r="E611" i="4"/>
  <c r="D611" i="4"/>
  <c r="C611" i="4"/>
  <c r="B611" i="4"/>
  <c r="A611" i="4"/>
  <c r="AG611" i="4" s="1"/>
  <c r="AC610" i="4"/>
  <c r="AB610" i="4"/>
  <c r="AA610" i="4"/>
  <c r="Z610" i="4"/>
  <c r="Y610" i="4"/>
  <c r="X610" i="4"/>
  <c r="W610" i="4"/>
  <c r="V610" i="4"/>
  <c r="T610" i="4"/>
  <c r="U610" i="4" s="1"/>
  <c r="R610" i="4"/>
  <c r="S610" i="4" s="1"/>
  <c r="P610" i="4"/>
  <c r="Q610" i="4" s="1"/>
  <c r="N610" i="4"/>
  <c r="O610" i="4" s="1"/>
  <c r="M610" i="4"/>
  <c r="K610" i="4"/>
  <c r="L610" i="4" s="1"/>
  <c r="J610" i="4"/>
  <c r="H610" i="4"/>
  <c r="I610" i="4" s="1"/>
  <c r="G610" i="4"/>
  <c r="F610" i="4"/>
  <c r="E610" i="4"/>
  <c r="D610" i="4"/>
  <c r="C610" i="4"/>
  <c r="B610" i="4"/>
  <c r="A610" i="4"/>
  <c r="AC609" i="4"/>
  <c r="AB609" i="4"/>
  <c r="AA609" i="4"/>
  <c r="Z609" i="4"/>
  <c r="Y609" i="4"/>
  <c r="X609" i="4"/>
  <c r="W609" i="4"/>
  <c r="V609" i="4"/>
  <c r="T609" i="4"/>
  <c r="U609" i="4" s="1"/>
  <c r="R609" i="4"/>
  <c r="S609" i="4" s="1"/>
  <c r="P609" i="4"/>
  <c r="Q609" i="4" s="1"/>
  <c r="N609" i="4"/>
  <c r="O609" i="4" s="1"/>
  <c r="M609" i="4"/>
  <c r="K609" i="4"/>
  <c r="L609" i="4" s="1"/>
  <c r="J609" i="4"/>
  <c r="H609" i="4"/>
  <c r="I609" i="4" s="1"/>
  <c r="G609" i="4"/>
  <c r="F609" i="4"/>
  <c r="E609" i="4"/>
  <c r="D609" i="4"/>
  <c r="C609" i="4"/>
  <c r="B609" i="4"/>
  <c r="A609" i="4"/>
  <c r="AC608" i="4"/>
  <c r="AB608" i="4"/>
  <c r="AA608" i="4"/>
  <c r="Z608" i="4"/>
  <c r="Y608" i="4"/>
  <c r="X608" i="4"/>
  <c r="W608" i="4"/>
  <c r="V608" i="4"/>
  <c r="T608" i="4"/>
  <c r="U608" i="4" s="1"/>
  <c r="R608" i="4"/>
  <c r="S608" i="4" s="1"/>
  <c r="P608" i="4"/>
  <c r="Q608" i="4" s="1"/>
  <c r="N608" i="4"/>
  <c r="O608" i="4" s="1"/>
  <c r="M608" i="4"/>
  <c r="K608" i="4"/>
  <c r="L608" i="4" s="1"/>
  <c r="J608" i="4"/>
  <c r="H608" i="4"/>
  <c r="I608" i="4" s="1"/>
  <c r="G608" i="4"/>
  <c r="F608" i="4"/>
  <c r="E608" i="4"/>
  <c r="D608" i="4"/>
  <c r="C608" i="4"/>
  <c r="B608" i="4"/>
  <c r="A608" i="4"/>
  <c r="AG608" i="4" s="1"/>
  <c r="AC607" i="4"/>
  <c r="AB607" i="4"/>
  <c r="AA607" i="4"/>
  <c r="Z607" i="4"/>
  <c r="Y607" i="4"/>
  <c r="X607" i="4"/>
  <c r="W607" i="4"/>
  <c r="V607" i="4"/>
  <c r="T607" i="4"/>
  <c r="U607" i="4" s="1"/>
  <c r="R607" i="4"/>
  <c r="S607" i="4" s="1"/>
  <c r="P607" i="4"/>
  <c r="Q607" i="4" s="1"/>
  <c r="N607" i="4"/>
  <c r="O607" i="4" s="1"/>
  <c r="M607" i="4"/>
  <c r="K607" i="4"/>
  <c r="L607" i="4" s="1"/>
  <c r="J607" i="4"/>
  <c r="H607" i="4"/>
  <c r="I607" i="4" s="1"/>
  <c r="G607" i="4"/>
  <c r="F607" i="4"/>
  <c r="E607" i="4"/>
  <c r="D607" i="4"/>
  <c r="C607" i="4"/>
  <c r="B607" i="4"/>
  <c r="A607" i="4"/>
  <c r="AG607" i="4" s="1"/>
  <c r="AC606" i="4"/>
  <c r="AB606" i="4"/>
  <c r="AA606" i="4"/>
  <c r="Z606" i="4"/>
  <c r="Y606" i="4"/>
  <c r="X606" i="4"/>
  <c r="W606" i="4"/>
  <c r="V606" i="4"/>
  <c r="T606" i="4"/>
  <c r="U606" i="4" s="1"/>
  <c r="R606" i="4"/>
  <c r="S606" i="4" s="1"/>
  <c r="P606" i="4"/>
  <c r="Q606" i="4" s="1"/>
  <c r="N606" i="4"/>
  <c r="O606" i="4" s="1"/>
  <c r="M606" i="4"/>
  <c r="K606" i="4"/>
  <c r="L606" i="4" s="1"/>
  <c r="J606" i="4"/>
  <c r="H606" i="4"/>
  <c r="I606" i="4" s="1"/>
  <c r="G606" i="4"/>
  <c r="F606" i="4"/>
  <c r="E606" i="4"/>
  <c r="D606" i="4"/>
  <c r="C606" i="4"/>
  <c r="B606" i="4"/>
  <c r="A606" i="4"/>
  <c r="AG606" i="4" s="1"/>
  <c r="AC605" i="4"/>
  <c r="AB605" i="4"/>
  <c r="AA605" i="4"/>
  <c r="Z605" i="4"/>
  <c r="Y605" i="4"/>
  <c r="X605" i="4"/>
  <c r="W605" i="4"/>
  <c r="V605" i="4"/>
  <c r="T605" i="4"/>
  <c r="U605" i="4" s="1"/>
  <c r="R605" i="4"/>
  <c r="S605" i="4" s="1"/>
  <c r="P605" i="4"/>
  <c r="Q605" i="4" s="1"/>
  <c r="N605" i="4"/>
  <c r="O605" i="4" s="1"/>
  <c r="M605" i="4"/>
  <c r="K605" i="4"/>
  <c r="L605" i="4" s="1"/>
  <c r="J605" i="4"/>
  <c r="H605" i="4"/>
  <c r="I605" i="4" s="1"/>
  <c r="G605" i="4"/>
  <c r="F605" i="4"/>
  <c r="E605" i="4"/>
  <c r="D605" i="4"/>
  <c r="C605" i="4"/>
  <c r="B605" i="4"/>
  <c r="A605" i="4"/>
  <c r="AC604" i="4"/>
  <c r="AB604" i="4"/>
  <c r="AA604" i="4"/>
  <c r="Z604" i="4"/>
  <c r="Y604" i="4"/>
  <c r="X604" i="4"/>
  <c r="W604" i="4"/>
  <c r="V604" i="4"/>
  <c r="T604" i="4"/>
  <c r="U604" i="4" s="1"/>
  <c r="R604" i="4"/>
  <c r="S604" i="4" s="1"/>
  <c r="P604" i="4"/>
  <c r="Q604" i="4" s="1"/>
  <c r="N604" i="4"/>
  <c r="O604" i="4" s="1"/>
  <c r="M604" i="4"/>
  <c r="K604" i="4"/>
  <c r="L604" i="4" s="1"/>
  <c r="J604" i="4"/>
  <c r="H604" i="4"/>
  <c r="I604" i="4" s="1"/>
  <c r="G604" i="4"/>
  <c r="F604" i="4"/>
  <c r="E604" i="4"/>
  <c r="D604" i="4"/>
  <c r="C604" i="4"/>
  <c r="B604" i="4"/>
  <c r="A604" i="4"/>
  <c r="AF603" i="4"/>
  <c r="AC603" i="4"/>
  <c r="AB603" i="4"/>
  <c r="AA603" i="4"/>
  <c r="Z603" i="4"/>
  <c r="Y603" i="4"/>
  <c r="X603" i="4"/>
  <c r="W603" i="4"/>
  <c r="V603" i="4"/>
  <c r="T603" i="4"/>
  <c r="U603" i="4" s="1"/>
  <c r="R603" i="4"/>
  <c r="S603" i="4" s="1"/>
  <c r="P603" i="4"/>
  <c r="Q603" i="4" s="1"/>
  <c r="N603" i="4"/>
  <c r="O603" i="4" s="1"/>
  <c r="M603" i="4"/>
  <c r="K603" i="4"/>
  <c r="L603" i="4" s="1"/>
  <c r="J603" i="4"/>
  <c r="H603" i="4"/>
  <c r="I603" i="4" s="1"/>
  <c r="G603" i="4"/>
  <c r="F603" i="4"/>
  <c r="E603" i="4"/>
  <c r="D603" i="4"/>
  <c r="C603" i="4"/>
  <c r="B603" i="4"/>
  <c r="A603" i="4"/>
  <c r="AC602" i="4"/>
  <c r="AB602" i="4"/>
  <c r="AA602" i="4"/>
  <c r="Z602" i="4"/>
  <c r="Y602" i="4"/>
  <c r="X602" i="4"/>
  <c r="W602" i="4"/>
  <c r="V602" i="4"/>
  <c r="U602" i="4"/>
  <c r="T602" i="4"/>
  <c r="R602" i="4"/>
  <c r="S602" i="4" s="1"/>
  <c r="P602" i="4"/>
  <c r="Q602" i="4" s="1"/>
  <c r="N602" i="4"/>
  <c r="O602" i="4" s="1"/>
  <c r="M602" i="4"/>
  <c r="K602" i="4"/>
  <c r="L602" i="4" s="1"/>
  <c r="J602" i="4"/>
  <c r="H602" i="4"/>
  <c r="I602" i="4" s="1"/>
  <c r="G602" i="4"/>
  <c r="F602" i="4"/>
  <c r="E602" i="4"/>
  <c r="D602" i="4"/>
  <c r="C602" i="4"/>
  <c r="B602" i="4"/>
  <c r="A602" i="4"/>
  <c r="AC601" i="4"/>
  <c r="AB601" i="4"/>
  <c r="AA601" i="4"/>
  <c r="Z601" i="4"/>
  <c r="Y601" i="4"/>
  <c r="X601" i="4"/>
  <c r="W601" i="4"/>
  <c r="V601" i="4"/>
  <c r="T601" i="4"/>
  <c r="U601" i="4" s="1"/>
  <c r="R601" i="4"/>
  <c r="S601" i="4" s="1"/>
  <c r="P601" i="4"/>
  <c r="Q601" i="4" s="1"/>
  <c r="N601" i="4"/>
  <c r="O601" i="4" s="1"/>
  <c r="M601" i="4"/>
  <c r="K601" i="4"/>
  <c r="L601" i="4" s="1"/>
  <c r="J601" i="4"/>
  <c r="H601" i="4"/>
  <c r="I601" i="4" s="1"/>
  <c r="G601" i="4"/>
  <c r="F601" i="4"/>
  <c r="E601" i="4"/>
  <c r="D601" i="4"/>
  <c r="C601" i="4"/>
  <c r="B601" i="4"/>
  <c r="A601" i="4"/>
  <c r="AD601" i="4" s="1"/>
  <c r="AE601" i="4" s="1"/>
  <c r="AC600" i="4"/>
  <c r="AB600" i="4"/>
  <c r="AA600" i="4"/>
  <c r="Z600" i="4"/>
  <c r="Y600" i="4"/>
  <c r="X600" i="4"/>
  <c r="W600" i="4"/>
  <c r="V600" i="4"/>
  <c r="U600" i="4"/>
  <c r="T600" i="4"/>
  <c r="R600" i="4"/>
  <c r="S600" i="4" s="1"/>
  <c r="P600" i="4"/>
  <c r="Q600" i="4" s="1"/>
  <c r="N600" i="4"/>
  <c r="O600" i="4" s="1"/>
  <c r="M600" i="4"/>
  <c r="K600" i="4"/>
  <c r="L600" i="4" s="1"/>
  <c r="J600" i="4"/>
  <c r="H600" i="4"/>
  <c r="I600" i="4" s="1"/>
  <c r="G600" i="4"/>
  <c r="F600" i="4"/>
  <c r="E600" i="4"/>
  <c r="D600" i="4"/>
  <c r="C600" i="4"/>
  <c r="B600" i="4"/>
  <c r="A600" i="4"/>
  <c r="AG600" i="4" s="1"/>
  <c r="AC599" i="4"/>
  <c r="AB599" i="4"/>
  <c r="AA599" i="4"/>
  <c r="Z599" i="4"/>
  <c r="Y599" i="4"/>
  <c r="X599" i="4"/>
  <c r="W599" i="4"/>
  <c r="V599" i="4"/>
  <c r="T599" i="4"/>
  <c r="U599" i="4" s="1"/>
  <c r="R599" i="4"/>
  <c r="S599" i="4" s="1"/>
  <c r="P599" i="4"/>
  <c r="Q599" i="4" s="1"/>
  <c r="N599" i="4"/>
  <c r="O599" i="4" s="1"/>
  <c r="M599" i="4"/>
  <c r="K599" i="4"/>
  <c r="L599" i="4" s="1"/>
  <c r="J599" i="4"/>
  <c r="H599" i="4"/>
  <c r="I599" i="4" s="1"/>
  <c r="G599" i="4"/>
  <c r="F599" i="4"/>
  <c r="E599" i="4"/>
  <c r="D599" i="4"/>
  <c r="C599" i="4"/>
  <c r="B599" i="4"/>
  <c r="A599" i="4"/>
  <c r="AG599" i="4" s="1"/>
  <c r="AC598" i="4"/>
  <c r="AB598" i="4"/>
  <c r="AA598" i="4"/>
  <c r="Z598" i="4"/>
  <c r="Y598" i="4"/>
  <c r="X598" i="4"/>
  <c r="W598" i="4"/>
  <c r="V598" i="4"/>
  <c r="T598" i="4"/>
  <c r="U598" i="4" s="1"/>
  <c r="R598" i="4"/>
  <c r="S598" i="4" s="1"/>
  <c r="P598" i="4"/>
  <c r="Q598" i="4" s="1"/>
  <c r="O598" i="4"/>
  <c r="N598" i="4"/>
  <c r="M598" i="4"/>
  <c r="K598" i="4"/>
  <c r="L598" i="4" s="1"/>
  <c r="J598" i="4"/>
  <c r="H598" i="4"/>
  <c r="I598" i="4" s="1"/>
  <c r="G598" i="4"/>
  <c r="F598" i="4"/>
  <c r="E598" i="4"/>
  <c r="D598" i="4"/>
  <c r="C598" i="4"/>
  <c r="B598" i="4"/>
  <c r="A598" i="4"/>
  <c r="AG598" i="4" s="1"/>
  <c r="AC597" i="4"/>
  <c r="AB597" i="4"/>
  <c r="AA597" i="4"/>
  <c r="Z597" i="4"/>
  <c r="Y597" i="4"/>
  <c r="X597" i="4"/>
  <c r="W597" i="4"/>
  <c r="V597" i="4"/>
  <c r="T597" i="4"/>
  <c r="U597" i="4" s="1"/>
  <c r="R597" i="4"/>
  <c r="S597" i="4" s="1"/>
  <c r="P597" i="4"/>
  <c r="Q597" i="4" s="1"/>
  <c r="N597" i="4"/>
  <c r="O597" i="4" s="1"/>
  <c r="M597" i="4"/>
  <c r="K597" i="4"/>
  <c r="L597" i="4" s="1"/>
  <c r="J597" i="4"/>
  <c r="H597" i="4"/>
  <c r="I597" i="4" s="1"/>
  <c r="G597" i="4"/>
  <c r="F597" i="4"/>
  <c r="E597" i="4"/>
  <c r="D597" i="4"/>
  <c r="C597" i="4"/>
  <c r="B597" i="4"/>
  <c r="A597" i="4"/>
  <c r="AG597" i="4" s="1"/>
  <c r="AC596" i="4"/>
  <c r="AB596" i="4"/>
  <c r="AA596" i="4"/>
  <c r="Z596" i="4"/>
  <c r="Y596" i="4"/>
  <c r="X596" i="4"/>
  <c r="W596" i="4"/>
  <c r="V596" i="4"/>
  <c r="T596" i="4"/>
  <c r="U596" i="4" s="1"/>
  <c r="R596" i="4"/>
  <c r="S596" i="4" s="1"/>
  <c r="Q596" i="4"/>
  <c r="P596" i="4"/>
  <c r="N596" i="4"/>
  <c r="O596" i="4" s="1"/>
  <c r="M596" i="4"/>
  <c r="K596" i="4"/>
  <c r="L596" i="4" s="1"/>
  <c r="J596" i="4"/>
  <c r="H596" i="4"/>
  <c r="I596" i="4" s="1"/>
  <c r="G596" i="4"/>
  <c r="F596" i="4"/>
  <c r="E596" i="4"/>
  <c r="D596" i="4"/>
  <c r="C596" i="4"/>
  <c r="B596" i="4"/>
  <c r="A596" i="4"/>
  <c r="AC595" i="4"/>
  <c r="AB595" i="4"/>
  <c r="AA595" i="4"/>
  <c r="Z595" i="4"/>
  <c r="Y595" i="4"/>
  <c r="X595" i="4"/>
  <c r="W595" i="4"/>
  <c r="V595" i="4"/>
  <c r="T595" i="4"/>
  <c r="U595" i="4" s="1"/>
  <c r="R595" i="4"/>
  <c r="S595" i="4" s="1"/>
  <c r="P595" i="4"/>
  <c r="Q595" i="4" s="1"/>
  <c r="N595" i="4"/>
  <c r="O595" i="4" s="1"/>
  <c r="M595" i="4"/>
  <c r="L595" i="4"/>
  <c r="K595" i="4"/>
  <c r="J595" i="4"/>
  <c r="H595" i="4"/>
  <c r="I595" i="4" s="1"/>
  <c r="G595" i="4"/>
  <c r="F595" i="4"/>
  <c r="E595" i="4"/>
  <c r="D595" i="4"/>
  <c r="C595" i="4"/>
  <c r="B595" i="4"/>
  <c r="A595" i="4"/>
  <c r="AC594" i="4"/>
  <c r="AB594" i="4"/>
  <c r="AA594" i="4"/>
  <c r="Z594" i="4"/>
  <c r="Y594" i="4"/>
  <c r="X594" i="4"/>
  <c r="W594" i="4"/>
  <c r="V594" i="4"/>
  <c r="T594" i="4"/>
  <c r="U594" i="4" s="1"/>
  <c r="R594" i="4"/>
  <c r="S594" i="4" s="1"/>
  <c r="P594" i="4"/>
  <c r="Q594" i="4" s="1"/>
  <c r="N594" i="4"/>
  <c r="O594" i="4" s="1"/>
  <c r="M594" i="4"/>
  <c r="K594" i="4"/>
  <c r="L594" i="4" s="1"/>
  <c r="J594" i="4"/>
  <c r="I594" i="4"/>
  <c r="H594" i="4"/>
  <c r="G594" i="4"/>
  <c r="F594" i="4"/>
  <c r="E594" i="4"/>
  <c r="D594" i="4"/>
  <c r="C594" i="4"/>
  <c r="B594" i="4"/>
  <c r="A594" i="4"/>
  <c r="AD594" i="4" s="1"/>
  <c r="AE594" i="4" s="1"/>
  <c r="AC593" i="4"/>
  <c r="AB593" i="4"/>
  <c r="AA593" i="4"/>
  <c r="Z593" i="4"/>
  <c r="Y593" i="4"/>
  <c r="X593" i="4"/>
  <c r="W593" i="4"/>
  <c r="V593" i="4"/>
  <c r="T593" i="4"/>
  <c r="U593" i="4" s="1"/>
  <c r="R593" i="4"/>
  <c r="S593" i="4" s="1"/>
  <c r="P593" i="4"/>
  <c r="Q593" i="4" s="1"/>
  <c r="N593" i="4"/>
  <c r="O593" i="4" s="1"/>
  <c r="M593" i="4"/>
  <c r="K593" i="4"/>
  <c r="L593" i="4" s="1"/>
  <c r="J593" i="4"/>
  <c r="H593" i="4"/>
  <c r="I593" i="4" s="1"/>
  <c r="G593" i="4"/>
  <c r="F593" i="4"/>
  <c r="E593" i="4"/>
  <c r="D593" i="4"/>
  <c r="C593" i="4"/>
  <c r="B593" i="4"/>
  <c r="A593" i="4"/>
  <c r="AD593" i="4" s="1"/>
  <c r="AE593" i="4" s="1"/>
  <c r="AC592" i="4"/>
  <c r="AB592" i="4"/>
  <c r="AA592" i="4"/>
  <c r="Z592" i="4"/>
  <c r="Y592" i="4"/>
  <c r="X592" i="4"/>
  <c r="W592" i="4"/>
  <c r="V592" i="4"/>
  <c r="T592" i="4"/>
  <c r="U592" i="4" s="1"/>
  <c r="R592" i="4"/>
  <c r="S592" i="4" s="1"/>
  <c r="Q592" i="4"/>
  <c r="P592" i="4"/>
  <c r="N592" i="4"/>
  <c r="O592" i="4" s="1"/>
  <c r="M592" i="4"/>
  <c r="K592" i="4"/>
  <c r="L592" i="4" s="1"/>
  <c r="J592" i="4"/>
  <c r="H592" i="4"/>
  <c r="I592" i="4" s="1"/>
  <c r="G592" i="4"/>
  <c r="F592" i="4"/>
  <c r="E592" i="4"/>
  <c r="D592" i="4"/>
  <c r="C592" i="4"/>
  <c r="B592" i="4"/>
  <c r="A592" i="4"/>
  <c r="AG592" i="4" s="1"/>
  <c r="AC591" i="4"/>
  <c r="AB591" i="4"/>
  <c r="AA591" i="4"/>
  <c r="Z591" i="4"/>
  <c r="Y591" i="4"/>
  <c r="X591" i="4"/>
  <c r="W591" i="4"/>
  <c r="V591" i="4"/>
  <c r="T591" i="4"/>
  <c r="U591" i="4" s="1"/>
  <c r="R591" i="4"/>
  <c r="S591" i="4" s="1"/>
  <c r="P591" i="4"/>
  <c r="Q591" i="4" s="1"/>
  <c r="N591" i="4"/>
  <c r="O591" i="4" s="1"/>
  <c r="M591" i="4"/>
  <c r="K591" i="4"/>
  <c r="L591" i="4" s="1"/>
  <c r="J591" i="4"/>
  <c r="H591" i="4"/>
  <c r="I591" i="4" s="1"/>
  <c r="G591" i="4"/>
  <c r="F591" i="4"/>
  <c r="E591" i="4"/>
  <c r="D591" i="4"/>
  <c r="C591" i="4"/>
  <c r="B591" i="4"/>
  <c r="A591" i="4"/>
  <c r="AG591" i="4" s="1"/>
  <c r="AC590" i="4"/>
  <c r="AB590" i="4"/>
  <c r="AA590" i="4"/>
  <c r="Z590" i="4"/>
  <c r="Y590" i="4"/>
  <c r="X590" i="4"/>
  <c r="W590" i="4"/>
  <c r="V590" i="4"/>
  <c r="T590" i="4"/>
  <c r="U590" i="4" s="1"/>
  <c r="R590" i="4"/>
  <c r="S590" i="4" s="1"/>
  <c r="P590" i="4"/>
  <c r="Q590" i="4" s="1"/>
  <c r="N590" i="4"/>
  <c r="O590" i="4" s="1"/>
  <c r="M590" i="4"/>
  <c r="L590" i="4"/>
  <c r="K590" i="4"/>
  <c r="J590" i="4"/>
  <c r="H590" i="4"/>
  <c r="I590" i="4" s="1"/>
  <c r="G590" i="4"/>
  <c r="F590" i="4"/>
  <c r="E590" i="4"/>
  <c r="D590" i="4"/>
  <c r="C590" i="4"/>
  <c r="B590" i="4"/>
  <c r="A590" i="4"/>
  <c r="AD590" i="4" s="1"/>
  <c r="AE590" i="4" s="1"/>
  <c r="AC589" i="4"/>
  <c r="AB589" i="4"/>
  <c r="AA589" i="4"/>
  <c r="Z589" i="4"/>
  <c r="Y589" i="4"/>
  <c r="X589" i="4"/>
  <c r="W589" i="4"/>
  <c r="V589" i="4"/>
  <c r="T589" i="4"/>
  <c r="U589" i="4" s="1"/>
  <c r="R589" i="4"/>
  <c r="S589" i="4" s="1"/>
  <c r="P589" i="4"/>
  <c r="Q589" i="4" s="1"/>
  <c r="N589" i="4"/>
  <c r="O589" i="4" s="1"/>
  <c r="M589" i="4"/>
  <c r="K589" i="4"/>
  <c r="L589" i="4" s="1"/>
  <c r="J589" i="4"/>
  <c r="H589" i="4"/>
  <c r="I589" i="4" s="1"/>
  <c r="G589" i="4"/>
  <c r="F589" i="4"/>
  <c r="E589" i="4"/>
  <c r="D589" i="4"/>
  <c r="C589" i="4"/>
  <c r="B589" i="4"/>
  <c r="A589" i="4"/>
  <c r="AD589" i="4" s="1"/>
  <c r="AE589" i="4" s="1"/>
  <c r="AC588" i="4"/>
  <c r="AB588" i="4"/>
  <c r="AA588" i="4"/>
  <c r="Z588" i="4"/>
  <c r="Y588" i="4"/>
  <c r="X588" i="4"/>
  <c r="W588" i="4"/>
  <c r="V588" i="4"/>
  <c r="T588" i="4"/>
  <c r="U588" i="4" s="1"/>
  <c r="R588" i="4"/>
  <c r="S588" i="4" s="1"/>
  <c r="P588" i="4"/>
  <c r="Q588" i="4" s="1"/>
  <c r="N588" i="4"/>
  <c r="O588" i="4" s="1"/>
  <c r="M588" i="4"/>
  <c r="K588" i="4"/>
  <c r="L588" i="4" s="1"/>
  <c r="J588" i="4"/>
  <c r="H588" i="4"/>
  <c r="I588" i="4" s="1"/>
  <c r="G588" i="4"/>
  <c r="F588" i="4"/>
  <c r="E588" i="4"/>
  <c r="D588" i="4"/>
  <c r="C588" i="4"/>
  <c r="B588" i="4"/>
  <c r="A588" i="4"/>
  <c r="AG588" i="4" s="1"/>
  <c r="AC587" i="4"/>
  <c r="AB587" i="4"/>
  <c r="AA587" i="4"/>
  <c r="Z587" i="4"/>
  <c r="Y587" i="4"/>
  <c r="X587" i="4"/>
  <c r="W587" i="4"/>
  <c r="V587" i="4"/>
  <c r="T587" i="4"/>
  <c r="U587" i="4" s="1"/>
  <c r="R587" i="4"/>
  <c r="S587" i="4" s="1"/>
  <c r="P587" i="4"/>
  <c r="Q587" i="4" s="1"/>
  <c r="N587" i="4"/>
  <c r="O587" i="4" s="1"/>
  <c r="M587" i="4"/>
  <c r="K587" i="4"/>
  <c r="L587" i="4" s="1"/>
  <c r="J587" i="4"/>
  <c r="H587" i="4"/>
  <c r="I587" i="4" s="1"/>
  <c r="G587" i="4"/>
  <c r="F587" i="4"/>
  <c r="E587" i="4"/>
  <c r="D587" i="4"/>
  <c r="C587" i="4"/>
  <c r="B587" i="4"/>
  <c r="A587" i="4"/>
  <c r="AG587" i="4" s="1"/>
  <c r="AC586" i="4"/>
  <c r="AB586" i="4"/>
  <c r="AA586" i="4"/>
  <c r="Z586" i="4"/>
  <c r="Y586" i="4"/>
  <c r="X586" i="4"/>
  <c r="W586" i="4"/>
  <c r="V586" i="4"/>
  <c r="T586" i="4"/>
  <c r="U586" i="4" s="1"/>
  <c r="S586" i="4"/>
  <c r="R586" i="4"/>
  <c r="P586" i="4"/>
  <c r="Q586" i="4" s="1"/>
  <c r="N586" i="4"/>
  <c r="O586" i="4" s="1"/>
  <c r="M586" i="4"/>
  <c r="K586" i="4"/>
  <c r="L586" i="4" s="1"/>
  <c r="J586" i="4"/>
  <c r="H586" i="4"/>
  <c r="I586" i="4" s="1"/>
  <c r="G586" i="4"/>
  <c r="F586" i="4"/>
  <c r="E586" i="4"/>
  <c r="D586" i="4"/>
  <c r="C586" i="4"/>
  <c r="B586" i="4"/>
  <c r="A586" i="4"/>
  <c r="AD586" i="4" s="1"/>
  <c r="AE586" i="4" s="1"/>
  <c r="AC585" i="4"/>
  <c r="AB585" i="4"/>
  <c r="AA585" i="4"/>
  <c r="Z585" i="4"/>
  <c r="Y585" i="4"/>
  <c r="X585" i="4"/>
  <c r="W585" i="4"/>
  <c r="V585" i="4"/>
  <c r="T585" i="4"/>
  <c r="U585" i="4" s="1"/>
  <c r="R585" i="4"/>
  <c r="S585" i="4" s="1"/>
  <c r="P585" i="4"/>
  <c r="Q585" i="4" s="1"/>
  <c r="N585" i="4"/>
  <c r="O585" i="4" s="1"/>
  <c r="M585" i="4"/>
  <c r="K585" i="4"/>
  <c r="L585" i="4" s="1"/>
  <c r="J585" i="4"/>
  <c r="H585" i="4"/>
  <c r="I585" i="4" s="1"/>
  <c r="G585" i="4"/>
  <c r="F585" i="4"/>
  <c r="E585" i="4"/>
  <c r="D585" i="4"/>
  <c r="C585" i="4"/>
  <c r="B585" i="4"/>
  <c r="A585" i="4"/>
  <c r="AF585" i="4" s="1"/>
  <c r="AC584" i="4"/>
  <c r="AB584" i="4"/>
  <c r="AA584" i="4"/>
  <c r="Z584" i="4"/>
  <c r="Y584" i="4"/>
  <c r="X584" i="4"/>
  <c r="W584" i="4"/>
  <c r="V584" i="4"/>
  <c r="T584" i="4"/>
  <c r="U584" i="4" s="1"/>
  <c r="R584" i="4"/>
  <c r="S584" i="4" s="1"/>
  <c r="P584" i="4"/>
  <c r="Q584" i="4" s="1"/>
  <c r="N584" i="4"/>
  <c r="O584" i="4" s="1"/>
  <c r="M584" i="4"/>
  <c r="K584" i="4"/>
  <c r="L584" i="4" s="1"/>
  <c r="J584" i="4"/>
  <c r="H584" i="4"/>
  <c r="I584" i="4" s="1"/>
  <c r="G584" i="4"/>
  <c r="F584" i="4"/>
  <c r="E584" i="4"/>
  <c r="D584" i="4"/>
  <c r="C584" i="4"/>
  <c r="B584" i="4"/>
  <c r="A584" i="4"/>
  <c r="AC583" i="4"/>
  <c r="AB583" i="4"/>
  <c r="AA583" i="4"/>
  <c r="Z583" i="4"/>
  <c r="Y583" i="4"/>
  <c r="X583" i="4"/>
  <c r="W583" i="4"/>
  <c r="V583" i="4"/>
  <c r="T583" i="4"/>
  <c r="U583" i="4" s="1"/>
  <c r="R583" i="4"/>
  <c r="S583" i="4" s="1"/>
  <c r="P583" i="4"/>
  <c r="Q583" i="4" s="1"/>
  <c r="N583" i="4"/>
  <c r="O583" i="4" s="1"/>
  <c r="M583" i="4"/>
  <c r="K583" i="4"/>
  <c r="L583" i="4" s="1"/>
  <c r="J583" i="4"/>
  <c r="H583" i="4"/>
  <c r="I583" i="4" s="1"/>
  <c r="G583" i="4"/>
  <c r="F583" i="4"/>
  <c r="E583" i="4"/>
  <c r="D583" i="4"/>
  <c r="C583" i="4"/>
  <c r="B583" i="4"/>
  <c r="A583" i="4"/>
  <c r="AD583" i="4" s="1"/>
  <c r="AE583" i="4" s="1"/>
  <c r="AC582" i="4"/>
  <c r="AB582" i="4"/>
  <c r="AA582" i="4"/>
  <c r="Z582" i="4"/>
  <c r="Y582" i="4"/>
  <c r="X582" i="4"/>
  <c r="W582" i="4"/>
  <c r="V582" i="4"/>
  <c r="T582" i="4"/>
  <c r="U582" i="4" s="1"/>
  <c r="R582" i="4"/>
  <c r="S582" i="4" s="1"/>
  <c r="P582" i="4"/>
  <c r="Q582" i="4" s="1"/>
  <c r="N582" i="4"/>
  <c r="O582" i="4" s="1"/>
  <c r="M582" i="4"/>
  <c r="K582" i="4"/>
  <c r="L582" i="4" s="1"/>
  <c r="J582" i="4"/>
  <c r="H582" i="4"/>
  <c r="I582" i="4" s="1"/>
  <c r="G582" i="4"/>
  <c r="F582" i="4"/>
  <c r="E582" i="4"/>
  <c r="D582" i="4"/>
  <c r="C582" i="4"/>
  <c r="B582" i="4"/>
  <c r="A582" i="4"/>
  <c r="AC581" i="4"/>
  <c r="AB581" i="4"/>
  <c r="AA581" i="4"/>
  <c r="Z581" i="4"/>
  <c r="Y581" i="4"/>
  <c r="X581" i="4"/>
  <c r="W581" i="4"/>
  <c r="V581" i="4"/>
  <c r="T581" i="4"/>
  <c r="U581" i="4" s="1"/>
  <c r="R581" i="4"/>
  <c r="S581" i="4" s="1"/>
  <c r="P581" i="4"/>
  <c r="Q581" i="4" s="1"/>
  <c r="N581" i="4"/>
  <c r="O581" i="4" s="1"/>
  <c r="M581" i="4"/>
  <c r="K581" i="4"/>
  <c r="L581" i="4" s="1"/>
  <c r="J581" i="4"/>
  <c r="H581" i="4"/>
  <c r="I581" i="4" s="1"/>
  <c r="G581" i="4"/>
  <c r="F581" i="4"/>
  <c r="E581" i="4"/>
  <c r="D581" i="4"/>
  <c r="C581" i="4"/>
  <c r="B581" i="4"/>
  <c r="A581" i="4"/>
  <c r="AC580" i="4"/>
  <c r="AB580" i="4"/>
  <c r="AA580" i="4"/>
  <c r="Z580" i="4"/>
  <c r="Y580" i="4"/>
  <c r="X580" i="4"/>
  <c r="W580" i="4"/>
  <c r="V580" i="4"/>
  <c r="T580" i="4"/>
  <c r="U580" i="4" s="1"/>
  <c r="R580" i="4"/>
  <c r="S580" i="4" s="1"/>
  <c r="P580" i="4"/>
  <c r="Q580" i="4" s="1"/>
  <c r="N580" i="4"/>
  <c r="O580" i="4" s="1"/>
  <c r="M580" i="4"/>
  <c r="K580" i="4"/>
  <c r="L580" i="4" s="1"/>
  <c r="J580" i="4"/>
  <c r="H580" i="4"/>
  <c r="I580" i="4" s="1"/>
  <c r="G580" i="4"/>
  <c r="F580" i="4"/>
  <c r="E580" i="4"/>
  <c r="D580" i="4"/>
  <c r="C580" i="4"/>
  <c r="B580" i="4"/>
  <c r="A580" i="4"/>
  <c r="AF580" i="4" s="1"/>
  <c r="AC579" i="4"/>
  <c r="AB579" i="4"/>
  <c r="AA579" i="4"/>
  <c r="Z579" i="4"/>
  <c r="Y579" i="4"/>
  <c r="X579" i="4"/>
  <c r="W579" i="4"/>
  <c r="V579" i="4"/>
  <c r="T579" i="4"/>
  <c r="U579" i="4" s="1"/>
  <c r="R579" i="4"/>
  <c r="S579" i="4" s="1"/>
  <c r="P579" i="4"/>
  <c r="Q579" i="4" s="1"/>
  <c r="N579" i="4"/>
  <c r="O579" i="4" s="1"/>
  <c r="M579" i="4"/>
  <c r="L579" i="4"/>
  <c r="K579" i="4"/>
  <c r="J579" i="4"/>
  <c r="H579" i="4"/>
  <c r="I579" i="4" s="1"/>
  <c r="G579" i="4"/>
  <c r="F579" i="4"/>
  <c r="E579" i="4"/>
  <c r="D579" i="4"/>
  <c r="C579" i="4"/>
  <c r="B579" i="4"/>
  <c r="A579" i="4"/>
  <c r="AG579" i="4" s="1"/>
  <c r="AC578" i="4"/>
  <c r="AB578" i="4"/>
  <c r="AA578" i="4"/>
  <c r="Z578" i="4"/>
  <c r="Y578" i="4"/>
  <c r="X578" i="4"/>
  <c r="W578" i="4"/>
  <c r="V578" i="4"/>
  <c r="T578" i="4"/>
  <c r="U578" i="4" s="1"/>
  <c r="R578" i="4"/>
  <c r="S578" i="4" s="1"/>
  <c r="P578" i="4"/>
  <c r="Q578" i="4" s="1"/>
  <c r="O578" i="4"/>
  <c r="N578" i="4"/>
  <c r="M578" i="4"/>
  <c r="K578" i="4"/>
  <c r="L578" i="4" s="1"/>
  <c r="J578" i="4"/>
  <c r="H578" i="4"/>
  <c r="I578" i="4" s="1"/>
  <c r="G578" i="4"/>
  <c r="F578" i="4"/>
  <c r="E578" i="4"/>
  <c r="D578" i="4"/>
  <c r="C578" i="4"/>
  <c r="B578" i="4"/>
  <c r="A578" i="4"/>
  <c r="AG578" i="4" s="1"/>
  <c r="AC577" i="4"/>
  <c r="AB577" i="4"/>
  <c r="AA577" i="4"/>
  <c r="Z577" i="4"/>
  <c r="Y577" i="4"/>
  <c r="X577" i="4"/>
  <c r="W577" i="4"/>
  <c r="V577" i="4"/>
  <c r="T577" i="4"/>
  <c r="U577" i="4" s="1"/>
  <c r="R577" i="4"/>
  <c r="S577" i="4" s="1"/>
  <c r="P577" i="4"/>
  <c r="Q577" i="4" s="1"/>
  <c r="N577" i="4"/>
  <c r="O577" i="4" s="1"/>
  <c r="M577" i="4"/>
  <c r="K577" i="4"/>
  <c r="L577" i="4" s="1"/>
  <c r="J577" i="4"/>
  <c r="H577" i="4"/>
  <c r="I577" i="4" s="1"/>
  <c r="G577" i="4"/>
  <c r="F577" i="4"/>
  <c r="E577" i="4"/>
  <c r="D577" i="4"/>
  <c r="C577" i="4"/>
  <c r="B577" i="4"/>
  <c r="A577" i="4"/>
  <c r="AG577" i="4" s="1"/>
  <c r="AC576" i="4"/>
  <c r="AB576" i="4"/>
  <c r="AA576" i="4"/>
  <c r="Z576" i="4"/>
  <c r="Y576" i="4"/>
  <c r="X576" i="4"/>
  <c r="W576" i="4"/>
  <c r="V576" i="4"/>
  <c r="T576" i="4"/>
  <c r="U576" i="4" s="1"/>
  <c r="R576" i="4"/>
  <c r="S576" i="4" s="1"/>
  <c r="P576" i="4"/>
  <c r="Q576" i="4" s="1"/>
  <c r="N576" i="4"/>
  <c r="O576" i="4" s="1"/>
  <c r="M576" i="4"/>
  <c r="K576" i="4"/>
  <c r="L576" i="4" s="1"/>
  <c r="J576" i="4"/>
  <c r="H576" i="4"/>
  <c r="I576" i="4" s="1"/>
  <c r="G576" i="4"/>
  <c r="F576" i="4"/>
  <c r="E576" i="4"/>
  <c r="D576" i="4"/>
  <c r="C576" i="4"/>
  <c r="B576" i="4"/>
  <c r="A576" i="4"/>
  <c r="AG576" i="4" s="1"/>
  <c r="AC575" i="4"/>
  <c r="AB575" i="4"/>
  <c r="AA575" i="4"/>
  <c r="Z575" i="4"/>
  <c r="Y575" i="4"/>
  <c r="X575" i="4"/>
  <c r="W575" i="4"/>
  <c r="V575" i="4"/>
  <c r="T575" i="4"/>
  <c r="U575" i="4" s="1"/>
  <c r="R575" i="4"/>
  <c r="S575" i="4" s="1"/>
  <c r="P575" i="4"/>
  <c r="Q575" i="4" s="1"/>
  <c r="N575" i="4"/>
  <c r="O575" i="4" s="1"/>
  <c r="M575" i="4"/>
  <c r="K575" i="4"/>
  <c r="L575" i="4" s="1"/>
  <c r="J575" i="4"/>
  <c r="H575" i="4"/>
  <c r="I575" i="4" s="1"/>
  <c r="G575" i="4"/>
  <c r="F575" i="4"/>
  <c r="E575" i="4"/>
  <c r="D575" i="4"/>
  <c r="C575" i="4"/>
  <c r="B575" i="4"/>
  <c r="A575" i="4"/>
  <c r="AF575" i="4" s="1"/>
  <c r="AC574" i="4"/>
  <c r="AB574" i="4"/>
  <c r="AA574" i="4"/>
  <c r="Z574" i="4"/>
  <c r="Y574" i="4"/>
  <c r="X574" i="4"/>
  <c r="W574" i="4"/>
  <c r="V574" i="4"/>
  <c r="T574" i="4"/>
  <c r="U574" i="4" s="1"/>
  <c r="R574" i="4"/>
  <c r="S574" i="4" s="1"/>
  <c r="P574" i="4"/>
  <c r="Q574" i="4" s="1"/>
  <c r="O574" i="4"/>
  <c r="N574" i="4"/>
  <c r="M574" i="4"/>
  <c r="K574" i="4"/>
  <c r="L574" i="4" s="1"/>
  <c r="J574" i="4"/>
  <c r="H574" i="4"/>
  <c r="I574" i="4" s="1"/>
  <c r="G574" i="4"/>
  <c r="F574" i="4"/>
  <c r="E574" i="4"/>
  <c r="D574" i="4"/>
  <c r="C574" i="4"/>
  <c r="B574" i="4"/>
  <c r="A574" i="4"/>
  <c r="AG574" i="4" s="1"/>
  <c r="AC573" i="4"/>
  <c r="AB573" i="4"/>
  <c r="AA573" i="4"/>
  <c r="Z573" i="4"/>
  <c r="Y573" i="4"/>
  <c r="X573" i="4"/>
  <c r="W573" i="4"/>
  <c r="V573" i="4"/>
  <c r="T573" i="4"/>
  <c r="U573" i="4" s="1"/>
  <c r="R573" i="4"/>
  <c r="S573" i="4" s="1"/>
  <c r="P573" i="4"/>
  <c r="Q573" i="4" s="1"/>
  <c r="N573" i="4"/>
  <c r="O573" i="4" s="1"/>
  <c r="M573" i="4"/>
  <c r="K573" i="4"/>
  <c r="L573" i="4" s="1"/>
  <c r="J573" i="4"/>
  <c r="H573" i="4"/>
  <c r="I573" i="4" s="1"/>
  <c r="G573" i="4"/>
  <c r="F573" i="4"/>
  <c r="E573" i="4"/>
  <c r="D573" i="4"/>
  <c r="C573" i="4"/>
  <c r="B573" i="4"/>
  <c r="A573" i="4"/>
  <c r="AG573" i="4" s="1"/>
  <c r="AC572" i="4"/>
  <c r="AB572" i="4"/>
  <c r="AA572" i="4"/>
  <c r="Z572" i="4"/>
  <c r="Y572" i="4"/>
  <c r="X572" i="4"/>
  <c r="W572" i="4"/>
  <c r="V572" i="4"/>
  <c r="T572" i="4"/>
  <c r="U572" i="4" s="1"/>
  <c r="R572" i="4"/>
  <c r="S572" i="4" s="1"/>
  <c r="P572" i="4"/>
  <c r="Q572" i="4" s="1"/>
  <c r="N572" i="4"/>
  <c r="O572" i="4" s="1"/>
  <c r="M572" i="4"/>
  <c r="K572" i="4"/>
  <c r="L572" i="4" s="1"/>
  <c r="J572" i="4"/>
  <c r="H572" i="4"/>
  <c r="I572" i="4" s="1"/>
  <c r="G572" i="4"/>
  <c r="F572" i="4"/>
  <c r="E572" i="4"/>
  <c r="D572" i="4"/>
  <c r="C572" i="4"/>
  <c r="B572" i="4"/>
  <c r="A572" i="4"/>
  <c r="AG572" i="4" s="1"/>
  <c r="AC571" i="4"/>
  <c r="AB571" i="4"/>
  <c r="AA571" i="4"/>
  <c r="Z571" i="4"/>
  <c r="Y571" i="4"/>
  <c r="X571" i="4"/>
  <c r="W571" i="4"/>
  <c r="V571" i="4"/>
  <c r="T571" i="4"/>
  <c r="U571" i="4" s="1"/>
  <c r="R571" i="4"/>
  <c r="S571" i="4" s="1"/>
  <c r="P571" i="4"/>
  <c r="Q571" i="4" s="1"/>
  <c r="N571" i="4"/>
  <c r="O571" i="4" s="1"/>
  <c r="M571" i="4"/>
  <c r="K571" i="4"/>
  <c r="L571" i="4" s="1"/>
  <c r="J571" i="4"/>
  <c r="H571" i="4"/>
  <c r="I571" i="4" s="1"/>
  <c r="G571" i="4"/>
  <c r="F571" i="4"/>
  <c r="E571" i="4"/>
  <c r="D571" i="4"/>
  <c r="C571" i="4"/>
  <c r="B571" i="4"/>
  <c r="A571" i="4"/>
  <c r="AG571" i="4" s="1"/>
  <c r="AC570" i="4"/>
  <c r="AB570" i="4"/>
  <c r="AA570" i="4"/>
  <c r="Z570" i="4"/>
  <c r="Y570" i="4"/>
  <c r="X570" i="4"/>
  <c r="W570" i="4"/>
  <c r="V570" i="4"/>
  <c r="T570" i="4"/>
  <c r="U570" i="4" s="1"/>
  <c r="R570" i="4"/>
  <c r="S570" i="4" s="1"/>
  <c r="P570" i="4"/>
  <c r="Q570" i="4" s="1"/>
  <c r="N570" i="4"/>
  <c r="O570" i="4" s="1"/>
  <c r="M570" i="4"/>
  <c r="K570" i="4"/>
  <c r="L570" i="4" s="1"/>
  <c r="J570" i="4"/>
  <c r="H570" i="4"/>
  <c r="I570" i="4" s="1"/>
  <c r="G570" i="4"/>
  <c r="F570" i="4"/>
  <c r="E570" i="4"/>
  <c r="D570" i="4"/>
  <c r="C570" i="4"/>
  <c r="B570" i="4"/>
  <c r="A570" i="4"/>
  <c r="AG570" i="4" s="1"/>
  <c r="AC569" i="4"/>
  <c r="AB569" i="4"/>
  <c r="AA569" i="4"/>
  <c r="Z569" i="4"/>
  <c r="Y569" i="4"/>
  <c r="X569" i="4"/>
  <c r="W569" i="4"/>
  <c r="V569" i="4"/>
  <c r="T569" i="4"/>
  <c r="U569" i="4" s="1"/>
  <c r="R569" i="4"/>
  <c r="S569" i="4" s="1"/>
  <c r="P569" i="4"/>
  <c r="Q569" i="4" s="1"/>
  <c r="N569" i="4"/>
  <c r="O569" i="4" s="1"/>
  <c r="M569" i="4"/>
  <c r="K569" i="4"/>
  <c r="L569" i="4" s="1"/>
  <c r="J569" i="4"/>
  <c r="H569" i="4"/>
  <c r="I569" i="4" s="1"/>
  <c r="G569" i="4"/>
  <c r="F569" i="4"/>
  <c r="E569" i="4"/>
  <c r="D569" i="4"/>
  <c r="C569" i="4"/>
  <c r="B569" i="4"/>
  <c r="A569" i="4"/>
  <c r="AG569" i="4" s="1"/>
  <c r="AC568" i="4"/>
  <c r="AB568" i="4"/>
  <c r="AA568" i="4"/>
  <c r="Z568" i="4"/>
  <c r="Y568" i="4"/>
  <c r="X568" i="4"/>
  <c r="W568" i="4"/>
  <c r="V568" i="4"/>
  <c r="T568" i="4"/>
  <c r="U568" i="4" s="1"/>
  <c r="R568" i="4"/>
  <c r="S568" i="4" s="1"/>
  <c r="Q568" i="4"/>
  <c r="P568" i="4"/>
  <c r="N568" i="4"/>
  <c r="O568" i="4" s="1"/>
  <c r="M568" i="4"/>
  <c r="K568" i="4"/>
  <c r="L568" i="4" s="1"/>
  <c r="J568" i="4"/>
  <c r="H568" i="4"/>
  <c r="I568" i="4" s="1"/>
  <c r="G568" i="4"/>
  <c r="F568" i="4"/>
  <c r="E568" i="4"/>
  <c r="D568" i="4"/>
  <c r="C568" i="4"/>
  <c r="B568" i="4"/>
  <c r="A568" i="4"/>
  <c r="AG568" i="4" s="1"/>
  <c r="AC567" i="4"/>
  <c r="AB567" i="4"/>
  <c r="AA567" i="4"/>
  <c r="Z567" i="4"/>
  <c r="Y567" i="4"/>
  <c r="X567" i="4"/>
  <c r="W567" i="4"/>
  <c r="V567" i="4"/>
  <c r="T567" i="4"/>
  <c r="U567" i="4" s="1"/>
  <c r="R567" i="4"/>
  <c r="S567" i="4" s="1"/>
  <c r="P567" i="4"/>
  <c r="Q567" i="4" s="1"/>
  <c r="N567" i="4"/>
  <c r="O567" i="4" s="1"/>
  <c r="M567" i="4"/>
  <c r="K567" i="4"/>
  <c r="L567" i="4" s="1"/>
  <c r="J567" i="4"/>
  <c r="H567" i="4"/>
  <c r="I567" i="4" s="1"/>
  <c r="G567" i="4"/>
  <c r="F567" i="4"/>
  <c r="E567" i="4"/>
  <c r="D567" i="4"/>
  <c r="C567" i="4"/>
  <c r="B567" i="4"/>
  <c r="A567" i="4"/>
  <c r="AF567" i="4" s="1"/>
  <c r="AC566" i="4"/>
  <c r="AB566" i="4"/>
  <c r="AA566" i="4"/>
  <c r="Z566" i="4"/>
  <c r="Y566" i="4"/>
  <c r="X566" i="4"/>
  <c r="W566" i="4"/>
  <c r="V566" i="4"/>
  <c r="T566" i="4"/>
  <c r="U566" i="4" s="1"/>
  <c r="R566" i="4"/>
  <c r="S566" i="4" s="1"/>
  <c r="P566" i="4"/>
  <c r="Q566" i="4" s="1"/>
  <c r="N566" i="4"/>
  <c r="O566" i="4" s="1"/>
  <c r="M566" i="4"/>
  <c r="K566" i="4"/>
  <c r="L566" i="4" s="1"/>
  <c r="J566" i="4"/>
  <c r="H566" i="4"/>
  <c r="I566" i="4" s="1"/>
  <c r="G566" i="4"/>
  <c r="F566" i="4"/>
  <c r="E566" i="4"/>
  <c r="D566" i="4"/>
  <c r="C566" i="4"/>
  <c r="B566" i="4"/>
  <c r="A566" i="4"/>
  <c r="AG566" i="4" s="1"/>
  <c r="AC565" i="4"/>
  <c r="AB565" i="4"/>
  <c r="AA565" i="4"/>
  <c r="Z565" i="4"/>
  <c r="Y565" i="4"/>
  <c r="X565" i="4"/>
  <c r="W565" i="4"/>
  <c r="V565" i="4"/>
  <c r="T565" i="4"/>
  <c r="U565" i="4" s="1"/>
  <c r="R565" i="4"/>
  <c r="S565" i="4" s="1"/>
  <c r="P565" i="4"/>
  <c r="Q565" i="4" s="1"/>
  <c r="N565" i="4"/>
  <c r="O565" i="4" s="1"/>
  <c r="M565" i="4"/>
  <c r="K565" i="4"/>
  <c r="L565" i="4" s="1"/>
  <c r="J565" i="4"/>
  <c r="H565" i="4"/>
  <c r="I565" i="4" s="1"/>
  <c r="G565" i="4"/>
  <c r="F565" i="4"/>
  <c r="E565" i="4"/>
  <c r="D565" i="4"/>
  <c r="C565" i="4"/>
  <c r="B565" i="4"/>
  <c r="A565" i="4"/>
  <c r="AC564" i="4"/>
  <c r="AB564" i="4"/>
  <c r="AA564" i="4"/>
  <c r="Z564" i="4"/>
  <c r="Y564" i="4"/>
  <c r="X564" i="4"/>
  <c r="W564" i="4"/>
  <c r="V564" i="4"/>
  <c r="T564" i="4"/>
  <c r="U564" i="4" s="1"/>
  <c r="R564" i="4"/>
  <c r="S564" i="4" s="1"/>
  <c r="P564" i="4"/>
  <c r="Q564" i="4" s="1"/>
  <c r="N564" i="4"/>
  <c r="O564" i="4" s="1"/>
  <c r="M564" i="4"/>
  <c r="K564" i="4"/>
  <c r="L564" i="4" s="1"/>
  <c r="J564" i="4"/>
  <c r="H564" i="4"/>
  <c r="I564" i="4" s="1"/>
  <c r="G564" i="4"/>
  <c r="F564" i="4"/>
  <c r="E564" i="4"/>
  <c r="D564" i="4"/>
  <c r="C564" i="4"/>
  <c r="B564" i="4"/>
  <c r="A564" i="4"/>
  <c r="AG564" i="4" s="1"/>
  <c r="AC563" i="4"/>
  <c r="AB563" i="4"/>
  <c r="AA563" i="4"/>
  <c r="Z563" i="4"/>
  <c r="Y563" i="4"/>
  <c r="X563" i="4"/>
  <c r="W563" i="4"/>
  <c r="V563" i="4"/>
  <c r="T563" i="4"/>
  <c r="U563" i="4" s="1"/>
  <c r="R563" i="4"/>
  <c r="S563" i="4" s="1"/>
  <c r="P563" i="4"/>
  <c r="Q563" i="4" s="1"/>
  <c r="N563" i="4"/>
  <c r="O563" i="4" s="1"/>
  <c r="M563" i="4"/>
  <c r="K563" i="4"/>
  <c r="L563" i="4" s="1"/>
  <c r="J563" i="4"/>
  <c r="H563" i="4"/>
  <c r="I563" i="4" s="1"/>
  <c r="G563" i="4"/>
  <c r="F563" i="4"/>
  <c r="E563" i="4"/>
  <c r="D563" i="4"/>
  <c r="C563" i="4"/>
  <c r="B563" i="4"/>
  <c r="A563" i="4"/>
  <c r="AC562" i="4"/>
  <c r="AB562" i="4"/>
  <c r="AA562" i="4"/>
  <c r="Z562" i="4"/>
  <c r="Y562" i="4"/>
  <c r="X562" i="4"/>
  <c r="W562" i="4"/>
  <c r="V562" i="4"/>
  <c r="T562" i="4"/>
  <c r="U562" i="4" s="1"/>
  <c r="R562" i="4"/>
  <c r="S562" i="4" s="1"/>
  <c r="P562" i="4"/>
  <c r="Q562" i="4" s="1"/>
  <c r="N562" i="4"/>
  <c r="O562" i="4" s="1"/>
  <c r="M562" i="4"/>
  <c r="K562" i="4"/>
  <c r="L562" i="4" s="1"/>
  <c r="J562" i="4"/>
  <c r="H562" i="4"/>
  <c r="I562" i="4" s="1"/>
  <c r="G562" i="4"/>
  <c r="F562" i="4"/>
  <c r="E562" i="4"/>
  <c r="D562" i="4"/>
  <c r="C562" i="4"/>
  <c r="B562" i="4"/>
  <c r="A562" i="4"/>
  <c r="AG562" i="4" s="1"/>
  <c r="AC561" i="4"/>
  <c r="AB561" i="4"/>
  <c r="AA561" i="4"/>
  <c r="Z561" i="4"/>
  <c r="Y561" i="4"/>
  <c r="X561" i="4"/>
  <c r="W561" i="4"/>
  <c r="V561" i="4"/>
  <c r="T561" i="4"/>
  <c r="U561" i="4" s="1"/>
  <c r="R561" i="4"/>
  <c r="S561" i="4" s="1"/>
  <c r="P561" i="4"/>
  <c r="Q561" i="4" s="1"/>
  <c r="N561" i="4"/>
  <c r="O561" i="4" s="1"/>
  <c r="M561" i="4"/>
  <c r="K561" i="4"/>
  <c r="L561" i="4" s="1"/>
  <c r="J561" i="4"/>
  <c r="H561" i="4"/>
  <c r="I561" i="4" s="1"/>
  <c r="G561" i="4"/>
  <c r="F561" i="4"/>
  <c r="E561" i="4"/>
  <c r="D561" i="4"/>
  <c r="C561" i="4"/>
  <c r="B561" i="4"/>
  <c r="A561" i="4"/>
  <c r="AG561" i="4" s="1"/>
  <c r="AC560" i="4"/>
  <c r="AB560" i="4"/>
  <c r="AA560" i="4"/>
  <c r="Z560" i="4"/>
  <c r="Y560" i="4"/>
  <c r="X560" i="4"/>
  <c r="W560" i="4"/>
  <c r="V560" i="4"/>
  <c r="T560" i="4"/>
  <c r="U560" i="4" s="1"/>
  <c r="R560" i="4"/>
  <c r="S560" i="4" s="1"/>
  <c r="P560" i="4"/>
  <c r="Q560" i="4" s="1"/>
  <c r="N560" i="4"/>
  <c r="O560" i="4" s="1"/>
  <c r="M560" i="4"/>
  <c r="K560" i="4"/>
  <c r="L560" i="4" s="1"/>
  <c r="J560" i="4"/>
  <c r="H560" i="4"/>
  <c r="I560" i="4" s="1"/>
  <c r="G560" i="4"/>
  <c r="F560" i="4"/>
  <c r="E560" i="4"/>
  <c r="D560" i="4"/>
  <c r="C560" i="4"/>
  <c r="B560" i="4"/>
  <c r="A560" i="4"/>
  <c r="AG560" i="4" s="1"/>
  <c r="AC559" i="4"/>
  <c r="AB559" i="4"/>
  <c r="AA559" i="4"/>
  <c r="Z559" i="4"/>
  <c r="Y559" i="4"/>
  <c r="X559" i="4"/>
  <c r="W559" i="4"/>
  <c r="V559" i="4"/>
  <c r="T559" i="4"/>
  <c r="U559" i="4" s="1"/>
  <c r="R559" i="4"/>
  <c r="S559" i="4" s="1"/>
  <c r="P559" i="4"/>
  <c r="Q559" i="4" s="1"/>
  <c r="N559" i="4"/>
  <c r="O559" i="4" s="1"/>
  <c r="M559" i="4"/>
  <c r="K559" i="4"/>
  <c r="L559" i="4" s="1"/>
  <c r="J559" i="4"/>
  <c r="H559" i="4"/>
  <c r="I559" i="4" s="1"/>
  <c r="G559" i="4"/>
  <c r="F559" i="4"/>
  <c r="E559" i="4"/>
  <c r="D559" i="4"/>
  <c r="C559" i="4"/>
  <c r="B559" i="4"/>
  <c r="A559" i="4"/>
  <c r="AC558" i="4"/>
  <c r="AB558" i="4"/>
  <c r="AA558" i="4"/>
  <c r="Z558" i="4"/>
  <c r="Y558" i="4"/>
  <c r="X558" i="4"/>
  <c r="W558" i="4"/>
  <c r="V558" i="4"/>
  <c r="T558" i="4"/>
  <c r="U558" i="4" s="1"/>
  <c r="S558" i="4"/>
  <c r="R558" i="4"/>
  <c r="Q558" i="4"/>
  <c r="P558" i="4"/>
  <c r="N558" i="4"/>
  <c r="O558" i="4" s="1"/>
  <c r="M558" i="4"/>
  <c r="K558" i="4"/>
  <c r="L558" i="4" s="1"/>
  <c r="J558" i="4"/>
  <c r="I558" i="4"/>
  <c r="H558" i="4"/>
  <c r="G558" i="4"/>
  <c r="F558" i="4"/>
  <c r="E558" i="4"/>
  <c r="D558" i="4"/>
  <c r="C558" i="4"/>
  <c r="B558" i="4"/>
  <c r="A558" i="4"/>
  <c r="AG558" i="4" s="1"/>
  <c r="AC557" i="4"/>
  <c r="AB557" i="4"/>
  <c r="AA557" i="4"/>
  <c r="Z557" i="4"/>
  <c r="Y557" i="4"/>
  <c r="X557" i="4"/>
  <c r="W557" i="4"/>
  <c r="V557" i="4"/>
  <c r="T557" i="4"/>
  <c r="U557" i="4" s="1"/>
  <c r="R557" i="4"/>
  <c r="S557" i="4" s="1"/>
  <c r="P557" i="4"/>
  <c r="Q557" i="4" s="1"/>
  <c r="N557" i="4"/>
  <c r="O557" i="4" s="1"/>
  <c r="M557" i="4"/>
  <c r="K557" i="4"/>
  <c r="L557" i="4" s="1"/>
  <c r="J557" i="4"/>
  <c r="H557" i="4"/>
  <c r="I557" i="4" s="1"/>
  <c r="G557" i="4"/>
  <c r="F557" i="4"/>
  <c r="E557" i="4"/>
  <c r="D557" i="4"/>
  <c r="C557" i="4"/>
  <c r="B557" i="4"/>
  <c r="A557" i="4"/>
  <c r="AG557" i="4" s="1"/>
  <c r="AC556" i="4"/>
  <c r="AB556" i="4"/>
  <c r="AA556" i="4"/>
  <c r="Z556" i="4"/>
  <c r="Y556" i="4"/>
  <c r="X556" i="4"/>
  <c r="W556" i="4"/>
  <c r="V556" i="4"/>
  <c r="T556" i="4"/>
  <c r="U556" i="4" s="1"/>
  <c r="R556" i="4"/>
  <c r="S556" i="4" s="1"/>
  <c r="Q556" i="4"/>
  <c r="P556" i="4"/>
  <c r="N556" i="4"/>
  <c r="O556" i="4" s="1"/>
  <c r="M556" i="4"/>
  <c r="K556" i="4"/>
  <c r="L556" i="4" s="1"/>
  <c r="J556" i="4"/>
  <c r="H556" i="4"/>
  <c r="I556" i="4" s="1"/>
  <c r="G556" i="4"/>
  <c r="F556" i="4"/>
  <c r="E556" i="4"/>
  <c r="D556" i="4"/>
  <c r="C556" i="4"/>
  <c r="B556" i="4"/>
  <c r="A556" i="4"/>
  <c r="AC555" i="4"/>
  <c r="AB555" i="4"/>
  <c r="AA555" i="4"/>
  <c r="Z555" i="4"/>
  <c r="Y555" i="4"/>
  <c r="X555" i="4"/>
  <c r="W555" i="4"/>
  <c r="V555" i="4"/>
  <c r="T555" i="4"/>
  <c r="U555" i="4" s="1"/>
  <c r="R555" i="4"/>
  <c r="S555" i="4" s="1"/>
  <c r="P555" i="4"/>
  <c r="Q555" i="4" s="1"/>
  <c r="N555" i="4"/>
  <c r="O555" i="4" s="1"/>
  <c r="M555" i="4"/>
  <c r="K555" i="4"/>
  <c r="L555" i="4" s="1"/>
  <c r="J555" i="4"/>
  <c r="H555" i="4"/>
  <c r="I555" i="4" s="1"/>
  <c r="G555" i="4"/>
  <c r="F555" i="4"/>
  <c r="E555" i="4"/>
  <c r="D555" i="4"/>
  <c r="C555" i="4"/>
  <c r="B555" i="4"/>
  <c r="A555" i="4"/>
  <c r="AG555" i="4" s="1"/>
  <c r="AC554" i="4"/>
  <c r="AB554" i="4"/>
  <c r="AA554" i="4"/>
  <c r="Z554" i="4"/>
  <c r="Y554" i="4"/>
  <c r="X554" i="4"/>
  <c r="W554" i="4"/>
  <c r="V554" i="4"/>
  <c r="T554" i="4"/>
  <c r="U554" i="4" s="1"/>
  <c r="R554" i="4"/>
  <c r="S554" i="4" s="1"/>
  <c r="P554" i="4"/>
  <c r="Q554" i="4" s="1"/>
  <c r="N554" i="4"/>
  <c r="O554" i="4" s="1"/>
  <c r="M554" i="4"/>
  <c r="K554" i="4"/>
  <c r="L554" i="4" s="1"/>
  <c r="J554" i="4"/>
  <c r="H554" i="4"/>
  <c r="I554" i="4" s="1"/>
  <c r="G554" i="4"/>
  <c r="F554" i="4"/>
  <c r="E554" i="4"/>
  <c r="D554" i="4"/>
  <c r="C554" i="4"/>
  <c r="B554" i="4"/>
  <c r="A554" i="4"/>
  <c r="AG554" i="4" s="1"/>
  <c r="AC553" i="4"/>
  <c r="AB553" i="4"/>
  <c r="AA553" i="4"/>
  <c r="Z553" i="4"/>
  <c r="Y553" i="4"/>
  <c r="X553" i="4"/>
  <c r="W553" i="4"/>
  <c r="V553" i="4"/>
  <c r="T553" i="4"/>
  <c r="U553" i="4" s="1"/>
  <c r="R553" i="4"/>
  <c r="S553" i="4" s="1"/>
  <c r="P553" i="4"/>
  <c r="Q553" i="4" s="1"/>
  <c r="N553" i="4"/>
  <c r="O553" i="4" s="1"/>
  <c r="M553" i="4"/>
  <c r="K553" i="4"/>
  <c r="L553" i="4" s="1"/>
  <c r="J553" i="4"/>
  <c r="H553" i="4"/>
  <c r="I553" i="4" s="1"/>
  <c r="G553" i="4"/>
  <c r="F553" i="4"/>
  <c r="E553" i="4"/>
  <c r="D553" i="4"/>
  <c r="C553" i="4"/>
  <c r="B553" i="4"/>
  <c r="A553" i="4"/>
  <c r="AG553" i="4" s="1"/>
  <c r="AC552" i="4"/>
  <c r="AB552" i="4"/>
  <c r="AA552" i="4"/>
  <c r="Z552" i="4"/>
  <c r="Y552" i="4"/>
  <c r="X552" i="4"/>
  <c r="W552" i="4"/>
  <c r="V552" i="4"/>
  <c r="T552" i="4"/>
  <c r="U552" i="4" s="1"/>
  <c r="R552" i="4"/>
  <c r="S552" i="4" s="1"/>
  <c r="P552" i="4"/>
  <c r="Q552" i="4" s="1"/>
  <c r="N552" i="4"/>
  <c r="O552" i="4" s="1"/>
  <c r="M552" i="4"/>
  <c r="K552" i="4"/>
  <c r="L552" i="4" s="1"/>
  <c r="J552" i="4"/>
  <c r="H552" i="4"/>
  <c r="I552" i="4" s="1"/>
  <c r="G552" i="4"/>
  <c r="F552" i="4"/>
  <c r="E552" i="4"/>
  <c r="D552" i="4"/>
  <c r="C552" i="4"/>
  <c r="B552" i="4"/>
  <c r="A552" i="4"/>
  <c r="AG552" i="4" s="1"/>
  <c r="AC551" i="4"/>
  <c r="AB551" i="4"/>
  <c r="AA551" i="4"/>
  <c r="Z551" i="4"/>
  <c r="Y551" i="4"/>
  <c r="X551" i="4"/>
  <c r="W551" i="4"/>
  <c r="V551" i="4"/>
  <c r="T551" i="4"/>
  <c r="U551" i="4" s="1"/>
  <c r="R551" i="4"/>
  <c r="S551" i="4" s="1"/>
  <c r="P551" i="4"/>
  <c r="Q551" i="4" s="1"/>
  <c r="N551" i="4"/>
  <c r="O551" i="4" s="1"/>
  <c r="M551" i="4"/>
  <c r="K551" i="4"/>
  <c r="L551" i="4" s="1"/>
  <c r="J551" i="4"/>
  <c r="H551" i="4"/>
  <c r="I551" i="4" s="1"/>
  <c r="G551" i="4"/>
  <c r="F551" i="4"/>
  <c r="E551" i="4"/>
  <c r="D551" i="4"/>
  <c r="C551" i="4"/>
  <c r="B551" i="4"/>
  <c r="A551" i="4"/>
  <c r="AG551" i="4" s="1"/>
  <c r="AC550" i="4"/>
  <c r="AB550" i="4"/>
  <c r="AA550" i="4"/>
  <c r="Z550" i="4"/>
  <c r="Y550" i="4"/>
  <c r="X550" i="4"/>
  <c r="W550" i="4"/>
  <c r="V550" i="4"/>
  <c r="T550" i="4"/>
  <c r="U550" i="4" s="1"/>
  <c r="R550" i="4"/>
  <c r="S550" i="4" s="1"/>
  <c r="P550" i="4"/>
  <c r="Q550" i="4" s="1"/>
  <c r="N550" i="4"/>
  <c r="O550" i="4" s="1"/>
  <c r="M550" i="4"/>
  <c r="K550" i="4"/>
  <c r="L550" i="4" s="1"/>
  <c r="J550" i="4"/>
  <c r="H550" i="4"/>
  <c r="I550" i="4" s="1"/>
  <c r="G550" i="4"/>
  <c r="F550" i="4"/>
  <c r="E550" i="4"/>
  <c r="D550" i="4"/>
  <c r="C550" i="4"/>
  <c r="B550" i="4"/>
  <c r="A550" i="4"/>
  <c r="AC549" i="4"/>
  <c r="AB549" i="4"/>
  <c r="AA549" i="4"/>
  <c r="Z549" i="4"/>
  <c r="Y549" i="4"/>
  <c r="X549" i="4"/>
  <c r="W549" i="4"/>
  <c r="V549" i="4"/>
  <c r="T549" i="4"/>
  <c r="U549" i="4" s="1"/>
  <c r="R549" i="4"/>
  <c r="S549" i="4" s="1"/>
  <c r="P549" i="4"/>
  <c r="Q549" i="4" s="1"/>
  <c r="N549" i="4"/>
  <c r="O549" i="4" s="1"/>
  <c r="M549" i="4"/>
  <c r="L549" i="4"/>
  <c r="K549" i="4"/>
  <c r="J549" i="4"/>
  <c r="H549" i="4"/>
  <c r="I549" i="4" s="1"/>
  <c r="G549" i="4"/>
  <c r="F549" i="4"/>
  <c r="E549" i="4"/>
  <c r="D549" i="4"/>
  <c r="C549" i="4"/>
  <c r="B549" i="4"/>
  <c r="A549" i="4"/>
  <c r="AG549" i="4" s="1"/>
  <c r="AC548" i="4"/>
  <c r="AB548" i="4"/>
  <c r="AA548" i="4"/>
  <c r="Z548" i="4"/>
  <c r="Y548" i="4"/>
  <c r="X548" i="4"/>
  <c r="W548" i="4"/>
  <c r="V548" i="4"/>
  <c r="T548" i="4"/>
  <c r="U548" i="4" s="1"/>
  <c r="R548" i="4"/>
  <c r="S548" i="4" s="1"/>
  <c r="P548" i="4"/>
  <c r="Q548" i="4" s="1"/>
  <c r="N548" i="4"/>
  <c r="O548" i="4" s="1"/>
  <c r="M548" i="4"/>
  <c r="K548" i="4"/>
  <c r="L548" i="4" s="1"/>
  <c r="J548" i="4"/>
  <c r="H548" i="4"/>
  <c r="I548" i="4" s="1"/>
  <c r="G548" i="4"/>
  <c r="F548" i="4"/>
  <c r="E548" i="4"/>
  <c r="D548" i="4"/>
  <c r="C548" i="4"/>
  <c r="B548" i="4"/>
  <c r="A548" i="4"/>
  <c r="AC547" i="4"/>
  <c r="AB547" i="4"/>
  <c r="AA547" i="4"/>
  <c r="Z547" i="4"/>
  <c r="Y547" i="4"/>
  <c r="X547" i="4"/>
  <c r="W547" i="4"/>
  <c r="V547" i="4"/>
  <c r="T547" i="4"/>
  <c r="U547" i="4" s="1"/>
  <c r="R547" i="4"/>
  <c r="S547" i="4" s="1"/>
  <c r="P547" i="4"/>
  <c r="Q547" i="4" s="1"/>
  <c r="O547" i="4"/>
  <c r="N547" i="4"/>
  <c r="M547" i="4"/>
  <c r="K547" i="4"/>
  <c r="L547" i="4" s="1"/>
  <c r="J547" i="4"/>
  <c r="H547" i="4"/>
  <c r="I547" i="4" s="1"/>
  <c r="G547" i="4"/>
  <c r="F547" i="4"/>
  <c r="E547" i="4"/>
  <c r="D547" i="4"/>
  <c r="C547" i="4"/>
  <c r="B547" i="4"/>
  <c r="A547" i="4"/>
  <c r="AG547" i="4" s="1"/>
  <c r="AC546" i="4"/>
  <c r="AB546" i="4"/>
  <c r="AA546" i="4"/>
  <c r="Z546" i="4"/>
  <c r="Y546" i="4"/>
  <c r="X546" i="4"/>
  <c r="W546" i="4"/>
  <c r="V546" i="4"/>
  <c r="U546" i="4"/>
  <c r="T546" i="4"/>
  <c r="R546" i="4"/>
  <c r="S546" i="4" s="1"/>
  <c r="P546" i="4"/>
  <c r="Q546" i="4" s="1"/>
  <c r="N546" i="4"/>
  <c r="O546" i="4" s="1"/>
  <c r="M546" i="4"/>
  <c r="K546" i="4"/>
  <c r="L546" i="4" s="1"/>
  <c r="J546" i="4"/>
  <c r="H546" i="4"/>
  <c r="I546" i="4" s="1"/>
  <c r="G546" i="4"/>
  <c r="F546" i="4"/>
  <c r="E546" i="4"/>
  <c r="D546" i="4"/>
  <c r="C546" i="4"/>
  <c r="B546" i="4"/>
  <c r="A546" i="4"/>
  <c r="AG546" i="4" s="1"/>
  <c r="AC545" i="4"/>
  <c r="AB545" i="4"/>
  <c r="AA545" i="4"/>
  <c r="Z545" i="4"/>
  <c r="Y545" i="4"/>
  <c r="X545" i="4"/>
  <c r="W545" i="4"/>
  <c r="V545" i="4"/>
  <c r="T545" i="4"/>
  <c r="U545" i="4" s="1"/>
  <c r="R545" i="4"/>
  <c r="S545" i="4" s="1"/>
  <c r="P545" i="4"/>
  <c r="Q545" i="4" s="1"/>
  <c r="N545" i="4"/>
  <c r="O545" i="4" s="1"/>
  <c r="M545" i="4"/>
  <c r="K545" i="4"/>
  <c r="L545" i="4" s="1"/>
  <c r="J545" i="4"/>
  <c r="H545" i="4"/>
  <c r="I545" i="4" s="1"/>
  <c r="G545" i="4"/>
  <c r="F545" i="4"/>
  <c r="E545" i="4"/>
  <c r="D545" i="4"/>
  <c r="C545" i="4"/>
  <c r="B545" i="4"/>
  <c r="A545" i="4"/>
  <c r="AG545" i="4" s="1"/>
  <c r="AC544" i="4"/>
  <c r="AB544" i="4"/>
  <c r="AA544" i="4"/>
  <c r="Z544" i="4"/>
  <c r="Y544" i="4"/>
  <c r="X544" i="4"/>
  <c r="W544" i="4"/>
  <c r="V544" i="4"/>
  <c r="T544" i="4"/>
  <c r="U544" i="4" s="1"/>
  <c r="R544" i="4"/>
  <c r="S544" i="4" s="1"/>
  <c r="P544" i="4"/>
  <c r="Q544" i="4" s="1"/>
  <c r="N544" i="4"/>
  <c r="O544" i="4" s="1"/>
  <c r="M544" i="4"/>
  <c r="K544" i="4"/>
  <c r="L544" i="4" s="1"/>
  <c r="J544" i="4"/>
  <c r="H544" i="4"/>
  <c r="I544" i="4" s="1"/>
  <c r="G544" i="4"/>
  <c r="F544" i="4"/>
  <c r="E544" i="4"/>
  <c r="D544" i="4"/>
  <c r="C544" i="4"/>
  <c r="B544" i="4"/>
  <c r="A544" i="4"/>
  <c r="AG544" i="4" s="1"/>
  <c r="AF543" i="4"/>
  <c r="AC543" i="4"/>
  <c r="AB543" i="4"/>
  <c r="AA543" i="4"/>
  <c r="Z543" i="4"/>
  <c r="Y543" i="4"/>
  <c r="X543" i="4"/>
  <c r="W543" i="4"/>
  <c r="V543" i="4"/>
  <c r="T543" i="4"/>
  <c r="U543" i="4" s="1"/>
  <c r="R543" i="4"/>
  <c r="S543" i="4" s="1"/>
  <c r="P543" i="4"/>
  <c r="Q543" i="4" s="1"/>
  <c r="N543" i="4"/>
  <c r="O543" i="4" s="1"/>
  <c r="M543" i="4"/>
  <c r="K543" i="4"/>
  <c r="L543" i="4" s="1"/>
  <c r="J543" i="4"/>
  <c r="H543" i="4"/>
  <c r="I543" i="4" s="1"/>
  <c r="G543" i="4"/>
  <c r="F543" i="4"/>
  <c r="E543" i="4"/>
  <c r="D543" i="4"/>
  <c r="C543" i="4"/>
  <c r="B543" i="4"/>
  <c r="A543" i="4"/>
  <c r="AC542" i="4"/>
  <c r="AB542" i="4"/>
  <c r="AA542" i="4"/>
  <c r="Z542" i="4"/>
  <c r="Y542" i="4"/>
  <c r="X542" i="4"/>
  <c r="W542" i="4"/>
  <c r="V542" i="4"/>
  <c r="T542" i="4"/>
  <c r="U542" i="4" s="1"/>
  <c r="R542" i="4"/>
  <c r="S542" i="4" s="1"/>
  <c r="P542" i="4"/>
  <c r="Q542" i="4" s="1"/>
  <c r="N542" i="4"/>
  <c r="O542" i="4" s="1"/>
  <c r="M542" i="4"/>
  <c r="K542" i="4"/>
  <c r="L542" i="4" s="1"/>
  <c r="J542" i="4"/>
  <c r="H542" i="4"/>
  <c r="I542" i="4" s="1"/>
  <c r="G542" i="4"/>
  <c r="F542" i="4"/>
  <c r="E542" i="4"/>
  <c r="D542" i="4"/>
  <c r="C542" i="4"/>
  <c r="B542" i="4"/>
  <c r="A542" i="4"/>
  <c r="AG542" i="4" s="1"/>
  <c r="AC541" i="4"/>
  <c r="AB541" i="4"/>
  <c r="AA541" i="4"/>
  <c r="Z541" i="4"/>
  <c r="Y541" i="4"/>
  <c r="X541" i="4"/>
  <c r="W541" i="4"/>
  <c r="V541" i="4"/>
  <c r="T541" i="4"/>
  <c r="U541" i="4" s="1"/>
  <c r="R541" i="4"/>
  <c r="S541" i="4" s="1"/>
  <c r="P541" i="4"/>
  <c r="Q541" i="4" s="1"/>
  <c r="N541" i="4"/>
  <c r="O541" i="4" s="1"/>
  <c r="M541" i="4"/>
  <c r="K541" i="4"/>
  <c r="L541" i="4" s="1"/>
  <c r="J541" i="4"/>
  <c r="H541" i="4"/>
  <c r="I541" i="4" s="1"/>
  <c r="G541" i="4"/>
  <c r="F541" i="4"/>
  <c r="E541" i="4"/>
  <c r="D541" i="4"/>
  <c r="C541" i="4"/>
  <c r="B541" i="4"/>
  <c r="A541" i="4"/>
  <c r="AF541" i="4" s="1"/>
  <c r="AC540" i="4"/>
  <c r="AB540" i="4"/>
  <c r="AA540" i="4"/>
  <c r="Z540" i="4"/>
  <c r="Y540" i="4"/>
  <c r="X540" i="4"/>
  <c r="W540" i="4"/>
  <c r="V540" i="4"/>
  <c r="T540" i="4"/>
  <c r="U540" i="4" s="1"/>
  <c r="R540" i="4"/>
  <c r="S540" i="4" s="1"/>
  <c r="P540" i="4"/>
  <c r="Q540" i="4" s="1"/>
  <c r="N540" i="4"/>
  <c r="O540" i="4" s="1"/>
  <c r="M540" i="4"/>
  <c r="K540" i="4"/>
  <c r="L540" i="4" s="1"/>
  <c r="J540" i="4"/>
  <c r="H540" i="4"/>
  <c r="I540" i="4" s="1"/>
  <c r="G540" i="4"/>
  <c r="F540" i="4"/>
  <c r="E540" i="4"/>
  <c r="D540" i="4"/>
  <c r="C540" i="4"/>
  <c r="B540" i="4"/>
  <c r="A540" i="4"/>
  <c r="AG540" i="4" s="1"/>
  <c r="AC539" i="4"/>
  <c r="AB539" i="4"/>
  <c r="AA539" i="4"/>
  <c r="Z539" i="4"/>
  <c r="Y539" i="4"/>
  <c r="X539" i="4"/>
  <c r="W539" i="4"/>
  <c r="V539" i="4"/>
  <c r="T539" i="4"/>
  <c r="U539" i="4" s="1"/>
  <c r="R539" i="4"/>
  <c r="S539" i="4" s="1"/>
  <c r="P539" i="4"/>
  <c r="Q539" i="4" s="1"/>
  <c r="N539" i="4"/>
  <c r="O539" i="4" s="1"/>
  <c r="M539" i="4"/>
  <c r="K539" i="4"/>
  <c r="L539" i="4" s="1"/>
  <c r="J539" i="4"/>
  <c r="H539" i="4"/>
  <c r="I539" i="4" s="1"/>
  <c r="G539" i="4"/>
  <c r="F539" i="4"/>
  <c r="E539" i="4"/>
  <c r="D539" i="4"/>
  <c r="C539" i="4"/>
  <c r="B539" i="4"/>
  <c r="A539" i="4"/>
  <c r="AG539" i="4" s="1"/>
  <c r="AC538" i="4"/>
  <c r="AB538" i="4"/>
  <c r="AA538" i="4"/>
  <c r="Z538" i="4"/>
  <c r="Y538" i="4"/>
  <c r="X538" i="4"/>
  <c r="W538" i="4"/>
  <c r="V538" i="4"/>
  <c r="T538" i="4"/>
  <c r="U538" i="4" s="1"/>
  <c r="R538" i="4"/>
  <c r="S538" i="4" s="1"/>
  <c r="P538" i="4"/>
  <c r="Q538" i="4" s="1"/>
  <c r="N538" i="4"/>
  <c r="O538" i="4" s="1"/>
  <c r="M538" i="4"/>
  <c r="K538" i="4"/>
  <c r="L538" i="4" s="1"/>
  <c r="J538" i="4"/>
  <c r="H538" i="4"/>
  <c r="I538" i="4" s="1"/>
  <c r="G538" i="4"/>
  <c r="F538" i="4"/>
  <c r="E538" i="4"/>
  <c r="D538" i="4"/>
  <c r="C538" i="4"/>
  <c r="B538" i="4"/>
  <c r="A538" i="4"/>
  <c r="AG538" i="4" s="1"/>
  <c r="AC537" i="4"/>
  <c r="AB537" i="4"/>
  <c r="AA537" i="4"/>
  <c r="Z537" i="4"/>
  <c r="Y537" i="4"/>
  <c r="X537" i="4"/>
  <c r="W537" i="4"/>
  <c r="V537" i="4"/>
  <c r="T537" i="4"/>
  <c r="U537" i="4" s="1"/>
  <c r="R537" i="4"/>
  <c r="S537" i="4" s="1"/>
  <c r="P537" i="4"/>
  <c r="Q537" i="4" s="1"/>
  <c r="N537" i="4"/>
  <c r="O537" i="4" s="1"/>
  <c r="M537" i="4"/>
  <c r="K537" i="4"/>
  <c r="L537" i="4" s="1"/>
  <c r="J537" i="4"/>
  <c r="H537" i="4"/>
  <c r="I537" i="4" s="1"/>
  <c r="G537" i="4"/>
  <c r="F537" i="4"/>
  <c r="E537" i="4"/>
  <c r="D537" i="4"/>
  <c r="C537" i="4"/>
  <c r="B537" i="4"/>
  <c r="A537" i="4"/>
  <c r="AC536" i="4"/>
  <c r="AB536" i="4"/>
  <c r="AA536" i="4"/>
  <c r="Z536" i="4"/>
  <c r="Y536" i="4"/>
  <c r="X536" i="4"/>
  <c r="W536" i="4"/>
  <c r="V536" i="4"/>
  <c r="T536" i="4"/>
  <c r="U536" i="4" s="1"/>
  <c r="R536" i="4"/>
  <c r="S536" i="4" s="1"/>
  <c r="P536" i="4"/>
  <c r="Q536" i="4" s="1"/>
  <c r="N536" i="4"/>
  <c r="O536" i="4" s="1"/>
  <c r="M536" i="4"/>
  <c r="K536" i="4"/>
  <c r="L536" i="4" s="1"/>
  <c r="J536" i="4"/>
  <c r="H536" i="4"/>
  <c r="I536" i="4" s="1"/>
  <c r="G536" i="4"/>
  <c r="F536" i="4"/>
  <c r="E536" i="4"/>
  <c r="D536" i="4"/>
  <c r="C536" i="4"/>
  <c r="B536" i="4"/>
  <c r="A536" i="4"/>
  <c r="AG536" i="4" s="1"/>
  <c r="AC535" i="4"/>
  <c r="AB535" i="4"/>
  <c r="AA535" i="4"/>
  <c r="Z535" i="4"/>
  <c r="Y535" i="4"/>
  <c r="X535" i="4"/>
  <c r="W535" i="4"/>
  <c r="V535" i="4"/>
  <c r="T535" i="4"/>
  <c r="U535" i="4" s="1"/>
  <c r="R535" i="4"/>
  <c r="S535" i="4" s="1"/>
  <c r="P535" i="4"/>
  <c r="Q535" i="4" s="1"/>
  <c r="N535" i="4"/>
  <c r="O535" i="4" s="1"/>
  <c r="M535" i="4"/>
  <c r="K535" i="4"/>
  <c r="L535" i="4" s="1"/>
  <c r="J535" i="4"/>
  <c r="H535" i="4"/>
  <c r="I535" i="4" s="1"/>
  <c r="G535" i="4"/>
  <c r="F535" i="4"/>
  <c r="E535" i="4"/>
  <c r="D535" i="4"/>
  <c r="C535" i="4"/>
  <c r="B535" i="4"/>
  <c r="A535" i="4"/>
  <c r="AF535" i="4" s="1"/>
  <c r="AC534" i="4"/>
  <c r="AB534" i="4"/>
  <c r="AA534" i="4"/>
  <c r="Z534" i="4"/>
  <c r="Y534" i="4"/>
  <c r="X534" i="4"/>
  <c r="W534" i="4"/>
  <c r="V534" i="4"/>
  <c r="T534" i="4"/>
  <c r="U534" i="4" s="1"/>
  <c r="R534" i="4"/>
  <c r="S534" i="4" s="1"/>
  <c r="P534" i="4"/>
  <c r="Q534" i="4" s="1"/>
  <c r="N534" i="4"/>
  <c r="O534" i="4" s="1"/>
  <c r="M534" i="4"/>
  <c r="K534" i="4"/>
  <c r="L534" i="4" s="1"/>
  <c r="J534" i="4"/>
  <c r="H534" i="4"/>
  <c r="I534" i="4" s="1"/>
  <c r="G534" i="4"/>
  <c r="F534" i="4"/>
  <c r="E534" i="4"/>
  <c r="D534" i="4"/>
  <c r="C534" i="4"/>
  <c r="B534" i="4"/>
  <c r="A534" i="4"/>
  <c r="AG534" i="4" s="1"/>
  <c r="AC533" i="4"/>
  <c r="AB533" i="4"/>
  <c r="AA533" i="4"/>
  <c r="Z533" i="4"/>
  <c r="Y533" i="4"/>
  <c r="X533" i="4"/>
  <c r="W533" i="4"/>
  <c r="V533" i="4"/>
  <c r="T533" i="4"/>
  <c r="U533" i="4" s="1"/>
  <c r="R533" i="4"/>
  <c r="S533" i="4" s="1"/>
  <c r="P533" i="4"/>
  <c r="Q533" i="4" s="1"/>
  <c r="N533" i="4"/>
  <c r="O533" i="4" s="1"/>
  <c r="M533" i="4"/>
  <c r="K533" i="4"/>
  <c r="L533" i="4" s="1"/>
  <c r="J533" i="4"/>
  <c r="H533" i="4"/>
  <c r="I533" i="4" s="1"/>
  <c r="G533" i="4"/>
  <c r="F533" i="4"/>
  <c r="E533" i="4"/>
  <c r="D533" i="4"/>
  <c r="C533" i="4"/>
  <c r="B533" i="4"/>
  <c r="A533" i="4"/>
  <c r="AC532" i="4"/>
  <c r="AB532" i="4"/>
  <c r="AA532" i="4"/>
  <c r="Z532" i="4"/>
  <c r="Y532" i="4"/>
  <c r="X532" i="4"/>
  <c r="W532" i="4"/>
  <c r="V532" i="4"/>
  <c r="T532" i="4"/>
  <c r="U532" i="4" s="1"/>
  <c r="R532" i="4"/>
  <c r="S532" i="4" s="1"/>
  <c r="P532" i="4"/>
  <c r="Q532" i="4" s="1"/>
  <c r="N532" i="4"/>
  <c r="O532" i="4" s="1"/>
  <c r="M532" i="4"/>
  <c r="K532" i="4"/>
  <c r="L532" i="4" s="1"/>
  <c r="J532" i="4"/>
  <c r="H532" i="4"/>
  <c r="I532" i="4" s="1"/>
  <c r="G532" i="4"/>
  <c r="F532" i="4"/>
  <c r="E532" i="4"/>
  <c r="D532" i="4"/>
  <c r="C532" i="4"/>
  <c r="B532" i="4"/>
  <c r="A532" i="4"/>
  <c r="AG532" i="4" s="1"/>
  <c r="AC531" i="4"/>
  <c r="AB531" i="4"/>
  <c r="AA531" i="4"/>
  <c r="Z531" i="4"/>
  <c r="Y531" i="4"/>
  <c r="X531" i="4"/>
  <c r="W531" i="4"/>
  <c r="V531" i="4"/>
  <c r="T531" i="4"/>
  <c r="U531" i="4" s="1"/>
  <c r="R531" i="4"/>
  <c r="S531" i="4" s="1"/>
  <c r="P531" i="4"/>
  <c r="Q531" i="4" s="1"/>
  <c r="O531" i="4"/>
  <c r="N531" i="4"/>
  <c r="M531" i="4"/>
  <c r="K531" i="4"/>
  <c r="L531" i="4" s="1"/>
  <c r="J531" i="4"/>
  <c r="H531" i="4"/>
  <c r="I531" i="4" s="1"/>
  <c r="G531" i="4"/>
  <c r="F531" i="4"/>
  <c r="E531" i="4"/>
  <c r="D531" i="4"/>
  <c r="C531" i="4"/>
  <c r="B531" i="4"/>
  <c r="A531" i="4"/>
  <c r="AG531" i="4" s="1"/>
  <c r="AC530" i="4"/>
  <c r="AB530" i="4"/>
  <c r="AA530" i="4"/>
  <c r="Z530" i="4"/>
  <c r="Y530" i="4"/>
  <c r="X530" i="4"/>
  <c r="W530" i="4"/>
  <c r="V530" i="4"/>
  <c r="T530" i="4"/>
  <c r="U530" i="4" s="1"/>
  <c r="R530" i="4"/>
  <c r="S530" i="4" s="1"/>
  <c r="P530" i="4"/>
  <c r="Q530" i="4" s="1"/>
  <c r="N530" i="4"/>
  <c r="O530" i="4" s="1"/>
  <c r="M530" i="4"/>
  <c r="K530" i="4"/>
  <c r="L530" i="4" s="1"/>
  <c r="J530" i="4"/>
  <c r="H530" i="4"/>
  <c r="I530" i="4" s="1"/>
  <c r="G530" i="4"/>
  <c r="F530" i="4"/>
  <c r="E530" i="4"/>
  <c r="D530" i="4"/>
  <c r="C530" i="4"/>
  <c r="B530" i="4"/>
  <c r="A530" i="4"/>
  <c r="AG530" i="4" s="1"/>
  <c r="AC529" i="4"/>
  <c r="AB529" i="4"/>
  <c r="AA529" i="4"/>
  <c r="Z529" i="4"/>
  <c r="Y529" i="4"/>
  <c r="X529" i="4"/>
  <c r="W529" i="4"/>
  <c r="V529" i="4"/>
  <c r="T529" i="4"/>
  <c r="U529" i="4" s="1"/>
  <c r="R529" i="4"/>
  <c r="S529" i="4" s="1"/>
  <c r="P529" i="4"/>
  <c r="Q529" i="4" s="1"/>
  <c r="N529" i="4"/>
  <c r="O529" i="4" s="1"/>
  <c r="M529" i="4"/>
  <c r="K529" i="4"/>
  <c r="L529" i="4" s="1"/>
  <c r="J529" i="4"/>
  <c r="H529" i="4"/>
  <c r="I529" i="4" s="1"/>
  <c r="G529" i="4"/>
  <c r="F529" i="4"/>
  <c r="E529" i="4"/>
  <c r="D529" i="4"/>
  <c r="C529" i="4"/>
  <c r="B529" i="4"/>
  <c r="A529" i="4"/>
  <c r="AG529" i="4" s="1"/>
  <c r="AC528" i="4"/>
  <c r="AB528" i="4"/>
  <c r="AA528" i="4"/>
  <c r="Z528" i="4"/>
  <c r="Y528" i="4"/>
  <c r="X528" i="4"/>
  <c r="W528" i="4"/>
  <c r="V528" i="4"/>
  <c r="T528" i="4"/>
  <c r="U528" i="4" s="1"/>
  <c r="R528" i="4"/>
  <c r="S528" i="4" s="1"/>
  <c r="P528" i="4"/>
  <c r="Q528" i="4" s="1"/>
  <c r="N528" i="4"/>
  <c r="O528" i="4" s="1"/>
  <c r="M528" i="4"/>
  <c r="K528" i="4"/>
  <c r="L528" i="4" s="1"/>
  <c r="J528" i="4"/>
  <c r="H528" i="4"/>
  <c r="I528" i="4" s="1"/>
  <c r="G528" i="4"/>
  <c r="F528" i="4"/>
  <c r="E528" i="4"/>
  <c r="D528" i="4"/>
  <c r="C528" i="4"/>
  <c r="B528" i="4"/>
  <c r="A528" i="4"/>
  <c r="AG528" i="4" s="1"/>
  <c r="AC527" i="4"/>
  <c r="AB527" i="4"/>
  <c r="AA527" i="4"/>
  <c r="Z527" i="4"/>
  <c r="Y527" i="4"/>
  <c r="X527" i="4"/>
  <c r="W527" i="4"/>
  <c r="V527" i="4"/>
  <c r="T527" i="4"/>
  <c r="U527" i="4" s="1"/>
  <c r="R527" i="4"/>
  <c r="S527" i="4" s="1"/>
  <c r="P527" i="4"/>
  <c r="Q527" i="4" s="1"/>
  <c r="N527" i="4"/>
  <c r="O527" i="4" s="1"/>
  <c r="M527" i="4"/>
  <c r="K527" i="4"/>
  <c r="L527" i="4" s="1"/>
  <c r="J527" i="4"/>
  <c r="H527" i="4"/>
  <c r="I527" i="4" s="1"/>
  <c r="G527" i="4"/>
  <c r="F527" i="4"/>
  <c r="E527" i="4"/>
  <c r="D527" i="4"/>
  <c r="C527" i="4"/>
  <c r="B527" i="4"/>
  <c r="A527" i="4"/>
  <c r="AG527" i="4" s="1"/>
  <c r="AC526" i="4"/>
  <c r="AB526" i="4"/>
  <c r="AA526" i="4"/>
  <c r="Z526" i="4"/>
  <c r="Y526" i="4"/>
  <c r="X526" i="4"/>
  <c r="W526" i="4"/>
  <c r="V526" i="4"/>
  <c r="T526" i="4"/>
  <c r="U526" i="4" s="1"/>
  <c r="R526" i="4"/>
  <c r="S526" i="4" s="1"/>
  <c r="P526" i="4"/>
  <c r="Q526" i="4" s="1"/>
  <c r="N526" i="4"/>
  <c r="O526" i="4" s="1"/>
  <c r="M526" i="4"/>
  <c r="K526" i="4"/>
  <c r="L526" i="4" s="1"/>
  <c r="J526" i="4"/>
  <c r="H526" i="4"/>
  <c r="I526" i="4" s="1"/>
  <c r="G526" i="4"/>
  <c r="F526" i="4"/>
  <c r="E526" i="4"/>
  <c r="D526" i="4"/>
  <c r="C526" i="4"/>
  <c r="B526" i="4"/>
  <c r="A526" i="4"/>
  <c r="AG526" i="4" s="1"/>
  <c r="AC525" i="4"/>
  <c r="AB525" i="4"/>
  <c r="AA525" i="4"/>
  <c r="Z525" i="4"/>
  <c r="Y525" i="4"/>
  <c r="X525" i="4"/>
  <c r="W525" i="4"/>
  <c r="V525" i="4"/>
  <c r="T525" i="4"/>
  <c r="U525" i="4" s="1"/>
  <c r="R525" i="4"/>
  <c r="S525" i="4" s="1"/>
  <c r="P525" i="4"/>
  <c r="Q525" i="4" s="1"/>
  <c r="N525" i="4"/>
  <c r="O525" i="4" s="1"/>
  <c r="M525" i="4"/>
  <c r="K525" i="4"/>
  <c r="L525" i="4" s="1"/>
  <c r="J525" i="4"/>
  <c r="H525" i="4"/>
  <c r="I525" i="4" s="1"/>
  <c r="G525" i="4"/>
  <c r="F525" i="4"/>
  <c r="E525" i="4"/>
  <c r="D525" i="4"/>
  <c r="C525" i="4"/>
  <c r="B525" i="4"/>
  <c r="A525" i="4"/>
  <c r="AC524" i="4"/>
  <c r="AB524" i="4"/>
  <c r="AA524" i="4"/>
  <c r="Z524" i="4"/>
  <c r="Y524" i="4"/>
  <c r="X524" i="4"/>
  <c r="W524" i="4"/>
  <c r="V524" i="4"/>
  <c r="T524" i="4"/>
  <c r="U524" i="4" s="1"/>
  <c r="R524" i="4"/>
  <c r="S524" i="4" s="1"/>
  <c r="P524" i="4"/>
  <c r="Q524" i="4" s="1"/>
  <c r="N524" i="4"/>
  <c r="O524" i="4" s="1"/>
  <c r="M524" i="4"/>
  <c r="K524" i="4"/>
  <c r="L524" i="4" s="1"/>
  <c r="J524" i="4"/>
  <c r="H524" i="4"/>
  <c r="I524" i="4" s="1"/>
  <c r="G524" i="4"/>
  <c r="F524" i="4"/>
  <c r="E524" i="4"/>
  <c r="D524" i="4"/>
  <c r="C524" i="4"/>
  <c r="B524" i="4"/>
  <c r="A524" i="4"/>
  <c r="AG524" i="4" s="1"/>
  <c r="AC523" i="4"/>
  <c r="AB523" i="4"/>
  <c r="AA523" i="4"/>
  <c r="Z523" i="4"/>
  <c r="Y523" i="4"/>
  <c r="X523" i="4"/>
  <c r="W523" i="4"/>
  <c r="V523" i="4"/>
  <c r="T523" i="4"/>
  <c r="U523" i="4" s="1"/>
  <c r="R523" i="4"/>
  <c r="S523" i="4" s="1"/>
  <c r="P523" i="4"/>
  <c r="Q523" i="4" s="1"/>
  <c r="N523" i="4"/>
  <c r="O523" i="4" s="1"/>
  <c r="M523" i="4"/>
  <c r="K523" i="4"/>
  <c r="L523" i="4" s="1"/>
  <c r="J523" i="4"/>
  <c r="H523" i="4"/>
  <c r="I523" i="4" s="1"/>
  <c r="G523" i="4"/>
  <c r="F523" i="4"/>
  <c r="E523" i="4"/>
  <c r="D523" i="4"/>
  <c r="C523" i="4"/>
  <c r="B523" i="4"/>
  <c r="A523" i="4"/>
  <c r="AG523" i="4" s="1"/>
  <c r="AC522" i="4"/>
  <c r="AB522" i="4"/>
  <c r="AA522" i="4"/>
  <c r="Z522" i="4"/>
  <c r="Y522" i="4"/>
  <c r="X522" i="4"/>
  <c r="W522" i="4"/>
  <c r="V522" i="4"/>
  <c r="T522" i="4"/>
  <c r="U522" i="4" s="1"/>
  <c r="R522" i="4"/>
  <c r="S522" i="4" s="1"/>
  <c r="P522" i="4"/>
  <c r="Q522" i="4" s="1"/>
  <c r="N522" i="4"/>
  <c r="O522" i="4" s="1"/>
  <c r="M522" i="4"/>
  <c r="K522" i="4"/>
  <c r="L522" i="4" s="1"/>
  <c r="J522" i="4"/>
  <c r="H522" i="4"/>
  <c r="I522" i="4" s="1"/>
  <c r="G522" i="4"/>
  <c r="F522" i="4"/>
  <c r="E522" i="4"/>
  <c r="D522" i="4"/>
  <c r="C522" i="4"/>
  <c r="B522" i="4"/>
  <c r="A522" i="4"/>
  <c r="AC521" i="4"/>
  <c r="AB521" i="4"/>
  <c r="AA521" i="4"/>
  <c r="Z521" i="4"/>
  <c r="Y521" i="4"/>
  <c r="X521" i="4"/>
  <c r="W521" i="4"/>
  <c r="V521" i="4"/>
  <c r="T521" i="4"/>
  <c r="U521" i="4" s="1"/>
  <c r="R521" i="4"/>
  <c r="S521" i="4" s="1"/>
  <c r="P521" i="4"/>
  <c r="Q521" i="4" s="1"/>
  <c r="N521" i="4"/>
  <c r="O521" i="4" s="1"/>
  <c r="M521" i="4"/>
  <c r="K521" i="4"/>
  <c r="L521" i="4" s="1"/>
  <c r="J521" i="4"/>
  <c r="H521" i="4"/>
  <c r="I521" i="4" s="1"/>
  <c r="G521" i="4"/>
  <c r="F521" i="4"/>
  <c r="E521" i="4"/>
  <c r="D521" i="4"/>
  <c r="C521" i="4"/>
  <c r="B521" i="4"/>
  <c r="A521" i="4"/>
  <c r="AG521" i="4" s="1"/>
  <c r="AC520" i="4"/>
  <c r="AB520" i="4"/>
  <c r="AA520" i="4"/>
  <c r="Z520" i="4"/>
  <c r="Y520" i="4"/>
  <c r="X520" i="4"/>
  <c r="W520" i="4"/>
  <c r="V520" i="4"/>
  <c r="T520" i="4"/>
  <c r="U520" i="4" s="1"/>
  <c r="S520" i="4"/>
  <c r="R520" i="4"/>
  <c r="P520" i="4"/>
  <c r="Q520" i="4" s="1"/>
  <c r="N520" i="4"/>
  <c r="O520" i="4" s="1"/>
  <c r="M520" i="4"/>
  <c r="K520" i="4"/>
  <c r="L520" i="4" s="1"/>
  <c r="J520" i="4"/>
  <c r="H520" i="4"/>
  <c r="I520" i="4" s="1"/>
  <c r="G520" i="4"/>
  <c r="F520" i="4"/>
  <c r="E520" i="4"/>
  <c r="D520" i="4"/>
  <c r="C520" i="4"/>
  <c r="B520" i="4"/>
  <c r="A520" i="4"/>
  <c r="AG520" i="4" s="1"/>
  <c r="AC519" i="4"/>
  <c r="AB519" i="4"/>
  <c r="AA519" i="4"/>
  <c r="Z519" i="4"/>
  <c r="Y519" i="4"/>
  <c r="X519" i="4"/>
  <c r="W519" i="4"/>
  <c r="V519" i="4"/>
  <c r="T519" i="4"/>
  <c r="U519" i="4" s="1"/>
  <c r="S519" i="4"/>
  <c r="R519" i="4"/>
  <c r="P519" i="4"/>
  <c r="Q519" i="4" s="1"/>
  <c r="N519" i="4"/>
  <c r="O519" i="4" s="1"/>
  <c r="M519" i="4"/>
  <c r="K519" i="4"/>
  <c r="L519" i="4" s="1"/>
  <c r="J519" i="4"/>
  <c r="H519" i="4"/>
  <c r="I519" i="4" s="1"/>
  <c r="G519" i="4"/>
  <c r="F519" i="4"/>
  <c r="E519" i="4"/>
  <c r="D519" i="4"/>
  <c r="C519" i="4"/>
  <c r="B519" i="4"/>
  <c r="A519" i="4"/>
  <c r="AG519" i="4" s="1"/>
  <c r="AC518" i="4"/>
  <c r="AB518" i="4"/>
  <c r="AA518" i="4"/>
  <c r="Z518" i="4"/>
  <c r="Y518" i="4"/>
  <c r="X518" i="4"/>
  <c r="W518" i="4"/>
  <c r="V518" i="4"/>
  <c r="T518" i="4"/>
  <c r="U518" i="4" s="1"/>
  <c r="R518" i="4"/>
  <c r="S518" i="4" s="1"/>
  <c r="P518" i="4"/>
  <c r="Q518" i="4" s="1"/>
  <c r="N518" i="4"/>
  <c r="O518" i="4" s="1"/>
  <c r="M518" i="4"/>
  <c r="K518" i="4"/>
  <c r="L518" i="4" s="1"/>
  <c r="J518" i="4"/>
  <c r="H518" i="4"/>
  <c r="I518" i="4" s="1"/>
  <c r="G518" i="4"/>
  <c r="F518" i="4"/>
  <c r="E518" i="4"/>
  <c r="D518" i="4"/>
  <c r="C518" i="4"/>
  <c r="B518" i="4"/>
  <c r="A518" i="4"/>
  <c r="AG518" i="4" s="1"/>
  <c r="AC517" i="4"/>
  <c r="AB517" i="4"/>
  <c r="AA517" i="4"/>
  <c r="Z517" i="4"/>
  <c r="Y517" i="4"/>
  <c r="X517" i="4"/>
  <c r="W517" i="4"/>
  <c r="V517" i="4"/>
  <c r="T517" i="4"/>
  <c r="U517" i="4" s="1"/>
  <c r="R517" i="4"/>
  <c r="S517" i="4" s="1"/>
  <c r="P517" i="4"/>
  <c r="Q517" i="4" s="1"/>
  <c r="N517" i="4"/>
  <c r="O517" i="4" s="1"/>
  <c r="M517" i="4"/>
  <c r="L517" i="4"/>
  <c r="K517" i="4"/>
  <c r="J517" i="4"/>
  <c r="H517" i="4"/>
  <c r="I517" i="4" s="1"/>
  <c r="G517" i="4"/>
  <c r="F517" i="4"/>
  <c r="E517" i="4"/>
  <c r="D517" i="4"/>
  <c r="C517" i="4"/>
  <c r="B517" i="4"/>
  <c r="A517" i="4"/>
  <c r="AF517" i="4" s="1"/>
  <c r="AC516" i="4"/>
  <c r="AB516" i="4"/>
  <c r="AA516" i="4"/>
  <c r="Z516" i="4"/>
  <c r="Y516" i="4"/>
  <c r="X516" i="4"/>
  <c r="W516" i="4"/>
  <c r="V516" i="4"/>
  <c r="T516" i="4"/>
  <c r="U516" i="4" s="1"/>
  <c r="R516" i="4"/>
  <c r="S516" i="4" s="1"/>
  <c r="P516" i="4"/>
  <c r="Q516" i="4" s="1"/>
  <c r="N516" i="4"/>
  <c r="O516" i="4" s="1"/>
  <c r="M516" i="4"/>
  <c r="K516" i="4"/>
  <c r="L516" i="4" s="1"/>
  <c r="J516" i="4"/>
  <c r="H516" i="4"/>
  <c r="I516" i="4" s="1"/>
  <c r="G516" i="4"/>
  <c r="F516" i="4"/>
  <c r="E516" i="4"/>
  <c r="D516" i="4"/>
  <c r="C516" i="4"/>
  <c r="B516" i="4"/>
  <c r="A516" i="4"/>
  <c r="AC515" i="4"/>
  <c r="AB515" i="4"/>
  <c r="AA515" i="4"/>
  <c r="Z515" i="4"/>
  <c r="Y515" i="4"/>
  <c r="X515" i="4"/>
  <c r="W515" i="4"/>
  <c r="V515" i="4"/>
  <c r="T515" i="4"/>
  <c r="U515" i="4" s="1"/>
  <c r="R515" i="4"/>
  <c r="S515" i="4" s="1"/>
  <c r="P515" i="4"/>
  <c r="Q515" i="4" s="1"/>
  <c r="O515" i="4"/>
  <c r="N515" i="4"/>
  <c r="M515" i="4"/>
  <c r="K515" i="4"/>
  <c r="L515" i="4" s="1"/>
  <c r="J515" i="4"/>
  <c r="H515" i="4"/>
  <c r="I515" i="4" s="1"/>
  <c r="G515" i="4"/>
  <c r="F515" i="4"/>
  <c r="E515" i="4"/>
  <c r="D515" i="4"/>
  <c r="C515" i="4"/>
  <c r="B515" i="4"/>
  <c r="A515" i="4"/>
  <c r="AC514" i="4"/>
  <c r="AB514" i="4"/>
  <c r="AA514" i="4"/>
  <c r="Z514" i="4"/>
  <c r="Y514" i="4"/>
  <c r="X514" i="4"/>
  <c r="W514" i="4"/>
  <c r="V514" i="4"/>
  <c r="T514" i="4"/>
  <c r="U514" i="4" s="1"/>
  <c r="R514" i="4"/>
  <c r="S514" i="4" s="1"/>
  <c r="P514" i="4"/>
  <c r="Q514" i="4" s="1"/>
  <c r="N514" i="4"/>
  <c r="O514" i="4" s="1"/>
  <c r="M514" i="4"/>
  <c r="K514" i="4"/>
  <c r="L514" i="4" s="1"/>
  <c r="J514" i="4"/>
  <c r="H514" i="4"/>
  <c r="I514" i="4" s="1"/>
  <c r="G514" i="4"/>
  <c r="F514" i="4"/>
  <c r="E514" i="4"/>
  <c r="D514" i="4"/>
  <c r="C514" i="4"/>
  <c r="B514" i="4"/>
  <c r="A514" i="4"/>
  <c r="AG514" i="4" s="1"/>
  <c r="AC513" i="4"/>
  <c r="AB513" i="4"/>
  <c r="AA513" i="4"/>
  <c r="Z513" i="4"/>
  <c r="Y513" i="4"/>
  <c r="X513" i="4"/>
  <c r="W513" i="4"/>
  <c r="V513" i="4"/>
  <c r="T513" i="4"/>
  <c r="U513" i="4" s="1"/>
  <c r="R513" i="4"/>
  <c r="S513" i="4" s="1"/>
  <c r="P513" i="4"/>
  <c r="Q513" i="4" s="1"/>
  <c r="N513" i="4"/>
  <c r="O513" i="4" s="1"/>
  <c r="M513" i="4"/>
  <c r="K513" i="4"/>
  <c r="L513" i="4" s="1"/>
  <c r="J513" i="4"/>
  <c r="H513" i="4"/>
  <c r="I513" i="4" s="1"/>
  <c r="G513" i="4"/>
  <c r="F513" i="4"/>
  <c r="E513" i="4"/>
  <c r="D513" i="4"/>
  <c r="C513" i="4"/>
  <c r="B513" i="4"/>
  <c r="A513" i="4"/>
  <c r="AG513" i="4" s="1"/>
  <c r="AC512" i="4"/>
  <c r="AB512" i="4"/>
  <c r="AA512" i="4"/>
  <c r="Z512" i="4"/>
  <c r="Y512" i="4"/>
  <c r="X512" i="4"/>
  <c r="W512" i="4"/>
  <c r="V512" i="4"/>
  <c r="T512" i="4"/>
  <c r="U512" i="4" s="1"/>
  <c r="R512" i="4"/>
  <c r="S512" i="4" s="1"/>
  <c r="P512" i="4"/>
  <c r="Q512" i="4" s="1"/>
  <c r="N512" i="4"/>
  <c r="O512" i="4" s="1"/>
  <c r="M512" i="4"/>
  <c r="K512" i="4"/>
  <c r="L512" i="4" s="1"/>
  <c r="J512" i="4"/>
  <c r="H512" i="4"/>
  <c r="I512" i="4" s="1"/>
  <c r="G512" i="4"/>
  <c r="F512" i="4"/>
  <c r="E512" i="4"/>
  <c r="D512" i="4"/>
  <c r="C512" i="4"/>
  <c r="B512" i="4"/>
  <c r="A512" i="4"/>
  <c r="AG512" i="4" s="1"/>
  <c r="AC511" i="4"/>
  <c r="AB511" i="4"/>
  <c r="AA511" i="4"/>
  <c r="Z511" i="4"/>
  <c r="Y511" i="4"/>
  <c r="X511" i="4"/>
  <c r="W511" i="4"/>
  <c r="V511" i="4"/>
  <c r="T511" i="4"/>
  <c r="U511" i="4" s="1"/>
  <c r="R511" i="4"/>
  <c r="S511" i="4" s="1"/>
  <c r="P511" i="4"/>
  <c r="Q511" i="4" s="1"/>
  <c r="N511" i="4"/>
  <c r="O511" i="4" s="1"/>
  <c r="M511" i="4"/>
  <c r="K511" i="4"/>
  <c r="L511" i="4" s="1"/>
  <c r="J511" i="4"/>
  <c r="H511" i="4"/>
  <c r="I511" i="4" s="1"/>
  <c r="G511" i="4"/>
  <c r="F511" i="4"/>
  <c r="E511" i="4"/>
  <c r="D511" i="4"/>
  <c r="C511" i="4"/>
  <c r="B511" i="4"/>
  <c r="A511" i="4"/>
  <c r="AC510" i="4"/>
  <c r="AB510" i="4"/>
  <c r="AA510" i="4"/>
  <c r="Z510" i="4"/>
  <c r="Y510" i="4"/>
  <c r="X510" i="4"/>
  <c r="W510" i="4"/>
  <c r="V510" i="4"/>
  <c r="T510" i="4"/>
  <c r="U510" i="4" s="1"/>
  <c r="R510" i="4"/>
  <c r="S510" i="4" s="1"/>
  <c r="P510" i="4"/>
  <c r="Q510" i="4" s="1"/>
  <c r="N510" i="4"/>
  <c r="O510" i="4" s="1"/>
  <c r="M510" i="4"/>
  <c r="K510" i="4"/>
  <c r="L510" i="4" s="1"/>
  <c r="J510" i="4"/>
  <c r="H510" i="4"/>
  <c r="I510" i="4" s="1"/>
  <c r="G510" i="4"/>
  <c r="F510" i="4"/>
  <c r="E510" i="4"/>
  <c r="D510" i="4"/>
  <c r="C510" i="4"/>
  <c r="B510" i="4"/>
  <c r="A510" i="4"/>
  <c r="AG510" i="4" s="1"/>
  <c r="AC509" i="4"/>
  <c r="AB509" i="4"/>
  <c r="AA509" i="4"/>
  <c r="Z509" i="4"/>
  <c r="Y509" i="4"/>
  <c r="X509" i="4"/>
  <c r="W509" i="4"/>
  <c r="V509" i="4"/>
  <c r="T509" i="4"/>
  <c r="U509" i="4" s="1"/>
  <c r="R509" i="4"/>
  <c r="S509" i="4" s="1"/>
  <c r="P509" i="4"/>
  <c r="Q509" i="4" s="1"/>
  <c r="N509" i="4"/>
  <c r="O509" i="4" s="1"/>
  <c r="M509" i="4"/>
  <c r="K509" i="4"/>
  <c r="L509" i="4" s="1"/>
  <c r="J509" i="4"/>
  <c r="H509" i="4"/>
  <c r="I509" i="4" s="1"/>
  <c r="G509" i="4"/>
  <c r="F509" i="4"/>
  <c r="E509" i="4"/>
  <c r="D509" i="4"/>
  <c r="C509" i="4"/>
  <c r="B509" i="4"/>
  <c r="A509" i="4"/>
  <c r="AC508" i="4"/>
  <c r="AB508" i="4"/>
  <c r="AA508" i="4"/>
  <c r="Z508" i="4"/>
  <c r="Y508" i="4"/>
  <c r="X508" i="4"/>
  <c r="W508" i="4"/>
  <c r="V508" i="4"/>
  <c r="T508" i="4"/>
  <c r="U508" i="4" s="1"/>
  <c r="R508" i="4"/>
  <c r="S508" i="4" s="1"/>
  <c r="P508" i="4"/>
  <c r="Q508" i="4" s="1"/>
  <c r="N508" i="4"/>
  <c r="O508" i="4" s="1"/>
  <c r="M508" i="4"/>
  <c r="K508" i="4"/>
  <c r="L508" i="4" s="1"/>
  <c r="J508" i="4"/>
  <c r="H508" i="4"/>
  <c r="I508" i="4" s="1"/>
  <c r="G508" i="4"/>
  <c r="F508" i="4"/>
  <c r="E508" i="4"/>
  <c r="D508" i="4"/>
  <c r="C508" i="4"/>
  <c r="B508" i="4"/>
  <c r="A508" i="4"/>
  <c r="AG508" i="4" s="1"/>
  <c r="AC507" i="4"/>
  <c r="AB507" i="4"/>
  <c r="AA507" i="4"/>
  <c r="Z507" i="4"/>
  <c r="Y507" i="4"/>
  <c r="X507" i="4"/>
  <c r="W507" i="4"/>
  <c r="V507" i="4"/>
  <c r="T507" i="4"/>
  <c r="U507" i="4" s="1"/>
  <c r="R507" i="4"/>
  <c r="S507" i="4" s="1"/>
  <c r="P507" i="4"/>
  <c r="Q507" i="4" s="1"/>
  <c r="N507" i="4"/>
  <c r="O507" i="4" s="1"/>
  <c r="M507" i="4"/>
  <c r="K507" i="4"/>
  <c r="L507" i="4" s="1"/>
  <c r="J507" i="4"/>
  <c r="H507" i="4"/>
  <c r="I507" i="4" s="1"/>
  <c r="G507" i="4"/>
  <c r="F507" i="4"/>
  <c r="E507" i="4"/>
  <c r="D507" i="4"/>
  <c r="C507" i="4"/>
  <c r="B507" i="4"/>
  <c r="A507" i="4"/>
  <c r="AC506" i="4"/>
  <c r="AB506" i="4"/>
  <c r="AA506" i="4"/>
  <c r="Z506" i="4"/>
  <c r="Y506" i="4"/>
  <c r="X506" i="4"/>
  <c r="W506" i="4"/>
  <c r="V506" i="4"/>
  <c r="T506" i="4"/>
  <c r="U506" i="4" s="1"/>
  <c r="S506" i="4"/>
  <c r="R506" i="4"/>
  <c r="P506" i="4"/>
  <c r="Q506" i="4" s="1"/>
  <c r="O506" i="4"/>
  <c r="N506" i="4"/>
  <c r="M506" i="4"/>
  <c r="K506" i="4"/>
  <c r="L506" i="4" s="1"/>
  <c r="J506" i="4"/>
  <c r="H506" i="4"/>
  <c r="I506" i="4" s="1"/>
  <c r="G506" i="4"/>
  <c r="F506" i="4"/>
  <c r="E506" i="4"/>
  <c r="D506" i="4"/>
  <c r="C506" i="4"/>
  <c r="B506" i="4"/>
  <c r="A506" i="4"/>
  <c r="AG506" i="4" s="1"/>
  <c r="AC505" i="4"/>
  <c r="AB505" i="4"/>
  <c r="AA505" i="4"/>
  <c r="Z505" i="4"/>
  <c r="Y505" i="4"/>
  <c r="X505" i="4"/>
  <c r="W505" i="4"/>
  <c r="V505" i="4"/>
  <c r="T505" i="4"/>
  <c r="U505" i="4" s="1"/>
  <c r="R505" i="4"/>
  <c r="S505" i="4" s="1"/>
  <c r="P505" i="4"/>
  <c r="Q505" i="4" s="1"/>
  <c r="N505" i="4"/>
  <c r="O505" i="4" s="1"/>
  <c r="M505" i="4"/>
  <c r="K505" i="4"/>
  <c r="L505" i="4" s="1"/>
  <c r="J505" i="4"/>
  <c r="I505" i="4"/>
  <c r="H505" i="4"/>
  <c r="G505" i="4"/>
  <c r="F505" i="4"/>
  <c r="E505" i="4"/>
  <c r="D505" i="4"/>
  <c r="C505" i="4"/>
  <c r="B505" i="4"/>
  <c r="A505" i="4"/>
  <c r="AG505" i="4" s="1"/>
  <c r="AC504" i="4"/>
  <c r="AB504" i="4"/>
  <c r="AA504" i="4"/>
  <c r="Z504" i="4"/>
  <c r="Y504" i="4"/>
  <c r="X504" i="4"/>
  <c r="W504" i="4"/>
  <c r="V504" i="4"/>
  <c r="T504" i="4"/>
  <c r="U504" i="4" s="1"/>
  <c r="R504" i="4"/>
  <c r="S504" i="4" s="1"/>
  <c r="P504" i="4"/>
  <c r="Q504" i="4" s="1"/>
  <c r="N504" i="4"/>
  <c r="O504" i="4" s="1"/>
  <c r="M504" i="4"/>
  <c r="K504" i="4"/>
  <c r="L504" i="4" s="1"/>
  <c r="J504" i="4"/>
  <c r="H504" i="4"/>
  <c r="I504" i="4" s="1"/>
  <c r="G504" i="4"/>
  <c r="F504" i="4"/>
  <c r="E504" i="4"/>
  <c r="D504" i="4"/>
  <c r="C504" i="4"/>
  <c r="B504" i="4"/>
  <c r="A504" i="4"/>
  <c r="AG504" i="4" s="1"/>
  <c r="AC503" i="4"/>
  <c r="AB503" i="4"/>
  <c r="AA503" i="4"/>
  <c r="Z503" i="4"/>
  <c r="Y503" i="4"/>
  <c r="X503" i="4"/>
  <c r="W503" i="4"/>
  <c r="V503" i="4"/>
  <c r="T503" i="4"/>
  <c r="U503" i="4" s="1"/>
  <c r="R503" i="4"/>
  <c r="S503" i="4" s="1"/>
  <c r="P503" i="4"/>
  <c r="Q503" i="4" s="1"/>
  <c r="N503" i="4"/>
  <c r="O503" i="4" s="1"/>
  <c r="M503" i="4"/>
  <c r="K503" i="4"/>
  <c r="L503" i="4" s="1"/>
  <c r="J503" i="4"/>
  <c r="H503" i="4"/>
  <c r="I503" i="4" s="1"/>
  <c r="G503" i="4"/>
  <c r="F503" i="4"/>
  <c r="E503" i="4"/>
  <c r="D503" i="4"/>
  <c r="C503" i="4"/>
  <c r="B503" i="4"/>
  <c r="A503" i="4"/>
  <c r="AC502" i="4"/>
  <c r="AB502" i="4"/>
  <c r="AA502" i="4"/>
  <c r="Z502" i="4"/>
  <c r="Y502" i="4"/>
  <c r="X502" i="4"/>
  <c r="W502" i="4"/>
  <c r="V502" i="4"/>
  <c r="T502" i="4"/>
  <c r="U502" i="4" s="1"/>
  <c r="R502" i="4"/>
  <c r="S502" i="4" s="1"/>
  <c r="P502" i="4"/>
  <c r="Q502" i="4" s="1"/>
  <c r="N502" i="4"/>
  <c r="O502" i="4" s="1"/>
  <c r="M502" i="4"/>
  <c r="K502" i="4"/>
  <c r="L502" i="4" s="1"/>
  <c r="J502" i="4"/>
  <c r="H502" i="4"/>
  <c r="I502" i="4" s="1"/>
  <c r="G502" i="4"/>
  <c r="F502" i="4"/>
  <c r="E502" i="4"/>
  <c r="D502" i="4"/>
  <c r="C502" i="4"/>
  <c r="B502" i="4"/>
  <c r="A502" i="4"/>
  <c r="AG502" i="4" s="1"/>
  <c r="AC501" i="4"/>
  <c r="AB501" i="4"/>
  <c r="AA501" i="4"/>
  <c r="Z501" i="4"/>
  <c r="Y501" i="4"/>
  <c r="X501" i="4"/>
  <c r="W501" i="4"/>
  <c r="V501" i="4"/>
  <c r="U501" i="4"/>
  <c r="T501" i="4"/>
  <c r="R501" i="4"/>
  <c r="S501" i="4" s="1"/>
  <c r="P501" i="4"/>
  <c r="Q501" i="4" s="1"/>
  <c r="N501" i="4"/>
  <c r="O501" i="4" s="1"/>
  <c r="M501" i="4"/>
  <c r="K501" i="4"/>
  <c r="L501" i="4" s="1"/>
  <c r="J501" i="4"/>
  <c r="H501" i="4"/>
  <c r="I501" i="4" s="1"/>
  <c r="G501" i="4"/>
  <c r="F501" i="4"/>
  <c r="E501" i="4"/>
  <c r="D501" i="4"/>
  <c r="C501" i="4"/>
  <c r="B501" i="4"/>
  <c r="A501" i="4"/>
  <c r="AG501" i="4" s="1"/>
  <c r="AC500" i="4"/>
  <c r="AB500" i="4"/>
  <c r="AA500" i="4"/>
  <c r="Z500" i="4"/>
  <c r="Y500" i="4"/>
  <c r="X500" i="4"/>
  <c r="W500" i="4"/>
  <c r="V500" i="4"/>
  <c r="U500" i="4"/>
  <c r="T500" i="4"/>
  <c r="R500" i="4"/>
  <c r="S500" i="4" s="1"/>
  <c r="P500" i="4"/>
  <c r="Q500" i="4" s="1"/>
  <c r="N500" i="4"/>
  <c r="O500" i="4" s="1"/>
  <c r="M500" i="4"/>
  <c r="K500" i="4"/>
  <c r="L500" i="4" s="1"/>
  <c r="J500" i="4"/>
  <c r="H500" i="4"/>
  <c r="I500" i="4" s="1"/>
  <c r="G500" i="4"/>
  <c r="F500" i="4"/>
  <c r="E500" i="4"/>
  <c r="D500" i="4"/>
  <c r="C500" i="4"/>
  <c r="B500" i="4"/>
  <c r="A500" i="4"/>
  <c r="AC499" i="4"/>
  <c r="AB499" i="4"/>
  <c r="AA499" i="4"/>
  <c r="Z499" i="4"/>
  <c r="Y499" i="4"/>
  <c r="X499" i="4"/>
  <c r="W499" i="4"/>
  <c r="V499" i="4"/>
  <c r="T499" i="4"/>
  <c r="U499" i="4" s="1"/>
  <c r="R499" i="4"/>
  <c r="S499" i="4" s="1"/>
  <c r="P499" i="4"/>
  <c r="Q499" i="4" s="1"/>
  <c r="N499" i="4"/>
  <c r="O499" i="4" s="1"/>
  <c r="M499" i="4"/>
  <c r="K499" i="4"/>
  <c r="L499" i="4" s="1"/>
  <c r="J499" i="4"/>
  <c r="H499" i="4"/>
  <c r="I499" i="4" s="1"/>
  <c r="G499" i="4"/>
  <c r="F499" i="4"/>
  <c r="E499" i="4"/>
  <c r="D499" i="4"/>
  <c r="C499" i="4"/>
  <c r="B499" i="4"/>
  <c r="A499" i="4"/>
  <c r="AC498" i="4"/>
  <c r="AB498" i="4"/>
  <c r="AA498" i="4"/>
  <c r="Z498" i="4"/>
  <c r="Y498" i="4"/>
  <c r="X498" i="4"/>
  <c r="W498" i="4"/>
  <c r="V498" i="4"/>
  <c r="T498" i="4"/>
  <c r="U498" i="4" s="1"/>
  <c r="R498" i="4"/>
  <c r="S498" i="4" s="1"/>
  <c r="P498" i="4"/>
  <c r="Q498" i="4" s="1"/>
  <c r="N498" i="4"/>
  <c r="O498" i="4" s="1"/>
  <c r="M498" i="4"/>
  <c r="K498" i="4"/>
  <c r="L498" i="4" s="1"/>
  <c r="J498" i="4"/>
  <c r="H498" i="4"/>
  <c r="I498" i="4" s="1"/>
  <c r="G498" i="4"/>
  <c r="F498" i="4"/>
  <c r="E498" i="4"/>
  <c r="D498" i="4"/>
  <c r="C498" i="4"/>
  <c r="B498" i="4"/>
  <c r="A498" i="4"/>
  <c r="AG498" i="4" s="1"/>
  <c r="AC497" i="4"/>
  <c r="AB497" i="4"/>
  <c r="AA497" i="4"/>
  <c r="Z497" i="4"/>
  <c r="Y497" i="4"/>
  <c r="X497" i="4"/>
  <c r="W497" i="4"/>
  <c r="V497" i="4"/>
  <c r="T497" i="4"/>
  <c r="U497" i="4" s="1"/>
  <c r="R497" i="4"/>
  <c r="S497" i="4" s="1"/>
  <c r="P497" i="4"/>
  <c r="Q497" i="4" s="1"/>
  <c r="N497" i="4"/>
  <c r="O497" i="4" s="1"/>
  <c r="M497" i="4"/>
  <c r="K497" i="4"/>
  <c r="L497" i="4" s="1"/>
  <c r="J497" i="4"/>
  <c r="H497" i="4"/>
  <c r="I497" i="4" s="1"/>
  <c r="G497" i="4"/>
  <c r="F497" i="4"/>
  <c r="E497" i="4"/>
  <c r="D497" i="4"/>
  <c r="C497" i="4"/>
  <c r="B497" i="4"/>
  <c r="A497" i="4"/>
  <c r="AC496" i="4"/>
  <c r="AB496" i="4"/>
  <c r="AA496" i="4"/>
  <c r="Z496" i="4"/>
  <c r="Y496" i="4"/>
  <c r="X496" i="4"/>
  <c r="W496" i="4"/>
  <c r="V496" i="4"/>
  <c r="T496" i="4"/>
  <c r="U496" i="4" s="1"/>
  <c r="R496" i="4"/>
  <c r="S496" i="4" s="1"/>
  <c r="Q496" i="4"/>
  <c r="P496" i="4"/>
  <c r="N496" i="4"/>
  <c r="O496" i="4" s="1"/>
  <c r="M496" i="4"/>
  <c r="K496" i="4"/>
  <c r="L496" i="4" s="1"/>
  <c r="J496" i="4"/>
  <c r="H496" i="4"/>
  <c r="I496" i="4" s="1"/>
  <c r="G496" i="4"/>
  <c r="F496" i="4"/>
  <c r="E496" i="4"/>
  <c r="D496" i="4"/>
  <c r="C496" i="4"/>
  <c r="B496" i="4"/>
  <c r="A496" i="4"/>
  <c r="AG496" i="4" s="1"/>
  <c r="AC495" i="4"/>
  <c r="AB495" i="4"/>
  <c r="AA495" i="4"/>
  <c r="Z495" i="4"/>
  <c r="Y495" i="4"/>
  <c r="X495" i="4"/>
  <c r="W495" i="4"/>
  <c r="V495" i="4"/>
  <c r="T495" i="4"/>
  <c r="U495" i="4" s="1"/>
  <c r="R495" i="4"/>
  <c r="S495" i="4" s="1"/>
  <c r="P495" i="4"/>
  <c r="Q495" i="4" s="1"/>
  <c r="N495" i="4"/>
  <c r="O495" i="4" s="1"/>
  <c r="M495" i="4"/>
  <c r="K495" i="4"/>
  <c r="L495" i="4" s="1"/>
  <c r="J495" i="4"/>
  <c r="H495" i="4"/>
  <c r="I495" i="4" s="1"/>
  <c r="G495" i="4"/>
  <c r="F495" i="4"/>
  <c r="E495" i="4"/>
  <c r="D495" i="4"/>
  <c r="C495" i="4"/>
  <c r="B495" i="4"/>
  <c r="A495" i="4"/>
  <c r="AC494" i="4"/>
  <c r="AB494" i="4"/>
  <c r="AA494" i="4"/>
  <c r="Z494" i="4"/>
  <c r="Y494" i="4"/>
  <c r="X494" i="4"/>
  <c r="W494" i="4"/>
  <c r="V494" i="4"/>
  <c r="T494" i="4"/>
  <c r="U494" i="4" s="1"/>
  <c r="R494" i="4"/>
  <c r="S494" i="4" s="1"/>
  <c r="P494" i="4"/>
  <c r="Q494" i="4" s="1"/>
  <c r="N494" i="4"/>
  <c r="O494" i="4" s="1"/>
  <c r="M494" i="4"/>
  <c r="K494" i="4"/>
  <c r="L494" i="4" s="1"/>
  <c r="J494" i="4"/>
  <c r="I494" i="4"/>
  <c r="H494" i="4"/>
  <c r="G494" i="4"/>
  <c r="F494" i="4"/>
  <c r="E494" i="4"/>
  <c r="D494" i="4"/>
  <c r="C494" i="4"/>
  <c r="B494" i="4"/>
  <c r="A494" i="4"/>
  <c r="AG494" i="4" s="1"/>
  <c r="AC493" i="4"/>
  <c r="AB493" i="4"/>
  <c r="AA493" i="4"/>
  <c r="Z493" i="4"/>
  <c r="Y493" i="4"/>
  <c r="X493" i="4"/>
  <c r="W493" i="4"/>
  <c r="V493" i="4"/>
  <c r="T493" i="4"/>
  <c r="U493" i="4" s="1"/>
  <c r="R493" i="4"/>
  <c r="S493" i="4" s="1"/>
  <c r="P493" i="4"/>
  <c r="Q493" i="4" s="1"/>
  <c r="N493" i="4"/>
  <c r="O493" i="4" s="1"/>
  <c r="M493" i="4"/>
  <c r="K493" i="4"/>
  <c r="L493" i="4" s="1"/>
  <c r="J493" i="4"/>
  <c r="H493" i="4"/>
  <c r="I493" i="4" s="1"/>
  <c r="G493" i="4"/>
  <c r="F493" i="4"/>
  <c r="E493" i="4"/>
  <c r="D493" i="4"/>
  <c r="C493" i="4"/>
  <c r="B493" i="4"/>
  <c r="A493" i="4"/>
  <c r="AC492" i="4"/>
  <c r="AB492" i="4"/>
  <c r="AA492" i="4"/>
  <c r="Z492" i="4"/>
  <c r="Y492" i="4"/>
  <c r="X492" i="4"/>
  <c r="W492" i="4"/>
  <c r="V492" i="4"/>
  <c r="T492" i="4"/>
  <c r="U492" i="4" s="1"/>
  <c r="R492" i="4"/>
  <c r="S492" i="4" s="1"/>
  <c r="P492" i="4"/>
  <c r="Q492" i="4" s="1"/>
  <c r="N492" i="4"/>
  <c r="O492" i="4" s="1"/>
  <c r="M492" i="4"/>
  <c r="K492" i="4"/>
  <c r="L492" i="4" s="1"/>
  <c r="J492" i="4"/>
  <c r="H492" i="4"/>
  <c r="I492" i="4" s="1"/>
  <c r="G492" i="4"/>
  <c r="F492" i="4"/>
  <c r="E492" i="4"/>
  <c r="D492" i="4"/>
  <c r="C492" i="4"/>
  <c r="B492" i="4"/>
  <c r="A492" i="4"/>
  <c r="AC491" i="4"/>
  <c r="AB491" i="4"/>
  <c r="AA491" i="4"/>
  <c r="Z491" i="4"/>
  <c r="Y491" i="4"/>
  <c r="X491" i="4"/>
  <c r="W491" i="4"/>
  <c r="V491" i="4"/>
  <c r="T491" i="4"/>
  <c r="U491" i="4" s="1"/>
  <c r="R491" i="4"/>
  <c r="S491" i="4" s="1"/>
  <c r="P491" i="4"/>
  <c r="Q491" i="4" s="1"/>
  <c r="N491" i="4"/>
  <c r="O491" i="4" s="1"/>
  <c r="M491" i="4"/>
  <c r="K491" i="4"/>
  <c r="L491" i="4" s="1"/>
  <c r="J491" i="4"/>
  <c r="H491" i="4"/>
  <c r="I491" i="4" s="1"/>
  <c r="G491" i="4"/>
  <c r="F491" i="4"/>
  <c r="E491" i="4"/>
  <c r="D491" i="4"/>
  <c r="C491" i="4"/>
  <c r="B491" i="4"/>
  <c r="A491" i="4"/>
  <c r="AD491" i="4" s="1"/>
  <c r="AE491" i="4" s="1"/>
  <c r="AC490" i="4"/>
  <c r="AB490" i="4"/>
  <c r="AA490" i="4"/>
  <c r="Z490" i="4"/>
  <c r="Y490" i="4"/>
  <c r="X490" i="4"/>
  <c r="W490" i="4"/>
  <c r="V490" i="4"/>
  <c r="T490" i="4"/>
  <c r="U490" i="4" s="1"/>
  <c r="R490" i="4"/>
  <c r="S490" i="4" s="1"/>
  <c r="P490" i="4"/>
  <c r="Q490" i="4" s="1"/>
  <c r="N490" i="4"/>
  <c r="O490" i="4" s="1"/>
  <c r="M490" i="4"/>
  <c r="K490" i="4"/>
  <c r="L490" i="4" s="1"/>
  <c r="J490" i="4"/>
  <c r="H490" i="4"/>
  <c r="I490" i="4" s="1"/>
  <c r="G490" i="4"/>
  <c r="F490" i="4"/>
  <c r="E490" i="4"/>
  <c r="D490" i="4"/>
  <c r="C490" i="4"/>
  <c r="B490" i="4"/>
  <c r="A490" i="4"/>
  <c r="AD490" i="4" s="1"/>
  <c r="AE490" i="4" s="1"/>
  <c r="AC489" i="4"/>
  <c r="AB489" i="4"/>
  <c r="AA489" i="4"/>
  <c r="Z489" i="4"/>
  <c r="Y489" i="4"/>
  <c r="X489" i="4"/>
  <c r="W489" i="4"/>
  <c r="V489" i="4"/>
  <c r="T489" i="4"/>
  <c r="U489" i="4" s="1"/>
  <c r="R489" i="4"/>
  <c r="S489" i="4" s="1"/>
  <c r="P489" i="4"/>
  <c r="Q489" i="4" s="1"/>
  <c r="N489" i="4"/>
  <c r="O489" i="4" s="1"/>
  <c r="M489" i="4"/>
  <c r="K489" i="4"/>
  <c r="L489" i="4" s="1"/>
  <c r="J489" i="4"/>
  <c r="H489" i="4"/>
  <c r="I489" i="4" s="1"/>
  <c r="G489" i="4"/>
  <c r="F489" i="4"/>
  <c r="E489" i="4"/>
  <c r="D489" i="4"/>
  <c r="C489" i="4"/>
  <c r="B489" i="4"/>
  <c r="A489" i="4"/>
  <c r="AF489" i="4" s="1"/>
  <c r="AC488" i="4"/>
  <c r="AB488" i="4"/>
  <c r="AA488" i="4"/>
  <c r="Z488" i="4"/>
  <c r="Y488" i="4"/>
  <c r="X488" i="4"/>
  <c r="W488" i="4"/>
  <c r="V488" i="4"/>
  <c r="T488" i="4"/>
  <c r="U488" i="4" s="1"/>
  <c r="R488" i="4"/>
  <c r="S488" i="4" s="1"/>
  <c r="P488" i="4"/>
  <c r="Q488" i="4" s="1"/>
  <c r="N488" i="4"/>
  <c r="O488" i="4" s="1"/>
  <c r="M488" i="4"/>
  <c r="K488" i="4"/>
  <c r="L488" i="4" s="1"/>
  <c r="J488" i="4"/>
  <c r="H488" i="4"/>
  <c r="I488" i="4" s="1"/>
  <c r="G488" i="4"/>
  <c r="F488" i="4"/>
  <c r="E488" i="4"/>
  <c r="D488" i="4"/>
  <c r="C488" i="4"/>
  <c r="B488" i="4"/>
  <c r="A488" i="4"/>
  <c r="AG488" i="4" s="1"/>
  <c r="AC487" i="4"/>
  <c r="AB487" i="4"/>
  <c r="AA487" i="4"/>
  <c r="Z487" i="4"/>
  <c r="Y487" i="4"/>
  <c r="X487" i="4"/>
  <c r="W487" i="4"/>
  <c r="V487" i="4"/>
  <c r="T487" i="4"/>
  <c r="U487" i="4" s="1"/>
  <c r="R487" i="4"/>
  <c r="S487" i="4" s="1"/>
  <c r="P487" i="4"/>
  <c r="Q487" i="4" s="1"/>
  <c r="N487" i="4"/>
  <c r="O487" i="4" s="1"/>
  <c r="M487" i="4"/>
  <c r="K487" i="4"/>
  <c r="L487" i="4" s="1"/>
  <c r="J487" i="4"/>
  <c r="H487" i="4"/>
  <c r="I487" i="4" s="1"/>
  <c r="G487" i="4"/>
  <c r="F487" i="4"/>
  <c r="E487" i="4"/>
  <c r="D487" i="4"/>
  <c r="C487" i="4"/>
  <c r="B487" i="4"/>
  <c r="A487" i="4"/>
  <c r="AC486" i="4"/>
  <c r="AB486" i="4"/>
  <c r="AA486" i="4"/>
  <c r="Z486" i="4"/>
  <c r="Y486" i="4"/>
  <c r="X486" i="4"/>
  <c r="W486" i="4"/>
  <c r="V486" i="4"/>
  <c r="T486" i="4"/>
  <c r="U486" i="4" s="1"/>
  <c r="R486" i="4"/>
  <c r="S486" i="4" s="1"/>
  <c r="P486" i="4"/>
  <c r="Q486" i="4" s="1"/>
  <c r="N486" i="4"/>
  <c r="O486" i="4" s="1"/>
  <c r="M486" i="4"/>
  <c r="K486" i="4"/>
  <c r="L486" i="4" s="1"/>
  <c r="J486" i="4"/>
  <c r="H486" i="4"/>
  <c r="I486" i="4" s="1"/>
  <c r="G486" i="4"/>
  <c r="F486" i="4"/>
  <c r="E486" i="4"/>
  <c r="D486" i="4"/>
  <c r="C486" i="4"/>
  <c r="B486" i="4"/>
  <c r="A486" i="4"/>
  <c r="AG486" i="4" s="1"/>
  <c r="AC485" i="4"/>
  <c r="AB485" i="4"/>
  <c r="AA485" i="4"/>
  <c r="Z485" i="4"/>
  <c r="Y485" i="4"/>
  <c r="X485" i="4"/>
  <c r="W485" i="4"/>
  <c r="V485" i="4"/>
  <c r="T485" i="4"/>
  <c r="U485" i="4" s="1"/>
  <c r="R485" i="4"/>
  <c r="S485" i="4" s="1"/>
  <c r="P485" i="4"/>
  <c r="Q485" i="4" s="1"/>
  <c r="N485" i="4"/>
  <c r="O485" i="4" s="1"/>
  <c r="M485" i="4"/>
  <c r="K485" i="4"/>
  <c r="L485" i="4" s="1"/>
  <c r="J485" i="4"/>
  <c r="H485" i="4"/>
  <c r="I485" i="4" s="1"/>
  <c r="G485" i="4"/>
  <c r="F485" i="4"/>
  <c r="E485" i="4"/>
  <c r="D485" i="4"/>
  <c r="C485" i="4"/>
  <c r="B485" i="4"/>
  <c r="A485" i="4"/>
  <c r="AG485" i="4" s="1"/>
  <c r="AC484" i="4"/>
  <c r="AB484" i="4"/>
  <c r="AA484" i="4"/>
  <c r="Z484" i="4"/>
  <c r="Y484" i="4"/>
  <c r="X484" i="4"/>
  <c r="W484" i="4"/>
  <c r="V484" i="4"/>
  <c r="T484" i="4"/>
  <c r="U484" i="4" s="1"/>
  <c r="R484" i="4"/>
  <c r="S484" i="4" s="1"/>
  <c r="Q484" i="4"/>
  <c r="P484" i="4"/>
  <c r="N484" i="4"/>
  <c r="O484" i="4" s="1"/>
  <c r="M484" i="4"/>
  <c r="K484" i="4"/>
  <c r="L484" i="4" s="1"/>
  <c r="J484" i="4"/>
  <c r="H484" i="4"/>
  <c r="I484" i="4" s="1"/>
  <c r="G484" i="4"/>
  <c r="F484" i="4"/>
  <c r="E484" i="4"/>
  <c r="D484" i="4"/>
  <c r="C484" i="4"/>
  <c r="B484" i="4"/>
  <c r="A484" i="4"/>
  <c r="AC483" i="4"/>
  <c r="AB483" i="4"/>
  <c r="AA483" i="4"/>
  <c r="Z483" i="4"/>
  <c r="Y483" i="4"/>
  <c r="X483" i="4"/>
  <c r="W483" i="4"/>
  <c r="V483" i="4"/>
  <c r="T483" i="4"/>
  <c r="U483" i="4" s="1"/>
  <c r="R483" i="4"/>
  <c r="S483" i="4" s="1"/>
  <c r="P483" i="4"/>
  <c r="Q483" i="4" s="1"/>
  <c r="N483" i="4"/>
  <c r="O483" i="4" s="1"/>
  <c r="M483" i="4"/>
  <c r="K483" i="4"/>
  <c r="L483" i="4" s="1"/>
  <c r="J483" i="4"/>
  <c r="H483" i="4"/>
  <c r="I483" i="4" s="1"/>
  <c r="G483" i="4"/>
  <c r="F483" i="4"/>
  <c r="E483" i="4"/>
  <c r="D483" i="4"/>
  <c r="C483" i="4"/>
  <c r="B483" i="4"/>
  <c r="A483" i="4"/>
  <c r="AC482" i="4"/>
  <c r="AB482" i="4"/>
  <c r="AA482" i="4"/>
  <c r="Z482" i="4"/>
  <c r="Y482" i="4"/>
  <c r="X482" i="4"/>
  <c r="W482" i="4"/>
  <c r="V482" i="4"/>
  <c r="T482" i="4"/>
  <c r="U482" i="4" s="1"/>
  <c r="R482" i="4"/>
  <c r="S482" i="4" s="1"/>
  <c r="P482" i="4"/>
  <c r="Q482" i="4" s="1"/>
  <c r="N482" i="4"/>
  <c r="O482" i="4" s="1"/>
  <c r="M482" i="4"/>
  <c r="K482" i="4"/>
  <c r="L482" i="4" s="1"/>
  <c r="J482" i="4"/>
  <c r="H482" i="4"/>
  <c r="I482" i="4" s="1"/>
  <c r="G482" i="4"/>
  <c r="F482" i="4"/>
  <c r="E482" i="4"/>
  <c r="D482" i="4"/>
  <c r="C482" i="4"/>
  <c r="B482" i="4"/>
  <c r="A482" i="4"/>
  <c r="AD482" i="4" s="1"/>
  <c r="AE482" i="4" s="1"/>
  <c r="AC481" i="4"/>
  <c r="AB481" i="4"/>
  <c r="AA481" i="4"/>
  <c r="Z481" i="4"/>
  <c r="Y481" i="4"/>
  <c r="X481" i="4"/>
  <c r="W481" i="4"/>
  <c r="V481" i="4"/>
  <c r="T481" i="4"/>
  <c r="U481" i="4" s="1"/>
  <c r="R481" i="4"/>
  <c r="S481" i="4" s="1"/>
  <c r="P481" i="4"/>
  <c r="Q481" i="4" s="1"/>
  <c r="N481" i="4"/>
  <c r="O481" i="4" s="1"/>
  <c r="M481" i="4"/>
  <c r="K481" i="4"/>
  <c r="L481" i="4" s="1"/>
  <c r="J481" i="4"/>
  <c r="H481" i="4"/>
  <c r="I481" i="4" s="1"/>
  <c r="G481" i="4"/>
  <c r="F481" i="4"/>
  <c r="E481" i="4"/>
  <c r="D481" i="4"/>
  <c r="C481" i="4"/>
  <c r="B481" i="4"/>
  <c r="A481" i="4"/>
  <c r="AG481" i="4" s="1"/>
  <c r="AC480" i="4"/>
  <c r="AB480" i="4"/>
  <c r="AA480" i="4"/>
  <c r="Z480" i="4"/>
  <c r="Y480" i="4"/>
  <c r="X480" i="4"/>
  <c r="W480" i="4"/>
  <c r="V480" i="4"/>
  <c r="T480" i="4"/>
  <c r="U480" i="4" s="1"/>
  <c r="R480" i="4"/>
  <c r="S480" i="4" s="1"/>
  <c r="P480" i="4"/>
  <c r="Q480" i="4" s="1"/>
  <c r="N480" i="4"/>
  <c r="O480" i="4" s="1"/>
  <c r="M480" i="4"/>
  <c r="K480" i="4"/>
  <c r="L480" i="4" s="1"/>
  <c r="J480" i="4"/>
  <c r="H480" i="4"/>
  <c r="I480" i="4" s="1"/>
  <c r="G480" i="4"/>
  <c r="F480" i="4"/>
  <c r="E480" i="4"/>
  <c r="D480" i="4"/>
  <c r="C480" i="4"/>
  <c r="B480" i="4"/>
  <c r="A480" i="4"/>
  <c r="AG480" i="4" s="1"/>
  <c r="AC479" i="4"/>
  <c r="AB479" i="4"/>
  <c r="AA479" i="4"/>
  <c r="Z479" i="4"/>
  <c r="Y479" i="4"/>
  <c r="X479" i="4"/>
  <c r="W479" i="4"/>
  <c r="V479" i="4"/>
  <c r="T479" i="4"/>
  <c r="U479" i="4" s="1"/>
  <c r="R479" i="4"/>
  <c r="S479" i="4" s="1"/>
  <c r="P479" i="4"/>
  <c r="Q479" i="4" s="1"/>
  <c r="N479" i="4"/>
  <c r="O479" i="4" s="1"/>
  <c r="M479" i="4"/>
  <c r="K479" i="4"/>
  <c r="L479" i="4" s="1"/>
  <c r="J479" i="4"/>
  <c r="H479" i="4"/>
  <c r="I479" i="4" s="1"/>
  <c r="G479" i="4"/>
  <c r="F479" i="4"/>
  <c r="E479" i="4"/>
  <c r="D479" i="4"/>
  <c r="C479" i="4"/>
  <c r="B479" i="4"/>
  <c r="A479" i="4"/>
  <c r="AC478" i="4"/>
  <c r="AB478" i="4"/>
  <c r="AA478" i="4"/>
  <c r="Z478" i="4"/>
  <c r="Y478" i="4"/>
  <c r="X478" i="4"/>
  <c r="W478" i="4"/>
  <c r="V478" i="4"/>
  <c r="T478" i="4"/>
  <c r="U478" i="4" s="1"/>
  <c r="R478" i="4"/>
  <c r="S478" i="4" s="1"/>
  <c r="P478" i="4"/>
  <c r="Q478" i="4" s="1"/>
  <c r="N478" i="4"/>
  <c r="O478" i="4" s="1"/>
  <c r="M478" i="4"/>
  <c r="K478" i="4"/>
  <c r="L478" i="4" s="1"/>
  <c r="J478" i="4"/>
  <c r="H478" i="4"/>
  <c r="I478" i="4" s="1"/>
  <c r="G478" i="4"/>
  <c r="F478" i="4"/>
  <c r="E478" i="4"/>
  <c r="D478" i="4"/>
  <c r="C478" i="4"/>
  <c r="B478" i="4"/>
  <c r="A478" i="4"/>
  <c r="AG478" i="4" s="1"/>
  <c r="AC477" i="4"/>
  <c r="AB477" i="4"/>
  <c r="AA477" i="4"/>
  <c r="Z477" i="4"/>
  <c r="Y477" i="4"/>
  <c r="X477" i="4"/>
  <c r="W477" i="4"/>
  <c r="V477" i="4"/>
  <c r="T477" i="4"/>
  <c r="U477" i="4" s="1"/>
  <c r="R477" i="4"/>
  <c r="S477" i="4" s="1"/>
  <c r="P477" i="4"/>
  <c r="Q477" i="4" s="1"/>
  <c r="N477" i="4"/>
  <c r="O477" i="4" s="1"/>
  <c r="M477" i="4"/>
  <c r="K477" i="4"/>
  <c r="L477" i="4" s="1"/>
  <c r="J477" i="4"/>
  <c r="H477" i="4"/>
  <c r="I477" i="4" s="1"/>
  <c r="G477" i="4"/>
  <c r="F477" i="4"/>
  <c r="E477" i="4"/>
  <c r="D477" i="4"/>
  <c r="C477" i="4"/>
  <c r="B477" i="4"/>
  <c r="A477" i="4"/>
  <c r="AG477" i="4" s="1"/>
  <c r="AC476" i="4"/>
  <c r="AB476" i="4"/>
  <c r="AA476" i="4"/>
  <c r="Z476" i="4"/>
  <c r="Y476" i="4"/>
  <c r="X476" i="4"/>
  <c r="W476" i="4"/>
  <c r="V476" i="4"/>
  <c r="T476" i="4"/>
  <c r="U476" i="4" s="1"/>
  <c r="R476" i="4"/>
  <c r="S476" i="4" s="1"/>
  <c r="P476" i="4"/>
  <c r="Q476" i="4" s="1"/>
  <c r="N476" i="4"/>
  <c r="O476" i="4" s="1"/>
  <c r="M476" i="4"/>
  <c r="K476" i="4"/>
  <c r="L476" i="4" s="1"/>
  <c r="J476" i="4"/>
  <c r="H476" i="4"/>
  <c r="I476" i="4" s="1"/>
  <c r="G476" i="4"/>
  <c r="F476" i="4"/>
  <c r="E476" i="4"/>
  <c r="D476" i="4"/>
  <c r="C476" i="4"/>
  <c r="B476" i="4"/>
  <c r="A476" i="4"/>
  <c r="AC475" i="4"/>
  <c r="AB475" i="4"/>
  <c r="AA475" i="4"/>
  <c r="Z475" i="4"/>
  <c r="Y475" i="4"/>
  <c r="X475" i="4"/>
  <c r="W475" i="4"/>
  <c r="V475" i="4"/>
  <c r="T475" i="4"/>
  <c r="U475" i="4" s="1"/>
  <c r="R475" i="4"/>
  <c r="S475" i="4" s="1"/>
  <c r="P475" i="4"/>
  <c r="Q475" i="4" s="1"/>
  <c r="N475" i="4"/>
  <c r="O475" i="4" s="1"/>
  <c r="M475" i="4"/>
  <c r="K475" i="4"/>
  <c r="L475" i="4" s="1"/>
  <c r="J475" i="4"/>
  <c r="H475" i="4"/>
  <c r="I475" i="4" s="1"/>
  <c r="G475" i="4"/>
  <c r="F475" i="4"/>
  <c r="E475" i="4"/>
  <c r="D475" i="4"/>
  <c r="C475" i="4"/>
  <c r="B475" i="4"/>
  <c r="A475" i="4"/>
  <c r="AC474" i="4"/>
  <c r="AB474" i="4"/>
  <c r="AA474" i="4"/>
  <c r="Z474" i="4"/>
  <c r="Y474" i="4"/>
  <c r="X474" i="4"/>
  <c r="W474" i="4"/>
  <c r="V474" i="4"/>
  <c r="T474" i="4"/>
  <c r="U474" i="4" s="1"/>
  <c r="R474" i="4"/>
  <c r="S474" i="4" s="1"/>
  <c r="Q474" i="4"/>
  <c r="P474" i="4"/>
  <c r="N474" i="4"/>
  <c r="O474" i="4" s="1"/>
  <c r="M474" i="4"/>
  <c r="K474" i="4"/>
  <c r="L474" i="4" s="1"/>
  <c r="J474" i="4"/>
  <c r="H474" i="4"/>
  <c r="I474" i="4" s="1"/>
  <c r="G474" i="4"/>
  <c r="F474" i="4"/>
  <c r="E474" i="4"/>
  <c r="D474" i="4"/>
  <c r="C474" i="4"/>
  <c r="B474" i="4"/>
  <c r="A474" i="4"/>
  <c r="AD474" i="4" s="1"/>
  <c r="AE474" i="4" s="1"/>
  <c r="AC473" i="4"/>
  <c r="AB473" i="4"/>
  <c r="AA473" i="4"/>
  <c r="Z473" i="4"/>
  <c r="Y473" i="4"/>
  <c r="X473" i="4"/>
  <c r="W473" i="4"/>
  <c r="V473" i="4"/>
  <c r="T473" i="4"/>
  <c r="U473" i="4" s="1"/>
  <c r="R473" i="4"/>
  <c r="S473" i="4" s="1"/>
  <c r="P473" i="4"/>
  <c r="Q473" i="4" s="1"/>
  <c r="N473" i="4"/>
  <c r="O473" i="4" s="1"/>
  <c r="M473" i="4"/>
  <c r="K473" i="4"/>
  <c r="L473" i="4" s="1"/>
  <c r="J473" i="4"/>
  <c r="H473" i="4"/>
  <c r="I473" i="4" s="1"/>
  <c r="G473" i="4"/>
  <c r="F473" i="4"/>
  <c r="E473" i="4"/>
  <c r="D473" i="4"/>
  <c r="C473" i="4"/>
  <c r="B473" i="4"/>
  <c r="A473" i="4"/>
  <c r="AC472" i="4"/>
  <c r="AB472" i="4"/>
  <c r="AA472" i="4"/>
  <c r="Z472" i="4"/>
  <c r="Y472" i="4"/>
  <c r="X472" i="4"/>
  <c r="W472" i="4"/>
  <c r="V472" i="4"/>
  <c r="T472" i="4"/>
  <c r="U472" i="4" s="1"/>
  <c r="R472" i="4"/>
  <c r="S472" i="4" s="1"/>
  <c r="Q472" i="4"/>
  <c r="P472" i="4"/>
  <c r="N472" i="4"/>
  <c r="O472" i="4" s="1"/>
  <c r="M472" i="4"/>
  <c r="K472" i="4"/>
  <c r="L472" i="4" s="1"/>
  <c r="J472" i="4"/>
  <c r="H472" i="4"/>
  <c r="I472" i="4" s="1"/>
  <c r="G472" i="4"/>
  <c r="F472" i="4"/>
  <c r="E472" i="4"/>
  <c r="D472" i="4"/>
  <c r="C472" i="4"/>
  <c r="B472" i="4"/>
  <c r="A472" i="4"/>
  <c r="AG472" i="4" s="1"/>
  <c r="AC471" i="4"/>
  <c r="AB471" i="4"/>
  <c r="AA471" i="4"/>
  <c r="Z471" i="4"/>
  <c r="Y471" i="4"/>
  <c r="X471" i="4"/>
  <c r="W471" i="4"/>
  <c r="V471" i="4"/>
  <c r="T471" i="4"/>
  <c r="U471" i="4" s="1"/>
  <c r="R471" i="4"/>
  <c r="S471" i="4" s="1"/>
  <c r="P471" i="4"/>
  <c r="Q471" i="4" s="1"/>
  <c r="N471" i="4"/>
  <c r="O471" i="4" s="1"/>
  <c r="M471" i="4"/>
  <c r="K471" i="4"/>
  <c r="L471" i="4" s="1"/>
  <c r="J471" i="4"/>
  <c r="H471" i="4"/>
  <c r="I471" i="4" s="1"/>
  <c r="G471" i="4"/>
  <c r="F471" i="4"/>
  <c r="E471" i="4"/>
  <c r="D471" i="4"/>
  <c r="C471" i="4"/>
  <c r="B471" i="4"/>
  <c r="A471" i="4"/>
  <c r="AC470" i="4"/>
  <c r="AB470" i="4"/>
  <c r="AA470" i="4"/>
  <c r="Z470" i="4"/>
  <c r="Y470" i="4"/>
  <c r="X470" i="4"/>
  <c r="W470" i="4"/>
  <c r="V470" i="4"/>
  <c r="T470" i="4"/>
  <c r="U470" i="4" s="1"/>
  <c r="R470" i="4"/>
  <c r="S470" i="4" s="1"/>
  <c r="P470" i="4"/>
  <c r="Q470" i="4" s="1"/>
  <c r="N470" i="4"/>
  <c r="O470" i="4" s="1"/>
  <c r="M470" i="4"/>
  <c r="K470" i="4"/>
  <c r="L470" i="4" s="1"/>
  <c r="J470" i="4"/>
  <c r="H470" i="4"/>
  <c r="I470" i="4" s="1"/>
  <c r="G470" i="4"/>
  <c r="F470" i="4"/>
  <c r="E470" i="4"/>
  <c r="D470" i="4"/>
  <c r="C470" i="4"/>
  <c r="B470" i="4"/>
  <c r="A470" i="4"/>
  <c r="AC469" i="4"/>
  <c r="AB469" i="4"/>
  <c r="AA469" i="4"/>
  <c r="Z469" i="4"/>
  <c r="Y469" i="4"/>
  <c r="X469" i="4"/>
  <c r="W469" i="4"/>
  <c r="V469" i="4"/>
  <c r="T469" i="4"/>
  <c r="U469" i="4" s="1"/>
  <c r="R469" i="4"/>
  <c r="S469" i="4" s="1"/>
  <c r="P469" i="4"/>
  <c r="Q469" i="4" s="1"/>
  <c r="N469" i="4"/>
  <c r="O469" i="4" s="1"/>
  <c r="M469" i="4"/>
  <c r="K469" i="4"/>
  <c r="L469" i="4" s="1"/>
  <c r="J469" i="4"/>
  <c r="H469" i="4"/>
  <c r="I469" i="4" s="1"/>
  <c r="G469" i="4"/>
  <c r="F469" i="4"/>
  <c r="E469" i="4"/>
  <c r="D469" i="4"/>
  <c r="C469" i="4"/>
  <c r="B469" i="4"/>
  <c r="A469" i="4"/>
  <c r="AC468" i="4"/>
  <c r="AB468" i="4"/>
  <c r="AA468" i="4"/>
  <c r="Z468" i="4"/>
  <c r="Y468" i="4"/>
  <c r="X468" i="4"/>
  <c r="W468" i="4"/>
  <c r="V468" i="4"/>
  <c r="T468" i="4"/>
  <c r="U468" i="4" s="1"/>
  <c r="R468" i="4"/>
  <c r="S468" i="4" s="1"/>
  <c r="P468" i="4"/>
  <c r="Q468" i="4" s="1"/>
  <c r="N468" i="4"/>
  <c r="O468" i="4" s="1"/>
  <c r="M468" i="4"/>
  <c r="K468" i="4"/>
  <c r="L468" i="4" s="1"/>
  <c r="J468" i="4"/>
  <c r="H468" i="4"/>
  <c r="I468" i="4" s="1"/>
  <c r="G468" i="4"/>
  <c r="F468" i="4"/>
  <c r="E468" i="4"/>
  <c r="D468" i="4"/>
  <c r="C468" i="4"/>
  <c r="B468" i="4"/>
  <c r="A468" i="4"/>
  <c r="AF468" i="4" s="1"/>
  <c r="AC467" i="4"/>
  <c r="AB467" i="4"/>
  <c r="AA467" i="4"/>
  <c r="Z467" i="4"/>
  <c r="Y467" i="4"/>
  <c r="X467" i="4"/>
  <c r="W467" i="4"/>
  <c r="V467" i="4"/>
  <c r="T467" i="4"/>
  <c r="U467" i="4" s="1"/>
  <c r="R467" i="4"/>
  <c r="S467" i="4" s="1"/>
  <c r="P467" i="4"/>
  <c r="Q467" i="4" s="1"/>
  <c r="N467" i="4"/>
  <c r="O467" i="4" s="1"/>
  <c r="M467" i="4"/>
  <c r="K467" i="4"/>
  <c r="L467" i="4" s="1"/>
  <c r="J467" i="4"/>
  <c r="H467" i="4"/>
  <c r="I467" i="4" s="1"/>
  <c r="G467" i="4"/>
  <c r="F467" i="4"/>
  <c r="E467" i="4"/>
  <c r="D467" i="4"/>
  <c r="C467" i="4"/>
  <c r="B467" i="4"/>
  <c r="A467" i="4"/>
  <c r="AC466" i="4"/>
  <c r="AB466" i="4"/>
  <c r="AA466" i="4"/>
  <c r="Z466" i="4"/>
  <c r="Y466" i="4"/>
  <c r="X466" i="4"/>
  <c r="W466" i="4"/>
  <c r="V466" i="4"/>
  <c r="T466" i="4"/>
  <c r="U466" i="4" s="1"/>
  <c r="R466" i="4"/>
  <c r="S466" i="4" s="1"/>
  <c r="P466" i="4"/>
  <c r="Q466" i="4" s="1"/>
  <c r="N466" i="4"/>
  <c r="O466" i="4" s="1"/>
  <c r="M466" i="4"/>
  <c r="K466" i="4"/>
  <c r="L466" i="4" s="1"/>
  <c r="J466" i="4"/>
  <c r="H466" i="4"/>
  <c r="I466" i="4" s="1"/>
  <c r="G466" i="4"/>
  <c r="F466" i="4"/>
  <c r="E466" i="4"/>
  <c r="D466" i="4"/>
  <c r="C466" i="4"/>
  <c r="B466" i="4"/>
  <c r="A466" i="4"/>
  <c r="AD466" i="4" s="1"/>
  <c r="AE466" i="4" s="1"/>
  <c r="AC465" i="4"/>
  <c r="AB465" i="4"/>
  <c r="AA465" i="4"/>
  <c r="Z465" i="4"/>
  <c r="Y465" i="4"/>
  <c r="X465" i="4"/>
  <c r="W465" i="4"/>
  <c r="V465" i="4"/>
  <c r="T465" i="4"/>
  <c r="U465" i="4" s="1"/>
  <c r="R465" i="4"/>
  <c r="S465" i="4" s="1"/>
  <c r="P465" i="4"/>
  <c r="Q465" i="4" s="1"/>
  <c r="N465" i="4"/>
  <c r="O465" i="4" s="1"/>
  <c r="M465" i="4"/>
  <c r="K465" i="4"/>
  <c r="L465" i="4" s="1"/>
  <c r="J465" i="4"/>
  <c r="H465" i="4"/>
  <c r="I465" i="4" s="1"/>
  <c r="G465" i="4"/>
  <c r="F465" i="4"/>
  <c r="E465" i="4"/>
  <c r="D465" i="4"/>
  <c r="C465" i="4"/>
  <c r="B465" i="4"/>
  <c r="A465" i="4"/>
  <c r="AD465" i="4" s="1"/>
  <c r="AE465" i="4" s="1"/>
  <c r="AC464" i="4"/>
  <c r="AB464" i="4"/>
  <c r="AA464" i="4"/>
  <c r="Z464" i="4"/>
  <c r="Y464" i="4"/>
  <c r="X464" i="4"/>
  <c r="W464" i="4"/>
  <c r="V464" i="4"/>
  <c r="T464" i="4"/>
  <c r="U464" i="4" s="1"/>
  <c r="R464" i="4"/>
  <c r="S464" i="4" s="1"/>
  <c r="P464" i="4"/>
  <c r="Q464" i="4" s="1"/>
  <c r="N464" i="4"/>
  <c r="O464" i="4" s="1"/>
  <c r="M464" i="4"/>
  <c r="K464" i="4"/>
  <c r="L464" i="4" s="1"/>
  <c r="J464" i="4"/>
  <c r="H464" i="4"/>
  <c r="I464" i="4" s="1"/>
  <c r="G464" i="4"/>
  <c r="F464" i="4"/>
  <c r="E464" i="4"/>
  <c r="D464" i="4"/>
  <c r="C464" i="4"/>
  <c r="B464" i="4"/>
  <c r="A464" i="4"/>
  <c r="AD464" i="4" s="1"/>
  <c r="AE464" i="4" s="1"/>
  <c r="AC463" i="4"/>
  <c r="AB463" i="4"/>
  <c r="AA463" i="4"/>
  <c r="Z463" i="4"/>
  <c r="Y463" i="4"/>
  <c r="X463" i="4"/>
  <c r="W463" i="4"/>
  <c r="V463" i="4"/>
  <c r="T463" i="4"/>
  <c r="U463" i="4" s="1"/>
  <c r="R463" i="4"/>
  <c r="S463" i="4" s="1"/>
  <c r="P463" i="4"/>
  <c r="Q463" i="4" s="1"/>
  <c r="N463" i="4"/>
  <c r="O463" i="4" s="1"/>
  <c r="M463" i="4"/>
  <c r="K463" i="4"/>
  <c r="L463" i="4" s="1"/>
  <c r="J463" i="4"/>
  <c r="H463" i="4"/>
  <c r="I463" i="4" s="1"/>
  <c r="G463" i="4"/>
  <c r="F463" i="4"/>
  <c r="E463" i="4"/>
  <c r="D463" i="4"/>
  <c r="C463" i="4"/>
  <c r="B463" i="4"/>
  <c r="A463" i="4"/>
  <c r="AG463" i="4" s="1"/>
  <c r="AC462" i="4"/>
  <c r="AB462" i="4"/>
  <c r="AA462" i="4"/>
  <c r="Z462" i="4"/>
  <c r="Y462" i="4"/>
  <c r="X462" i="4"/>
  <c r="W462" i="4"/>
  <c r="V462" i="4"/>
  <c r="T462" i="4"/>
  <c r="U462" i="4" s="1"/>
  <c r="R462" i="4"/>
  <c r="S462" i="4" s="1"/>
  <c r="P462" i="4"/>
  <c r="Q462" i="4" s="1"/>
  <c r="N462" i="4"/>
  <c r="O462" i="4" s="1"/>
  <c r="M462" i="4"/>
  <c r="K462" i="4"/>
  <c r="L462" i="4" s="1"/>
  <c r="J462" i="4"/>
  <c r="H462" i="4"/>
  <c r="I462" i="4" s="1"/>
  <c r="G462" i="4"/>
  <c r="F462" i="4"/>
  <c r="E462" i="4"/>
  <c r="D462" i="4"/>
  <c r="C462" i="4"/>
  <c r="B462" i="4"/>
  <c r="A462" i="4"/>
  <c r="AC461" i="4"/>
  <c r="AB461" i="4"/>
  <c r="AA461" i="4"/>
  <c r="Z461" i="4"/>
  <c r="Y461" i="4"/>
  <c r="X461" i="4"/>
  <c r="W461" i="4"/>
  <c r="V461" i="4"/>
  <c r="T461" i="4"/>
  <c r="U461" i="4" s="1"/>
  <c r="R461" i="4"/>
  <c r="S461" i="4" s="1"/>
  <c r="P461" i="4"/>
  <c r="Q461" i="4" s="1"/>
  <c r="N461" i="4"/>
  <c r="O461" i="4" s="1"/>
  <c r="M461" i="4"/>
  <c r="K461" i="4"/>
  <c r="L461" i="4" s="1"/>
  <c r="J461" i="4"/>
  <c r="H461" i="4"/>
  <c r="I461" i="4" s="1"/>
  <c r="G461" i="4"/>
  <c r="F461" i="4"/>
  <c r="E461" i="4"/>
  <c r="D461" i="4"/>
  <c r="C461" i="4"/>
  <c r="B461" i="4"/>
  <c r="A461" i="4"/>
  <c r="AG461" i="4" s="1"/>
  <c r="AC460" i="4"/>
  <c r="AB460" i="4"/>
  <c r="AA460" i="4"/>
  <c r="Z460" i="4"/>
  <c r="Y460" i="4"/>
  <c r="X460" i="4"/>
  <c r="W460" i="4"/>
  <c r="V460" i="4"/>
  <c r="T460" i="4"/>
  <c r="U460" i="4" s="1"/>
  <c r="R460" i="4"/>
  <c r="S460" i="4" s="1"/>
  <c r="P460" i="4"/>
  <c r="Q460" i="4" s="1"/>
  <c r="N460" i="4"/>
  <c r="O460" i="4" s="1"/>
  <c r="M460" i="4"/>
  <c r="K460" i="4"/>
  <c r="L460" i="4" s="1"/>
  <c r="J460" i="4"/>
  <c r="H460" i="4"/>
  <c r="I460" i="4" s="1"/>
  <c r="G460" i="4"/>
  <c r="F460" i="4"/>
  <c r="E460" i="4"/>
  <c r="D460" i="4"/>
  <c r="C460" i="4"/>
  <c r="B460" i="4"/>
  <c r="A460" i="4"/>
  <c r="AG460" i="4" s="1"/>
  <c r="AC459" i="4"/>
  <c r="AB459" i="4"/>
  <c r="AA459" i="4"/>
  <c r="Z459" i="4"/>
  <c r="Y459" i="4"/>
  <c r="X459" i="4"/>
  <c r="W459" i="4"/>
  <c r="V459" i="4"/>
  <c r="T459" i="4"/>
  <c r="U459" i="4" s="1"/>
  <c r="R459" i="4"/>
  <c r="S459" i="4" s="1"/>
  <c r="P459" i="4"/>
  <c r="Q459" i="4" s="1"/>
  <c r="N459" i="4"/>
  <c r="O459" i="4" s="1"/>
  <c r="M459" i="4"/>
  <c r="K459" i="4"/>
  <c r="L459" i="4" s="1"/>
  <c r="J459" i="4"/>
  <c r="H459" i="4"/>
  <c r="I459" i="4" s="1"/>
  <c r="G459" i="4"/>
  <c r="F459" i="4"/>
  <c r="E459" i="4"/>
  <c r="D459" i="4"/>
  <c r="C459" i="4"/>
  <c r="B459" i="4"/>
  <c r="A459" i="4"/>
  <c r="AF459" i="4" s="1"/>
  <c r="AC458" i="4"/>
  <c r="AB458" i="4"/>
  <c r="AA458" i="4"/>
  <c r="Z458" i="4"/>
  <c r="Y458" i="4"/>
  <c r="X458" i="4"/>
  <c r="W458" i="4"/>
  <c r="V458" i="4"/>
  <c r="T458" i="4"/>
  <c r="U458" i="4" s="1"/>
  <c r="R458" i="4"/>
  <c r="S458" i="4" s="1"/>
  <c r="P458" i="4"/>
  <c r="Q458" i="4" s="1"/>
  <c r="N458" i="4"/>
  <c r="O458" i="4" s="1"/>
  <c r="M458" i="4"/>
  <c r="K458" i="4"/>
  <c r="L458" i="4" s="1"/>
  <c r="J458" i="4"/>
  <c r="H458" i="4"/>
  <c r="I458" i="4" s="1"/>
  <c r="G458" i="4"/>
  <c r="F458" i="4"/>
  <c r="E458" i="4"/>
  <c r="D458" i="4"/>
  <c r="C458" i="4"/>
  <c r="B458" i="4"/>
  <c r="A458" i="4"/>
  <c r="AG458" i="4" s="1"/>
  <c r="AC457" i="4"/>
  <c r="AB457" i="4"/>
  <c r="AA457" i="4"/>
  <c r="Z457" i="4"/>
  <c r="Y457" i="4"/>
  <c r="X457" i="4"/>
  <c r="W457" i="4"/>
  <c r="V457" i="4"/>
  <c r="T457" i="4"/>
  <c r="U457" i="4" s="1"/>
  <c r="R457" i="4"/>
  <c r="S457" i="4" s="1"/>
  <c r="P457" i="4"/>
  <c r="Q457" i="4" s="1"/>
  <c r="N457" i="4"/>
  <c r="O457" i="4" s="1"/>
  <c r="M457" i="4"/>
  <c r="K457" i="4"/>
  <c r="L457" i="4" s="1"/>
  <c r="J457" i="4"/>
  <c r="H457" i="4"/>
  <c r="I457" i="4" s="1"/>
  <c r="G457" i="4"/>
  <c r="F457" i="4"/>
  <c r="E457" i="4"/>
  <c r="D457" i="4"/>
  <c r="C457" i="4"/>
  <c r="B457" i="4"/>
  <c r="A457" i="4"/>
  <c r="AG457" i="4" s="1"/>
  <c r="AC456" i="4"/>
  <c r="AB456" i="4"/>
  <c r="AA456" i="4"/>
  <c r="Z456" i="4"/>
  <c r="Y456" i="4"/>
  <c r="X456" i="4"/>
  <c r="W456" i="4"/>
  <c r="V456" i="4"/>
  <c r="T456" i="4"/>
  <c r="U456" i="4" s="1"/>
  <c r="R456" i="4"/>
  <c r="S456" i="4" s="1"/>
  <c r="P456" i="4"/>
  <c r="Q456" i="4" s="1"/>
  <c r="N456" i="4"/>
  <c r="O456" i="4" s="1"/>
  <c r="M456" i="4"/>
  <c r="K456" i="4"/>
  <c r="L456" i="4" s="1"/>
  <c r="J456" i="4"/>
  <c r="H456" i="4"/>
  <c r="I456" i="4" s="1"/>
  <c r="G456" i="4"/>
  <c r="F456" i="4"/>
  <c r="E456" i="4"/>
  <c r="D456" i="4"/>
  <c r="C456" i="4"/>
  <c r="B456" i="4"/>
  <c r="A456" i="4"/>
  <c r="AD455" i="4"/>
  <c r="AE455" i="4" s="1"/>
  <c r="AC455" i="4"/>
  <c r="AB455" i="4"/>
  <c r="AA455" i="4"/>
  <c r="Z455" i="4"/>
  <c r="Y455" i="4"/>
  <c r="X455" i="4"/>
  <c r="W455" i="4"/>
  <c r="V455" i="4"/>
  <c r="T455" i="4"/>
  <c r="U455" i="4" s="1"/>
  <c r="R455" i="4"/>
  <c r="S455" i="4" s="1"/>
  <c r="P455" i="4"/>
  <c r="Q455" i="4" s="1"/>
  <c r="N455" i="4"/>
  <c r="O455" i="4" s="1"/>
  <c r="M455" i="4"/>
  <c r="K455" i="4"/>
  <c r="L455" i="4" s="1"/>
  <c r="J455" i="4"/>
  <c r="H455" i="4"/>
  <c r="I455" i="4" s="1"/>
  <c r="G455" i="4"/>
  <c r="F455" i="4"/>
  <c r="E455" i="4"/>
  <c r="D455" i="4"/>
  <c r="C455" i="4"/>
  <c r="B455" i="4"/>
  <c r="A455" i="4"/>
  <c r="AG455" i="4" s="1"/>
  <c r="AC454" i="4"/>
  <c r="AB454" i="4"/>
  <c r="AA454" i="4"/>
  <c r="Z454" i="4"/>
  <c r="Y454" i="4"/>
  <c r="X454" i="4"/>
  <c r="W454" i="4"/>
  <c r="V454" i="4"/>
  <c r="T454" i="4"/>
  <c r="U454" i="4" s="1"/>
  <c r="R454" i="4"/>
  <c r="S454" i="4" s="1"/>
  <c r="P454" i="4"/>
  <c r="Q454" i="4" s="1"/>
  <c r="N454" i="4"/>
  <c r="O454" i="4" s="1"/>
  <c r="M454" i="4"/>
  <c r="K454" i="4"/>
  <c r="L454" i="4" s="1"/>
  <c r="J454" i="4"/>
  <c r="H454" i="4"/>
  <c r="I454" i="4" s="1"/>
  <c r="G454" i="4"/>
  <c r="F454" i="4"/>
  <c r="E454" i="4"/>
  <c r="D454" i="4"/>
  <c r="C454" i="4"/>
  <c r="B454" i="4"/>
  <c r="A454" i="4"/>
  <c r="AG454" i="4" s="1"/>
  <c r="AC453" i="4"/>
  <c r="AB453" i="4"/>
  <c r="AA453" i="4"/>
  <c r="Z453" i="4"/>
  <c r="Y453" i="4"/>
  <c r="X453" i="4"/>
  <c r="W453" i="4"/>
  <c r="V453" i="4"/>
  <c r="T453" i="4"/>
  <c r="U453" i="4" s="1"/>
  <c r="R453" i="4"/>
  <c r="S453" i="4" s="1"/>
  <c r="P453" i="4"/>
  <c r="Q453" i="4" s="1"/>
  <c r="N453" i="4"/>
  <c r="O453" i="4" s="1"/>
  <c r="M453" i="4"/>
  <c r="K453" i="4"/>
  <c r="L453" i="4" s="1"/>
  <c r="J453" i="4"/>
  <c r="H453" i="4"/>
  <c r="I453" i="4" s="1"/>
  <c r="G453" i="4"/>
  <c r="F453" i="4"/>
  <c r="E453" i="4"/>
  <c r="D453" i="4"/>
  <c r="C453" i="4"/>
  <c r="B453" i="4"/>
  <c r="A453" i="4"/>
  <c r="AG453" i="4" s="1"/>
  <c r="AC452" i="4"/>
  <c r="AB452" i="4"/>
  <c r="AA452" i="4"/>
  <c r="Z452" i="4"/>
  <c r="Y452" i="4"/>
  <c r="X452" i="4"/>
  <c r="W452" i="4"/>
  <c r="V452" i="4"/>
  <c r="T452" i="4"/>
  <c r="U452" i="4" s="1"/>
  <c r="R452" i="4"/>
  <c r="S452" i="4" s="1"/>
  <c r="P452" i="4"/>
  <c r="Q452" i="4" s="1"/>
  <c r="N452" i="4"/>
  <c r="O452" i="4" s="1"/>
  <c r="M452" i="4"/>
  <c r="K452" i="4"/>
  <c r="L452" i="4" s="1"/>
  <c r="J452" i="4"/>
  <c r="H452" i="4"/>
  <c r="I452" i="4" s="1"/>
  <c r="G452" i="4"/>
  <c r="F452" i="4"/>
  <c r="E452" i="4"/>
  <c r="D452" i="4"/>
  <c r="C452" i="4"/>
  <c r="B452" i="4"/>
  <c r="A452" i="4"/>
  <c r="AG452" i="4" s="1"/>
  <c r="AC451" i="4"/>
  <c r="AB451" i="4"/>
  <c r="AA451" i="4"/>
  <c r="Z451" i="4"/>
  <c r="Y451" i="4"/>
  <c r="X451" i="4"/>
  <c r="W451" i="4"/>
  <c r="V451" i="4"/>
  <c r="T451" i="4"/>
  <c r="U451" i="4" s="1"/>
  <c r="R451" i="4"/>
  <c r="S451" i="4" s="1"/>
  <c r="P451" i="4"/>
  <c r="Q451" i="4" s="1"/>
  <c r="N451" i="4"/>
  <c r="O451" i="4" s="1"/>
  <c r="M451" i="4"/>
  <c r="K451" i="4"/>
  <c r="L451" i="4" s="1"/>
  <c r="J451" i="4"/>
  <c r="H451" i="4"/>
  <c r="I451" i="4" s="1"/>
  <c r="G451" i="4"/>
  <c r="F451" i="4"/>
  <c r="E451" i="4"/>
  <c r="D451" i="4"/>
  <c r="C451" i="4"/>
  <c r="B451" i="4"/>
  <c r="A451" i="4"/>
  <c r="AF451" i="4" s="1"/>
  <c r="AC450" i="4"/>
  <c r="AB450" i="4"/>
  <c r="AA450" i="4"/>
  <c r="Z450" i="4"/>
  <c r="Y450" i="4"/>
  <c r="X450" i="4"/>
  <c r="W450" i="4"/>
  <c r="V450" i="4"/>
  <c r="T450" i="4"/>
  <c r="U450" i="4" s="1"/>
  <c r="R450" i="4"/>
  <c r="S450" i="4" s="1"/>
  <c r="P450" i="4"/>
  <c r="Q450" i="4" s="1"/>
  <c r="O450" i="4"/>
  <c r="N450" i="4"/>
  <c r="M450" i="4"/>
  <c r="K450" i="4"/>
  <c r="L450" i="4" s="1"/>
  <c r="J450" i="4"/>
  <c r="H450" i="4"/>
  <c r="I450" i="4" s="1"/>
  <c r="G450" i="4"/>
  <c r="F450" i="4"/>
  <c r="E450" i="4"/>
  <c r="D450" i="4"/>
  <c r="C450" i="4"/>
  <c r="B450" i="4"/>
  <c r="A450" i="4"/>
  <c r="AG450" i="4" s="1"/>
  <c r="AC449" i="4"/>
  <c r="AB449" i="4"/>
  <c r="AA449" i="4"/>
  <c r="Z449" i="4"/>
  <c r="Y449" i="4"/>
  <c r="X449" i="4"/>
  <c r="W449" i="4"/>
  <c r="V449" i="4"/>
  <c r="T449" i="4"/>
  <c r="U449" i="4" s="1"/>
  <c r="R449" i="4"/>
  <c r="S449" i="4" s="1"/>
  <c r="P449" i="4"/>
  <c r="Q449" i="4" s="1"/>
  <c r="N449" i="4"/>
  <c r="O449" i="4" s="1"/>
  <c r="M449" i="4"/>
  <c r="K449" i="4"/>
  <c r="L449" i="4" s="1"/>
  <c r="J449" i="4"/>
  <c r="H449" i="4"/>
  <c r="I449" i="4" s="1"/>
  <c r="G449" i="4"/>
  <c r="F449" i="4"/>
  <c r="E449" i="4"/>
  <c r="D449" i="4"/>
  <c r="C449" i="4"/>
  <c r="B449" i="4"/>
  <c r="A449" i="4"/>
  <c r="AG449" i="4" s="1"/>
  <c r="AC448" i="4"/>
  <c r="AB448" i="4"/>
  <c r="AA448" i="4"/>
  <c r="Z448" i="4"/>
  <c r="Y448" i="4"/>
  <c r="X448" i="4"/>
  <c r="W448" i="4"/>
  <c r="V448" i="4"/>
  <c r="T448" i="4"/>
  <c r="U448" i="4" s="1"/>
  <c r="R448" i="4"/>
  <c r="S448" i="4" s="1"/>
  <c r="P448" i="4"/>
  <c r="Q448" i="4" s="1"/>
  <c r="N448" i="4"/>
  <c r="O448" i="4" s="1"/>
  <c r="M448" i="4"/>
  <c r="K448" i="4"/>
  <c r="L448" i="4" s="1"/>
  <c r="J448" i="4"/>
  <c r="H448" i="4"/>
  <c r="I448" i="4" s="1"/>
  <c r="G448" i="4"/>
  <c r="F448" i="4"/>
  <c r="E448" i="4"/>
  <c r="D448" i="4"/>
  <c r="C448" i="4"/>
  <c r="B448" i="4"/>
  <c r="A448" i="4"/>
  <c r="AC447" i="4"/>
  <c r="AB447" i="4"/>
  <c r="AA447" i="4"/>
  <c r="Z447" i="4"/>
  <c r="Y447" i="4"/>
  <c r="X447" i="4"/>
  <c r="W447" i="4"/>
  <c r="V447" i="4"/>
  <c r="T447" i="4"/>
  <c r="U447" i="4" s="1"/>
  <c r="R447" i="4"/>
  <c r="S447" i="4" s="1"/>
  <c r="P447" i="4"/>
  <c r="Q447" i="4" s="1"/>
  <c r="N447" i="4"/>
  <c r="O447" i="4" s="1"/>
  <c r="M447" i="4"/>
  <c r="K447" i="4"/>
  <c r="L447" i="4" s="1"/>
  <c r="J447" i="4"/>
  <c r="H447" i="4"/>
  <c r="I447" i="4" s="1"/>
  <c r="G447" i="4"/>
  <c r="F447" i="4"/>
  <c r="E447" i="4"/>
  <c r="D447" i="4"/>
  <c r="C447" i="4"/>
  <c r="B447" i="4"/>
  <c r="A447" i="4"/>
  <c r="AG447" i="4" s="1"/>
  <c r="AC446" i="4"/>
  <c r="AB446" i="4"/>
  <c r="AA446" i="4"/>
  <c r="Z446" i="4"/>
  <c r="Y446" i="4"/>
  <c r="X446" i="4"/>
  <c r="W446" i="4"/>
  <c r="V446" i="4"/>
  <c r="T446" i="4"/>
  <c r="U446" i="4" s="1"/>
  <c r="R446" i="4"/>
  <c r="S446" i="4" s="1"/>
  <c r="P446" i="4"/>
  <c r="Q446" i="4" s="1"/>
  <c r="N446" i="4"/>
  <c r="O446" i="4" s="1"/>
  <c r="M446" i="4"/>
  <c r="K446" i="4"/>
  <c r="L446" i="4" s="1"/>
  <c r="J446" i="4"/>
  <c r="H446" i="4"/>
  <c r="I446" i="4" s="1"/>
  <c r="G446" i="4"/>
  <c r="F446" i="4"/>
  <c r="E446" i="4"/>
  <c r="D446" i="4"/>
  <c r="C446" i="4"/>
  <c r="B446" i="4"/>
  <c r="A446" i="4"/>
  <c r="AC445" i="4"/>
  <c r="AB445" i="4"/>
  <c r="AA445" i="4"/>
  <c r="Z445" i="4"/>
  <c r="Y445" i="4"/>
  <c r="X445" i="4"/>
  <c r="W445" i="4"/>
  <c r="V445" i="4"/>
  <c r="T445" i="4"/>
  <c r="U445" i="4" s="1"/>
  <c r="R445" i="4"/>
  <c r="S445" i="4" s="1"/>
  <c r="P445" i="4"/>
  <c r="Q445" i="4" s="1"/>
  <c r="N445" i="4"/>
  <c r="O445" i="4" s="1"/>
  <c r="M445" i="4"/>
  <c r="K445" i="4"/>
  <c r="L445" i="4" s="1"/>
  <c r="J445" i="4"/>
  <c r="H445" i="4"/>
  <c r="I445" i="4" s="1"/>
  <c r="G445" i="4"/>
  <c r="F445" i="4"/>
  <c r="E445" i="4"/>
  <c r="D445" i="4"/>
  <c r="C445" i="4"/>
  <c r="B445" i="4"/>
  <c r="A445" i="4"/>
  <c r="AG445" i="4" s="1"/>
  <c r="AC444" i="4"/>
  <c r="AB444" i="4"/>
  <c r="AA444" i="4"/>
  <c r="Z444" i="4"/>
  <c r="Y444" i="4"/>
  <c r="X444" i="4"/>
  <c r="W444" i="4"/>
  <c r="V444" i="4"/>
  <c r="T444" i="4"/>
  <c r="U444" i="4" s="1"/>
  <c r="R444" i="4"/>
  <c r="S444" i="4" s="1"/>
  <c r="P444" i="4"/>
  <c r="Q444" i="4" s="1"/>
  <c r="N444" i="4"/>
  <c r="O444" i="4" s="1"/>
  <c r="M444" i="4"/>
  <c r="K444" i="4"/>
  <c r="L444" i="4" s="1"/>
  <c r="J444" i="4"/>
  <c r="H444" i="4"/>
  <c r="I444" i="4" s="1"/>
  <c r="G444" i="4"/>
  <c r="F444" i="4"/>
  <c r="E444" i="4"/>
  <c r="D444" i="4"/>
  <c r="C444" i="4"/>
  <c r="B444" i="4"/>
  <c r="A444" i="4"/>
  <c r="AG444" i="4" s="1"/>
  <c r="AC443" i="4"/>
  <c r="AB443" i="4"/>
  <c r="AA443" i="4"/>
  <c r="Z443" i="4"/>
  <c r="Y443" i="4"/>
  <c r="X443" i="4"/>
  <c r="W443" i="4"/>
  <c r="V443" i="4"/>
  <c r="T443" i="4"/>
  <c r="U443" i="4" s="1"/>
  <c r="R443" i="4"/>
  <c r="S443" i="4" s="1"/>
  <c r="P443" i="4"/>
  <c r="Q443" i="4" s="1"/>
  <c r="N443" i="4"/>
  <c r="O443" i="4" s="1"/>
  <c r="M443" i="4"/>
  <c r="K443" i="4"/>
  <c r="L443" i="4" s="1"/>
  <c r="J443" i="4"/>
  <c r="H443" i="4"/>
  <c r="I443" i="4" s="1"/>
  <c r="G443" i="4"/>
  <c r="F443" i="4"/>
  <c r="E443" i="4"/>
  <c r="D443" i="4"/>
  <c r="C443" i="4"/>
  <c r="B443" i="4"/>
  <c r="A443" i="4"/>
  <c r="AC442" i="4"/>
  <c r="AB442" i="4"/>
  <c r="AA442" i="4"/>
  <c r="Z442" i="4"/>
  <c r="Y442" i="4"/>
  <c r="X442" i="4"/>
  <c r="W442" i="4"/>
  <c r="V442" i="4"/>
  <c r="T442" i="4"/>
  <c r="U442" i="4" s="1"/>
  <c r="R442" i="4"/>
  <c r="S442" i="4" s="1"/>
  <c r="P442" i="4"/>
  <c r="Q442" i="4" s="1"/>
  <c r="N442" i="4"/>
  <c r="O442" i="4" s="1"/>
  <c r="M442" i="4"/>
  <c r="K442" i="4"/>
  <c r="L442" i="4" s="1"/>
  <c r="J442" i="4"/>
  <c r="H442" i="4"/>
  <c r="I442" i="4" s="1"/>
  <c r="G442" i="4"/>
  <c r="F442" i="4"/>
  <c r="E442" i="4"/>
  <c r="D442" i="4"/>
  <c r="C442" i="4"/>
  <c r="B442" i="4"/>
  <c r="A442" i="4"/>
  <c r="AG442" i="4" s="1"/>
  <c r="AC441" i="4"/>
  <c r="AB441" i="4"/>
  <c r="AA441" i="4"/>
  <c r="Z441" i="4"/>
  <c r="Y441" i="4"/>
  <c r="X441" i="4"/>
  <c r="W441" i="4"/>
  <c r="V441" i="4"/>
  <c r="T441" i="4"/>
  <c r="U441" i="4" s="1"/>
  <c r="R441" i="4"/>
  <c r="S441" i="4" s="1"/>
  <c r="P441" i="4"/>
  <c r="Q441" i="4" s="1"/>
  <c r="N441" i="4"/>
  <c r="O441" i="4" s="1"/>
  <c r="M441" i="4"/>
  <c r="K441" i="4"/>
  <c r="L441" i="4" s="1"/>
  <c r="J441" i="4"/>
  <c r="H441" i="4"/>
  <c r="I441" i="4" s="1"/>
  <c r="G441" i="4"/>
  <c r="F441" i="4"/>
  <c r="E441" i="4"/>
  <c r="D441" i="4"/>
  <c r="C441" i="4"/>
  <c r="B441" i="4"/>
  <c r="A441" i="4"/>
  <c r="AC440" i="4"/>
  <c r="AB440" i="4"/>
  <c r="AA440" i="4"/>
  <c r="Z440" i="4"/>
  <c r="Y440" i="4"/>
  <c r="X440" i="4"/>
  <c r="W440" i="4"/>
  <c r="V440" i="4"/>
  <c r="T440" i="4"/>
  <c r="U440" i="4" s="1"/>
  <c r="R440" i="4"/>
  <c r="S440" i="4" s="1"/>
  <c r="P440" i="4"/>
  <c r="Q440" i="4" s="1"/>
  <c r="N440" i="4"/>
  <c r="O440" i="4" s="1"/>
  <c r="M440" i="4"/>
  <c r="K440" i="4"/>
  <c r="L440" i="4" s="1"/>
  <c r="J440" i="4"/>
  <c r="H440" i="4"/>
  <c r="I440" i="4" s="1"/>
  <c r="G440" i="4"/>
  <c r="F440" i="4"/>
  <c r="E440" i="4"/>
  <c r="D440" i="4"/>
  <c r="C440" i="4"/>
  <c r="B440" i="4"/>
  <c r="A440" i="4"/>
  <c r="AG440" i="4" s="1"/>
  <c r="AC439" i="4"/>
  <c r="AB439" i="4"/>
  <c r="AA439" i="4"/>
  <c r="Z439" i="4"/>
  <c r="Y439" i="4"/>
  <c r="X439" i="4"/>
  <c r="W439" i="4"/>
  <c r="V439" i="4"/>
  <c r="T439" i="4"/>
  <c r="U439" i="4" s="1"/>
  <c r="R439" i="4"/>
  <c r="S439" i="4" s="1"/>
  <c r="P439" i="4"/>
  <c r="Q439" i="4" s="1"/>
  <c r="N439" i="4"/>
  <c r="O439" i="4" s="1"/>
  <c r="M439" i="4"/>
  <c r="K439" i="4"/>
  <c r="L439" i="4" s="1"/>
  <c r="J439" i="4"/>
  <c r="H439" i="4"/>
  <c r="I439" i="4" s="1"/>
  <c r="G439" i="4"/>
  <c r="F439" i="4"/>
  <c r="E439" i="4"/>
  <c r="D439" i="4"/>
  <c r="C439" i="4"/>
  <c r="B439" i="4"/>
  <c r="A439" i="4"/>
  <c r="AC438" i="4"/>
  <c r="AB438" i="4"/>
  <c r="AA438" i="4"/>
  <c r="Z438" i="4"/>
  <c r="Y438" i="4"/>
  <c r="X438" i="4"/>
  <c r="W438" i="4"/>
  <c r="V438" i="4"/>
  <c r="T438" i="4"/>
  <c r="U438" i="4" s="1"/>
  <c r="S438" i="4"/>
  <c r="R438" i="4"/>
  <c r="P438" i="4"/>
  <c r="Q438" i="4" s="1"/>
  <c r="N438" i="4"/>
  <c r="O438" i="4" s="1"/>
  <c r="M438" i="4"/>
  <c r="K438" i="4"/>
  <c r="L438" i="4" s="1"/>
  <c r="J438" i="4"/>
  <c r="H438" i="4"/>
  <c r="I438" i="4" s="1"/>
  <c r="G438" i="4"/>
  <c r="F438" i="4"/>
  <c r="E438" i="4"/>
  <c r="D438" i="4"/>
  <c r="C438" i="4"/>
  <c r="B438" i="4"/>
  <c r="A438" i="4"/>
  <c r="AG438" i="4" s="1"/>
  <c r="AC437" i="4"/>
  <c r="AB437" i="4"/>
  <c r="AA437" i="4"/>
  <c r="Z437" i="4"/>
  <c r="Y437" i="4"/>
  <c r="X437" i="4"/>
  <c r="W437" i="4"/>
  <c r="V437" i="4"/>
  <c r="T437" i="4"/>
  <c r="U437" i="4" s="1"/>
  <c r="R437" i="4"/>
  <c r="S437" i="4" s="1"/>
  <c r="P437" i="4"/>
  <c r="Q437" i="4" s="1"/>
  <c r="N437" i="4"/>
  <c r="O437" i="4" s="1"/>
  <c r="M437" i="4"/>
  <c r="K437" i="4"/>
  <c r="L437" i="4" s="1"/>
  <c r="J437" i="4"/>
  <c r="H437" i="4"/>
  <c r="I437" i="4" s="1"/>
  <c r="G437" i="4"/>
  <c r="F437" i="4"/>
  <c r="E437" i="4"/>
  <c r="D437" i="4"/>
  <c r="C437" i="4"/>
  <c r="B437" i="4"/>
  <c r="A437" i="4"/>
  <c r="AF436" i="4"/>
  <c r="AC436" i="4"/>
  <c r="AB436" i="4"/>
  <c r="AA436" i="4"/>
  <c r="Z436" i="4"/>
  <c r="Y436" i="4"/>
  <c r="X436" i="4"/>
  <c r="W436" i="4"/>
  <c r="V436" i="4"/>
  <c r="T436" i="4"/>
  <c r="U436" i="4" s="1"/>
  <c r="R436" i="4"/>
  <c r="S436" i="4" s="1"/>
  <c r="P436" i="4"/>
  <c r="Q436" i="4" s="1"/>
  <c r="N436" i="4"/>
  <c r="O436" i="4" s="1"/>
  <c r="M436" i="4"/>
  <c r="K436" i="4"/>
  <c r="L436" i="4" s="1"/>
  <c r="J436" i="4"/>
  <c r="H436" i="4"/>
  <c r="I436" i="4" s="1"/>
  <c r="G436" i="4"/>
  <c r="F436" i="4"/>
  <c r="E436" i="4"/>
  <c r="D436" i="4"/>
  <c r="C436" i="4"/>
  <c r="B436" i="4"/>
  <c r="A436" i="4"/>
  <c r="AG436" i="4" s="1"/>
  <c r="AC435" i="4"/>
  <c r="AB435" i="4"/>
  <c r="AA435" i="4"/>
  <c r="Z435" i="4"/>
  <c r="Y435" i="4"/>
  <c r="X435" i="4"/>
  <c r="W435" i="4"/>
  <c r="V435" i="4"/>
  <c r="T435" i="4"/>
  <c r="U435" i="4" s="1"/>
  <c r="R435" i="4"/>
  <c r="S435" i="4" s="1"/>
  <c r="P435" i="4"/>
  <c r="Q435" i="4" s="1"/>
  <c r="N435" i="4"/>
  <c r="O435" i="4" s="1"/>
  <c r="M435" i="4"/>
  <c r="K435" i="4"/>
  <c r="L435" i="4" s="1"/>
  <c r="J435" i="4"/>
  <c r="H435" i="4"/>
  <c r="I435" i="4" s="1"/>
  <c r="G435" i="4"/>
  <c r="F435" i="4"/>
  <c r="E435" i="4"/>
  <c r="D435" i="4"/>
  <c r="C435" i="4"/>
  <c r="B435" i="4"/>
  <c r="A435" i="4"/>
  <c r="AC434" i="4"/>
  <c r="AB434" i="4"/>
  <c r="AA434" i="4"/>
  <c r="Z434" i="4"/>
  <c r="Y434" i="4"/>
  <c r="X434" i="4"/>
  <c r="W434" i="4"/>
  <c r="V434" i="4"/>
  <c r="T434" i="4"/>
  <c r="U434" i="4" s="1"/>
  <c r="R434" i="4"/>
  <c r="S434" i="4" s="1"/>
  <c r="P434" i="4"/>
  <c r="Q434" i="4" s="1"/>
  <c r="N434" i="4"/>
  <c r="O434" i="4" s="1"/>
  <c r="M434" i="4"/>
  <c r="K434" i="4"/>
  <c r="L434" i="4" s="1"/>
  <c r="J434" i="4"/>
  <c r="H434" i="4"/>
  <c r="I434" i="4" s="1"/>
  <c r="G434" i="4"/>
  <c r="F434" i="4"/>
  <c r="E434" i="4"/>
  <c r="D434" i="4"/>
  <c r="C434" i="4"/>
  <c r="B434" i="4"/>
  <c r="A434" i="4"/>
  <c r="AG434" i="4" s="1"/>
  <c r="AC433" i="4"/>
  <c r="AB433" i="4"/>
  <c r="AA433" i="4"/>
  <c r="Z433" i="4"/>
  <c r="Y433" i="4"/>
  <c r="X433" i="4"/>
  <c r="W433" i="4"/>
  <c r="V433" i="4"/>
  <c r="T433" i="4"/>
  <c r="U433" i="4" s="1"/>
  <c r="R433" i="4"/>
  <c r="S433" i="4" s="1"/>
  <c r="P433" i="4"/>
  <c r="Q433" i="4" s="1"/>
  <c r="N433" i="4"/>
  <c r="O433" i="4" s="1"/>
  <c r="M433" i="4"/>
  <c r="K433" i="4"/>
  <c r="L433" i="4" s="1"/>
  <c r="J433" i="4"/>
  <c r="H433" i="4"/>
  <c r="I433" i="4" s="1"/>
  <c r="G433" i="4"/>
  <c r="F433" i="4"/>
  <c r="E433" i="4"/>
  <c r="D433" i="4"/>
  <c r="C433" i="4"/>
  <c r="B433" i="4"/>
  <c r="A433" i="4"/>
  <c r="AG433" i="4" s="1"/>
  <c r="AD432" i="4"/>
  <c r="AE432" i="4" s="1"/>
  <c r="AC432" i="4"/>
  <c r="AB432" i="4"/>
  <c r="AA432" i="4"/>
  <c r="Z432" i="4"/>
  <c r="Y432" i="4"/>
  <c r="X432" i="4"/>
  <c r="W432" i="4"/>
  <c r="V432" i="4"/>
  <c r="T432" i="4"/>
  <c r="U432" i="4" s="1"/>
  <c r="R432" i="4"/>
  <c r="S432" i="4" s="1"/>
  <c r="P432" i="4"/>
  <c r="Q432" i="4" s="1"/>
  <c r="N432" i="4"/>
  <c r="O432" i="4" s="1"/>
  <c r="M432" i="4"/>
  <c r="K432" i="4"/>
  <c r="L432" i="4" s="1"/>
  <c r="J432" i="4"/>
  <c r="H432" i="4"/>
  <c r="I432" i="4" s="1"/>
  <c r="G432" i="4"/>
  <c r="F432" i="4"/>
  <c r="E432" i="4"/>
  <c r="D432" i="4"/>
  <c r="C432" i="4"/>
  <c r="B432" i="4"/>
  <c r="A432" i="4"/>
  <c r="AG432" i="4" s="1"/>
  <c r="AC431" i="4"/>
  <c r="AB431" i="4"/>
  <c r="AA431" i="4"/>
  <c r="Z431" i="4"/>
  <c r="Y431" i="4"/>
  <c r="X431" i="4"/>
  <c r="W431" i="4"/>
  <c r="V431" i="4"/>
  <c r="T431" i="4"/>
  <c r="U431" i="4" s="1"/>
  <c r="R431" i="4"/>
  <c r="S431" i="4" s="1"/>
  <c r="P431" i="4"/>
  <c r="Q431" i="4" s="1"/>
  <c r="N431" i="4"/>
  <c r="O431" i="4" s="1"/>
  <c r="M431" i="4"/>
  <c r="K431" i="4"/>
  <c r="L431" i="4" s="1"/>
  <c r="J431" i="4"/>
  <c r="H431" i="4"/>
  <c r="I431" i="4" s="1"/>
  <c r="G431" i="4"/>
  <c r="F431" i="4"/>
  <c r="E431" i="4"/>
  <c r="D431" i="4"/>
  <c r="C431" i="4"/>
  <c r="B431" i="4"/>
  <c r="A431" i="4"/>
  <c r="AC430" i="4"/>
  <c r="AB430" i="4"/>
  <c r="AA430" i="4"/>
  <c r="Z430" i="4"/>
  <c r="Y430" i="4"/>
  <c r="X430" i="4"/>
  <c r="W430" i="4"/>
  <c r="V430" i="4"/>
  <c r="T430" i="4"/>
  <c r="U430" i="4" s="1"/>
  <c r="R430" i="4"/>
  <c r="S430" i="4" s="1"/>
  <c r="P430" i="4"/>
  <c r="Q430" i="4" s="1"/>
  <c r="N430" i="4"/>
  <c r="O430" i="4" s="1"/>
  <c r="M430" i="4"/>
  <c r="K430" i="4"/>
  <c r="L430" i="4" s="1"/>
  <c r="J430" i="4"/>
  <c r="H430" i="4"/>
  <c r="I430" i="4" s="1"/>
  <c r="G430" i="4"/>
  <c r="F430" i="4"/>
  <c r="E430" i="4"/>
  <c r="D430" i="4"/>
  <c r="C430" i="4"/>
  <c r="B430" i="4"/>
  <c r="A430" i="4"/>
  <c r="AG430" i="4" s="1"/>
  <c r="AC429" i="4"/>
  <c r="AB429" i="4"/>
  <c r="AA429" i="4"/>
  <c r="Z429" i="4"/>
  <c r="Y429" i="4"/>
  <c r="X429" i="4"/>
  <c r="W429" i="4"/>
  <c r="V429" i="4"/>
  <c r="T429" i="4"/>
  <c r="U429" i="4" s="1"/>
  <c r="R429" i="4"/>
  <c r="S429" i="4" s="1"/>
  <c r="P429" i="4"/>
  <c r="Q429" i="4" s="1"/>
  <c r="N429" i="4"/>
  <c r="O429" i="4" s="1"/>
  <c r="M429" i="4"/>
  <c r="K429" i="4"/>
  <c r="L429" i="4" s="1"/>
  <c r="J429" i="4"/>
  <c r="H429" i="4"/>
  <c r="I429" i="4" s="1"/>
  <c r="G429" i="4"/>
  <c r="F429" i="4"/>
  <c r="E429" i="4"/>
  <c r="D429" i="4"/>
  <c r="C429" i="4"/>
  <c r="B429" i="4"/>
  <c r="A429" i="4"/>
  <c r="AG429" i="4" s="1"/>
  <c r="AC428" i="4"/>
  <c r="AB428" i="4"/>
  <c r="AA428" i="4"/>
  <c r="Z428" i="4"/>
  <c r="Y428" i="4"/>
  <c r="X428" i="4"/>
  <c r="W428" i="4"/>
  <c r="V428" i="4"/>
  <c r="T428" i="4"/>
  <c r="U428" i="4" s="1"/>
  <c r="R428" i="4"/>
  <c r="S428" i="4" s="1"/>
  <c r="P428" i="4"/>
  <c r="Q428" i="4" s="1"/>
  <c r="N428" i="4"/>
  <c r="O428" i="4" s="1"/>
  <c r="M428" i="4"/>
  <c r="K428" i="4"/>
  <c r="L428" i="4" s="1"/>
  <c r="J428" i="4"/>
  <c r="H428" i="4"/>
  <c r="I428" i="4" s="1"/>
  <c r="G428" i="4"/>
  <c r="F428" i="4"/>
  <c r="E428" i="4"/>
  <c r="D428" i="4"/>
  <c r="C428" i="4"/>
  <c r="B428" i="4"/>
  <c r="A428" i="4"/>
  <c r="AG428" i="4" s="1"/>
  <c r="AC427" i="4"/>
  <c r="AB427" i="4"/>
  <c r="AA427" i="4"/>
  <c r="Z427" i="4"/>
  <c r="Y427" i="4"/>
  <c r="X427" i="4"/>
  <c r="W427" i="4"/>
  <c r="V427" i="4"/>
  <c r="T427" i="4"/>
  <c r="U427" i="4" s="1"/>
  <c r="R427" i="4"/>
  <c r="S427" i="4" s="1"/>
  <c r="P427" i="4"/>
  <c r="Q427" i="4" s="1"/>
  <c r="N427" i="4"/>
  <c r="O427" i="4" s="1"/>
  <c r="M427" i="4"/>
  <c r="K427" i="4"/>
  <c r="L427" i="4" s="1"/>
  <c r="J427" i="4"/>
  <c r="H427" i="4"/>
  <c r="I427" i="4" s="1"/>
  <c r="G427" i="4"/>
  <c r="F427" i="4"/>
  <c r="E427" i="4"/>
  <c r="D427" i="4"/>
  <c r="C427" i="4"/>
  <c r="B427" i="4"/>
  <c r="A427" i="4"/>
  <c r="AG427" i="4" s="1"/>
  <c r="AC426" i="4"/>
  <c r="AB426" i="4"/>
  <c r="AA426" i="4"/>
  <c r="Z426" i="4"/>
  <c r="Y426" i="4"/>
  <c r="X426" i="4"/>
  <c r="W426" i="4"/>
  <c r="V426" i="4"/>
  <c r="T426" i="4"/>
  <c r="U426" i="4" s="1"/>
  <c r="R426" i="4"/>
  <c r="S426" i="4" s="1"/>
  <c r="P426" i="4"/>
  <c r="Q426" i="4" s="1"/>
  <c r="N426" i="4"/>
  <c r="O426" i="4" s="1"/>
  <c r="M426" i="4"/>
  <c r="K426" i="4"/>
  <c r="L426" i="4" s="1"/>
  <c r="J426" i="4"/>
  <c r="H426" i="4"/>
  <c r="I426" i="4" s="1"/>
  <c r="G426" i="4"/>
  <c r="F426" i="4"/>
  <c r="E426" i="4"/>
  <c r="D426" i="4"/>
  <c r="C426" i="4"/>
  <c r="B426" i="4"/>
  <c r="A426" i="4"/>
  <c r="AG426" i="4" s="1"/>
  <c r="AC425" i="4"/>
  <c r="AB425" i="4"/>
  <c r="AA425" i="4"/>
  <c r="Z425" i="4"/>
  <c r="Y425" i="4"/>
  <c r="X425" i="4"/>
  <c r="W425" i="4"/>
  <c r="V425" i="4"/>
  <c r="T425" i="4"/>
  <c r="U425" i="4" s="1"/>
  <c r="R425" i="4"/>
  <c r="S425" i="4" s="1"/>
  <c r="P425" i="4"/>
  <c r="Q425" i="4" s="1"/>
  <c r="N425" i="4"/>
  <c r="O425" i="4" s="1"/>
  <c r="M425" i="4"/>
  <c r="K425" i="4"/>
  <c r="L425" i="4" s="1"/>
  <c r="J425" i="4"/>
  <c r="H425" i="4"/>
  <c r="I425" i="4" s="1"/>
  <c r="G425" i="4"/>
  <c r="F425" i="4"/>
  <c r="E425" i="4"/>
  <c r="D425" i="4"/>
  <c r="C425" i="4"/>
  <c r="B425" i="4"/>
  <c r="A425" i="4"/>
  <c r="AC424" i="4"/>
  <c r="AB424" i="4"/>
  <c r="AA424" i="4"/>
  <c r="Z424" i="4"/>
  <c r="Y424" i="4"/>
  <c r="X424" i="4"/>
  <c r="W424" i="4"/>
  <c r="V424" i="4"/>
  <c r="T424" i="4"/>
  <c r="U424" i="4" s="1"/>
  <c r="R424" i="4"/>
  <c r="S424" i="4" s="1"/>
  <c r="P424" i="4"/>
  <c r="Q424" i="4" s="1"/>
  <c r="N424" i="4"/>
  <c r="O424" i="4" s="1"/>
  <c r="M424" i="4"/>
  <c r="L424" i="4"/>
  <c r="K424" i="4"/>
  <c r="J424" i="4"/>
  <c r="H424" i="4"/>
  <c r="I424" i="4" s="1"/>
  <c r="G424" i="4"/>
  <c r="F424" i="4"/>
  <c r="E424" i="4"/>
  <c r="D424" i="4"/>
  <c r="C424" i="4"/>
  <c r="B424" i="4"/>
  <c r="A424" i="4"/>
  <c r="AC423" i="4"/>
  <c r="AB423" i="4"/>
  <c r="AA423" i="4"/>
  <c r="Z423" i="4"/>
  <c r="Y423" i="4"/>
  <c r="X423" i="4"/>
  <c r="W423" i="4"/>
  <c r="V423" i="4"/>
  <c r="T423" i="4"/>
  <c r="U423" i="4" s="1"/>
  <c r="R423" i="4"/>
  <c r="S423" i="4" s="1"/>
  <c r="P423" i="4"/>
  <c r="Q423" i="4" s="1"/>
  <c r="N423" i="4"/>
  <c r="O423" i="4" s="1"/>
  <c r="M423" i="4"/>
  <c r="K423" i="4"/>
  <c r="L423" i="4" s="1"/>
  <c r="J423" i="4"/>
  <c r="H423" i="4"/>
  <c r="I423" i="4" s="1"/>
  <c r="G423" i="4"/>
  <c r="F423" i="4"/>
  <c r="E423" i="4"/>
  <c r="D423" i="4"/>
  <c r="C423" i="4"/>
  <c r="B423" i="4"/>
  <c r="A423" i="4"/>
  <c r="AC422" i="4"/>
  <c r="AB422" i="4"/>
  <c r="AA422" i="4"/>
  <c r="Z422" i="4"/>
  <c r="Y422" i="4"/>
  <c r="X422" i="4"/>
  <c r="W422" i="4"/>
  <c r="V422" i="4"/>
  <c r="T422" i="4"/>
  <c r="U422" i="4" s="1"/>
  <c r="R422" i="4"/>
  <c r="S422" i="4" s="1"/>
  <c r="P422" i="4"/>
  <c r="Q422" i="4" s="1"/>
  <c r="N422" i="4"/>
  <c r="O422" i="4" s="1"/>
  <c r="M422" i="4"/>
  <c r="K422" i="4"/>
  <c r="L422" i="4" s="1"/>
  <c r="J422" i="4"/>
  <c r="H422" i="4"/>
  <c r="I422" i="4" s="1"/>
  <c r="G422" i="4"/>
  <c r="F422" i="4"/>
  <c r="E422" i="4"/>
  <c r="D422" i="4"/>
  <c r="C422" i="4"/>
  <c r="B422" i="4"/>
  <c r="A422" i="4"/>
  <c r="AG422" i="4" s="1"/>
  <c r="AC421" i="4"/>
  <c r="AB421" i="4"/>
  <c r="AA421" i="4"/>
  <c r="Z421" i="4"/>
  <c r="Y421" i="4"/>
  <c r="X421" i="4"/>
  <c r="W421" i="4"/>
  <c r="V421" i="4"/>
  <c r="T421" i="4"/>
  <c r="U421" i="4" s="1"/>
  <c r="R421" i="4"/>
  <c r="S421" i="4" s="1"/>
  <c r="P421" i="4"/>
  <c r="Q421" i="4" s="1"/>
  <c r="N421" i="4"/>
  <c r="O421" i="4" s="1"/>
  <c r="M421" i="4"/>
  <c r="K421" i="4"/>
  <c r="L421" i="4" s="1"/>
  <c r="J421" i="4"/>
  <c r="H421" i="4"/>
  <c r="I421" i="4" s="1"/>
  <c r="G421" i="4"/>
  <c r="F421" i="4"/>
  <c r="E421" i="4"/>
  <c r="D421" i="4"/>
  <c r="C421" i="4"/>
  <c r="B421" i="4"/>
  <c r="A421" i="4"/>
  <c r="AC420" i="4"/>
  <c r="AB420" i="4"/>
  <c r="AA420" i="4"/>
  <c r="Z420" i="4"/>
  <c r="Y420" i="4"/>
  <c r="X420" i="4"/>
  <c r="W420" i="4"/>
  <c r="V420" i="4"/>
  <c r="T420" i="4"/>
  <c r="U420" i="4" s="1"/>
  <c r="R420" i="4"/>
  <c r="S420" i="4" s="1"/>
  <c r="P420" i="4"/>
  <c r="Q420" i="4" s="1"/>
  <c r="N420" i="4"/>
  <c r="O420" i="4" s="1"/>
  <c r="M420" i="4"/>
  <c r="K420" i="4"/>
  <c r="L420" i="4" s="1"/>
  <c r="J420" i="4"/>
  <c r="H420" i="4"/>
  <c r="I420" i="4" s="1"/>
  <c r="G420" i="4"/>
  <c r="F420" i="4"/>
  <c r="E420" i="4"/>
  <c r="D420" i="4"/>
  <c r="C420" i="4"/>
  <c r="B420" i="4"/>
  <c r="A420" i="4"/>
  <c r="AG420" i="4" s="1"/>
  <c r="AC419" i="4"/>
  <c r="AB419" i="4"/>
  <c r="AA419" i="4"/>
  <c r="Z419" i="4"/>
  <c r="Y419" i="4"/>
  <c r="X419" i="4"/>
  <c r="W419" i="4"/>
  <c r="V419" i="4"/>
  <c r="T419" i="4"/>
  <c r="U419" i="4" s="1"/>
  <c r="R419" i="4"/>
  <c r="S419" i="4" s="1"/>
  <c r="P419" i="4"/>
  <c r="Q419" i="4" s="1"/>
  <c r="N419" i="4"/>
  <c r="O419" i="4" s="1"/>
  <c r="M419" i="4"/>
  <c r="K419" i="4"/>
  <c r="L419" i="4" s="1"/>
  <c r="J419" i="4"/>
  <c r="H419" i="4"/>
  <c r="I419" i="4" s="1"/>
  <c r="G419" i="4"/>
  <c r="F419" i="4"/>
  <c r="E419" i="4"/>
  <c r="D419" i="4"/>
  <c r="C419" i="4"/>
  <c r="B419" i="4"/>
  <c r="A419" i="4"/>
  <c r="AC418" i="4"/>
  <c r="AB418" i="4"/>
  <c r="AA418" i="4"/>
  <c r="Z418" i="4"/>
  <c r="Y418" i="4"/>
  <c r="X418" i="4"/>
  <c r="W418" i="4"/>
  <c r="V418" i="4"/>
  <c r="T418" i="4"/>
  <c r="U418" i="4" s="1"/>
  <c r="R418" i="4"/>
  <c r="S418" i="4" s="1"/>
  <c r="P418" i="4"/>
  <c r="Q418" i="4" s="1"/>
  <c r="N418" i="4"/>
  <c r="O418" i="4" s="1"/>
  <c r="M418" i="4"/>
  <c r="K418" i="4"/>
  <c r="L418" i="4" s="1"/>
  <c r="J418" i="4"/>
  <c r="H418" i="4"/>
  <c r="I418" i="4" s="1"/>
  <c r="G418" i="4"/>
  <c r="F418" i="4"/>
  <c r="E418" i="4"/>
  <c r="D418" i="4"/>
  <c r="C418" i="4"/>
  <c r="B418" i="4"/>
  <c r="A418" i="4"/>
  <c r="AG418" i="4" s="1"/>
  <c r="AC417" i="4"/>
  <c r="AB417" i="4"/>
  <c r="AA417" i="4"/>
  <c r="Z417" i="4"/>
  <c r="Y417" i="4"/>
  <c r="X417" i="4"/>
  <c r="W417" i="4"/>
  <c r="V417" i="4"/>
  <c r="T417" i="4"/>
  <c r="U417" i="4" s="1"/>
  <c r="R417" i="4"/>
  <c r="S417" i="4" s="1"/>
  <c r="P417" i="4"/>
  <c r="Q417" i="4" s="1"/>
  <c r="N417" i="4"/>
  <c r="O417" i="4" s="1"/>
  <c r="M417" i="4"/>
  <c r="K417" i="4"/>
  <c r="L417" i="4" s="1"/>
  <c r="J417" i="4"/>
  <c r="H417" i="4"/>
  <c r="I417" i="4" s="1"/>
  <c r="G417" i="4"/>
  <c r="F417" i="4"/>
  <c r="E417" i="4"/>
  <c r="D417" i="4"/>
  <c r="C417" i="4"/>
  <c r="B417" i="4"/>
  <c r="A417" i="4"/>
  <c r="AC416" i="4"/>
  <c r="AB416" i="4"/>
  <c r="AA416" i="4"/>
  <c r="Z416" i="4"/>
  <c r="Y416" i="4"/>
  <c r="X416" i="4"/>
  <c r="W416" i="4"/>
  <c r="V416" i="4"/>
  <c r="T416" i="4"/>
  <c r="U416" i="4" s="1"/>
  <c r="R416" i="4"/>
  <c r="S416" i="4" s="1"/>
  <c r="P416" i="4"/>
  <c r="Q416" i="4" s="1"/>
  <c r="N416" i="4"/>
  <c r="O416" i="4" s="1"/>
  <c r="M416" i="4"/>
  <c r="K416" i="4"/>
  <c r="L416" i="4" s="1"/>
  <c r="J416" i="4"/>
  <c r="H416" i="4"/>
  <c r="I416" i="4" s="1"/>
  <c r="G416" i="4"/>
  <c r="F416" i="4"/>
  <c r="E416" i="4"/>
  <c r="D416" i="4"/>
  <c r="C416" i="4"/>
  <c r="B416" i="4"/>
  <c r="A416" i="4"/>
  <c r="AG416" i="4" s="1"/>
  <c r="AC415" i="4"/>
  <c r="AB415" i="4"/>
  <c r="AA415" i="4"/>
  <c r="Z415" i="4"/>
  <c r="Y415" i="4"/>
  <c r="X415" i="4"/>
  <c r="W415" i="4"/>
  <c r="V415" i="4"/>
  <c r="T415" i="4"/>
  <c r="U415" i="4" s="1"/>
  <c r="R415" i="4"/>
  <c r="S415" i="4" s="1"/>
  <c r="P415" i="4"/>
  <c r="Q415" i="4" s="1"/>
  <c r="O415" i="4"/>
  <c r="N415" i="4"/>
  <c r="M415" i="4"/>
  <c r="K415" i="4"/>
  <c r="L415" i="4" s="1"/>
  <c r="J415" i="4"/>
  <c r="H415" i="4"/>
  <c r="I415" i="4" s="1"/>
  <c r="G415" i="4"/>
  <c r="F415" i="4"/>
  <c r="E415" i="4"/>
  <c r="D415" i="4"/>
  <c r="C415" i="4"/>
  <c r="B415" i="4"/>
  <c r="A415" i="4"/>
  <c r="AG415" i="4" s="1"/>
  <c r="AC414" i="4"/>
  <c r="AB414" i="4"/>
  <c r="AA414" i="4"/>
  <c r="Z414" i="4"/>
  <c r="Y414" i="4"/>
  <c r="X414" i="4"/>
  <c r="W414" i="4"/>
  <c r="V414" i="4"/>
  <c r="T414" i="4"/>
  <c r="U414" i="4" s="1"/>
  <c r="R414" i="4"/>
  <c r="S414" i="4" s="1"/>
  <c r="P414" i="4"/>
  <c r="Q414" i="4" s="1"/>
  <c r="N414" i="4"/>
  <c r="O414" i="4" s="1"/>
  <c r="M414" i="4"/>
  <c r="K414" i="4"/>
  <c r="L414" i="4" s="1"/>
  <c r="J414" i="4"/>
  <c r="H414" i="4"/>
  <c r="I414" i="4" s="1"/>
  <c r="G414" i="4"/>
  <c r="F414" i="4"/>
  <c r="E414" i="4"/>
  <c r="D414" i="4"/>
  <c r="C414" i="4"/>
  <c r="B414" i="4"/>
  <c r="A414" i="4"/>
  <c r="AG414" i="4" s="1"/>
  <c r="AC413" i="4"/>
  <c r="AB413" i="4"/>
  <c r="AA413" i="4"/>
  <c r="Z413" i="4"/>
  <c r="Y413" i="4"/>
  <c r="X413" i="4"/>
  <c r="W413" i="4"/>
  <c r="V413" i="4"/>
  <c r="T413" i="4"/>
  <c r="U413" i="4" s="1"/>
  <c r="R413" i="4"/>
  <c r="S413" i="4" s="1"/>
  <c r="P413" i="4"/>
  <c r="Q413" i="4" s="1"/>
  <c r="N413" i="4"/>
  <c r="O413" i="4" s="1"/>
  <c r="M413" i="4"/>
  <c r="K413" i="4"/>
  <c r="L413" i="4" s="1"/>
  <c r="J413" i="4"/>
  <c r="H413" i="4"/>
  <c r="I413" i="4" s="1"/>
  <c r="G413" i="4"/>
  <c r="F413" i="4"/>
  <c r="E413" i="4"/>
  <c r="D413" i="4"/>
  <c r="C413" i="4"/>
  <c r="B413" i="4"/>
  <c r="A413" i="4"/>
  <c r="AG413" i="4" s="1"/>
  <c r="AC412" i="4"/>
  <c r="AB412" i="4"/>
  <c r="AA412" i="4"/>
  <c r="Z412" i="4"/>
  <c r="Y412" i="4"/>
  <c r="X412" i="4"/>
  <c r="W412" i="4"/>
  <c r="V412" i="4"/>
  <c r="T412" i="4"/>
  <c r="U412" i="4" s="1"/>
  <c r="R412" i="4"/>
  <c r="S412" i="4" s="1"/>
  <c r="P412" i="4"/>
  <c r="Q412" i="4" s="1"/>
  <c r="N412" i="4"/>
  <c r="O412" i="4" s="1"/>
  <c r="M412" i="4"/>
  <c r="K412" i="4"/>
  <c r="L412" i="4" s="1"/>
  <c r="J412" i="4"/>
  <c r="H412" i="4"/>
  <c r="I412" i="4" s="1"/>
  <c r="G412" i="4"/>
  <c r="F412" i="4"/>
  <c r="E412" i="4"/>
  <c r="D412" i="4"/>
  <c r="C412" i="4"/>
  <c r="B412" i="4"/>
  <c r="A412" i="4"/>
  <c r="AG412" i="4" s="1"/>
  <c r="AC411" i="4"/>
  <c r="AB411" i="4"/>
  <c r="AA411" i="4"/>
  <c r="Z411" i="4"/>
  <c r="Y411" i="4"/>
  <c r="X411" i="4"/>
  <c r="W411" i="4"/>
  <c r="V411" i="4"/>
  <c r="T411" i="4"/>
  <c r="U411" i="4" s="1"/>
  <c r="R411" i="4"/>
  <c r="S411" i="4" s="1"/>
  <c r="P411" i="4"/>
  <c r="Q411" i="4" s="1"/>
  <c r="N411" i="4"/>
  <c r="O411" i="4" s="1"/>
  <c r="M411" i="4"/>
  <c r="K411" i="4"/>
  <c r="L411" i="4" s="1"/>
  <c r="J411" i="4"/>
  <c r="H411" i="4"/>
  <c r="I411" i="4" s="1"/>
  <c r="G411" i="4"/>
  <c r="F411" i="4"/>
  <c r="E411" i="4"/>
  <c r="D411" i="4"/>
  <c r="C411" i="4"/>
  <c r="B411" i="4"/>
  <c r="A411" i="4"/>
  <c r="AG411" i="4" s="1"/>
  <c r="AC410" i="4"/>
  <c r="AB410" i="4"/>
  <c r="AA410" i="4"/>
  <c r="Z410" i="4"/>
  <c r="Y410" i="4"/>
  <c r="X410" i="4"/>
  <c r="W410" i="4"/>
  <c r="V410" i="4"/>
  <c r="T410" i="4"/>
  <c r="U410" i="4" s="1"/>
  <c r="R410" i="4"/>
  <c r="S410" i="4" s="1"/>
  <c r="P410" i="4"/>
  <c r="Q410" i="4" s="1"/>
  <c r="N410" i="4"/>
  <c r="O410" i="4" s="1"/>
  <c r="M410" i="4"/>
  <c r="K410" i="4"/>
  <c r="L410" i="4" s="1"/>
  <c r="J410" i="4"/>
  <c r="H410" i="4"/>
  <c r="I410" i="4" s="1"/>
  <c r="G410" i="4"/>
  <c r="F410" i="4"/>
  <c r="E410" i="4"/>
  <c r="D410" i="4"/>
  <c r="C410" i="4"/>
  <c r="B410" i="4"/>
  <c r="A410" i="4"/>
  <c r="AC409" i="4"/>
  <c r="AB409" i="4"/>
  <c r="AA409" i="4"/>
  <c r="Z409" i="4"/>
  <c r="Y409" i="4"/>
  <c r="X409" i="4"/>
  <c r="W409" i="4"/>
  <c r="V409" i="4"/>
  <c r="T409" i="4"/>
  <c r="U409" i="4" s="1"/>
  <c r="R409" i="4"/>
  <c r="S409" i="4" s="1"/>
  <c r="P409" i="4"/>
  <c r="Q409" i="4" s="1"/>
  <c r="N409" i="4"/>
  <c r="O409" i="4" s="1"/>
  <c r="M409" i="4"/>
  <c r="K409" i="4"/>
  <c r="L409" i="4" s="1"/>
  <c r="J409" i="4"/>
  <c r="H409" i="4"/>
  <c r="I409" i="4" s="1"/>
  <c r="G409" i="4"/>
  <c r="F409" i="4"/>
  <c r="E409" i="4"/>
  <c r="D409" i="4"/>
  <c r="C409" i="4"/>
  <c r="B409" i="4"/>
  <c r="A409" i="4"/>
  <c r="AC408" i="4"/>
  <c r="AB408" i="4"/>
  <c r="AA408" i="4"/>
  <c r="Z408" i="4"/>
  <c r="Y408" i="4"/>
  <c r="X408" i="4"/>
  <c r="W408" i="4"/>
  <c r="V408" i="4"/>
  <c r="T408" i="4"/>
  <c r="U408" i="4" s="1"/>
  <c r="R408" i="4"/>
  <c r="S408" i="4" s="1"/>
  <c r="P408" i="4"/>
  <c r="Q408" i="4" s="1"/>
  <c r="N408" i="4"/>
  <c r="O408" i="4" s="1"/>
  <c r="M408" i="4"/>
  <c r="K408" i="4"/>
  <c r="L408" i="4" s="1"/>
  <c r="J408" i="4"/>
  <c r="H408" i="4"/>
  <c r="I408" i="4" s="1"/>
  <c r="G408" i="4"/>
  <c r="F408" i="4"/>
  <c r="E408" i="4"/>
  <c r="D408" i="4"/>
  <c r="C408" i="4"/>
  <c r="B408" i="4"/>
  <c r="A408" i="4"/>
  <c r="AG408" i="4" s="1"/>
  <c r="AD407" i="4"/>
  <c r="AE407" i="4" s="1"/>
  <c r="AC407" i="4"/>
  <c r="AB407" i="4"/>
  <c r="AA407" i="4"/>
  <c r="Z407" i="4"/>
  <c r="Y407" i="4"/>
  <c r="X407" i="4"/>
  <c r="W407" i="4"/>
  <c r="V407" i="4"/>
  <c r="T407" i="4"/>
  <c r="U407" i="4" s="1"/>
  <c r="R407" i="4"/>
  <c r="S407" i="4" s="1"/>
  <c r="P407" i="4"/>
  <c r="Q407" i="4" s="1"/>
  <c r="N407" i="4"/>
  <c r="O407" i="4" s="1"/>
  <c r="M407" i="4"/>
  <c r="K407" i="4"/>
  <c r="L407" i="4" s="1"/>
  <c r="J407" i="4"/>
  <c r="H407" i="4"/>
  <c r="I407" i="4" s="1"/>
  <c r="G407" i="4"/>
  <c r="F407" i="4"/>
  <c r="E407" i="4"/>
  <c r="D407" i="4"/>
  <c r="C407" i="4"/>
  <c r="B407" i="4"/>
  <c r="A407" i="4"/>
  <c r="AC406" i="4"/>
  <c r="AB406" i="4"/>
  <c r="AA406" i="4"/>
  <c r="Z406" i="4"/>
  <c r="Y406" i="4"/>
  <c r="X406" i="4"/>
  <c r="W406" i="4"/>
  <c r="V406" i="4"/>
  <c r="T406" i="4"/>
  <c r="U406" i="4" s="1"/>
  <c r="R406" i="4"/>
  <c r="S406" i="4" s="1"/>
  <c r="P406" i="4"/>
  <c r="Q406" i="4" s="1"/>
  <c r="N406" i="4"/>
  <c r="O406" i="4" s="1"/>
  <c r="M406" i="4"/>
  <c r="K406" i="4"/>
  <c r="L406" i="4" s="1"/>
  <c r="J406" i="4"/>
  <c r="H406" i="4"/>
  <c r="I406" i="4" s="1"/>
  <c r="G406" i="4"/>
  <c r="F406" i="4"/>
  <c r="E406" i="4"/>
  <c r="D406" i="4"/>
  <c r="C406" i="4"/>
  <c r="B406" i="4"/>
  <c r="A406" i="4"/>
  <c r="AG406" i="4" s="1"/>
  <c r="AC405" i="4"/>
  <c r="AB405" i="4"/>
  <c r="AA405" i="4"/>
  <c r="Z405" i="4"/>
  <c r="Y405" i="4"/>
  <c r="X405" i="4"/>
  <c r="W405" i="4"/>
  <c r="V405" i="4"/>
  <c r="T405" i="4"/>
  <c r="U405" i="4" s="1"/>
  <c r="R405" i="4"/>
  <c r="S405" i="4" s="1"/>
  <c r="P405" i="4"/>
  <c r="Q405" i="4" s="1"/>
  <c r="N405" i="4"/>
  <c r="O405" i="4" s="1"/>
  <c r="M405" i="4"/>
  <c r="K405" i="4"/>
  <c r="L405" i="4" s="1"/>
  <c r="J405" i="4"/>
  <c r="H405" i="4"/>
  <c r="I405" i="4" s="1"/>
  <c r="G405" i="4"/>
  <c r="F405" i="4"/>
  <c r="E405" i="4"/>
  <c r="D405" i="4"/>
  <c r="C405" i="4"/>
  <c r="B405" i="4"/>
  <c r="A405" i="4"/>
  <c r="AG405" i="4" s="1"/>
  <c r="AC404" i="4"/>
  <c r="AB404" i="4"/>
  <c r="AA404" i="4"/>
  <c r="Z404" i="4"/>
  <c r="Y404" i="4"/>
  <c r="X404" i="4"/>
  <c r="W404" i="4"/>
  <c r="V404" i="4"/>
  <c r="T404" i="4"/>
  <c r="U404" i="4" s="1"/>
  <c r="R404" i="4"/>
  <c r="S404" i="4" s="1"/>
  <c r="P404" i="4"/>
  <c r="Q404" i="4" s="1"/>
  <c r="N404" i="4"/>
  <c r="O404" i="4" s="1"/>
  <c r="M404" i="4"/>
  <c r="K404" i="4"/>
  <c r="L404" i="4" s="1"/>
  <c r="J404" i="4"/>
  <c r="H404" i="4"/>
  <c r="I404" i="4" s="1"/>
  <c r="G404" i="4"/>
  <c r="F404" i="4"/>
  <c r="E404" i="4"/>
  <c r="D404" i="4"/>
  <c r="C404" i="4"/>
  <c r="B404" i="4"/>
  <c r="A404" i="4"/>
  <c r="AG404" i="4" s="1"/>
  <c r="AC403" i="4"/>
  <c r="AB403" i="4"/>
  <c r="AA403" i="4"/>
  <c r="Z403" i="4"/>
  <c r="Y403" i="4"/>
  <c r="X403" i="4"/>
  <c r="W403" i="4"/>
  <c r="V403" i="4"/>
  <c r="T403" i="4"/>
  <c r="U403" i="4" s="1"/>
  <c r="R403" i="4"/>
  <c r="S403" i="4" s="1"/>
  <c r="P403" i="4"/>
  <c r="Q403" i="4" s="1"/>
  <c r="N403" i="4"/>
  <c r="O403" i="4" s="1"/>
  <c r="M403" i="4"/>
  <c r="K403" i="4"/>
  <c r="L403" i="4" s="1"/>
  <c r="J403" i="4"/>
  <c r="H403" i="4"/>
  <c r="I403" i="4" s="1"/>
  <c r="G403" i="4"/>
  <c r="F403" i="4"/>
  <c r="E403" i="4"/>
  <c r="D403" i="4"/>
  <c r="C403" i="4"/>
  <c r="B403" i="4"/>
  <c r="A403" i="4"/>
  <c r="AC402" i="4"/>
  <c r="AB402" i="4"/>
  <c r="AA402" i="4"/>
  <c r="Z402" i="4"/>
  <c r="Y402" i="4"/>
  <c r="X402" i="4"/>
  <c r="W402" i="4"/>
  <c r="V402" i="4"/>
  <c r="T402" i="4"/>
  <c r="U402" i="4" s="1"/>
  <c r="R402" i="4"/>
  <c r="S402" i="4" s="1"/>
  <c r="P402" i="4"/>
  <c r="Q402" i="4" s="1"/>
  <c r="N402" i="4"/>
  <c r="O402" i="4" s="1"/>
  <c r="M402" i="4"/>
  <c r="K402" i="4"/>
  <c r="L402" i="4" s="1"/>
  <c r="J402" i="4"/>
  <c r="H402" i="4"/>
  <c r="I402" i="4" s="1"/>
  <c r="G402" i="4"/>
  <c r="F402" i="4"/>
  <c r="E402" i="4"/>
  <c r="D402" i="4"/>
  <c r="C402" i="4"/>
  <c r="B402" i="4"/>
  <c r="A402" i="4"/>
  <c r="AG402" i="4" s="1"/>
  <c r="AC401" i="4"/>
  <c r="AB401" i="4"/>
  <c r="AA401" i="4"/>
  <c r="Z401" i="4"/>
  <c r="Y401" i="4"/>
  <c r="X401" i="4"/>
  <c r="W401" i="4"/>
  <c r="V401" i="4"/>
  <c r="T401" i="4"/>
  <c r="U401" i="4" s="1"/>
  <c r="R401" i="4"/>
  <c r="S401" i="4" s="1"/>
  <c r="P401" i="4"/>
  <c r="Q401" i="4" s="1"/>
  <c r="N401" i="4"/>
  <c r="O401" i="4" s="1"/>
  <c r="M401" i="4"/>
  <c r="K401" i="4"/>
  <c r="L401" i="4" s="1"/>
  <c r="J401" i="4"/>
  <c r="H401" i="4"/>
  <c r="I401" i="4" s="1"/>
  <c r="G401" i="4"/>
  <c r="F401" i="4"/>
  <c r="E401" i="4"/>
  <c r="D401" i="4"/>
  <c r="C401" i="4"/>
  <c r="B401" i="4"/>
  <c r="A401" i="4"/>
  <c r="AC400" i="4"/>
  <c r="AB400" i="4"/>
  <c r="AA400" i="4"/>
  <c r="Z400" i="4"/>
  <c r="Y400" i="4"/>
  <c r="X400" i="4"/>
  <c r="W400" i="4"/>
  <c r="V400" i="4"/>
  <c r="T400" i="4"/>
  <c r="U400" i="4" s="1"/>
  <c r="R400" i="4"/>
  <c r="S400" i="4" s="1"/>
  <c r="P400" i="4"/>
  <c r="Q400" i="4" s="1"/>
  <c r="N400" i="4"/>
  <c r="O400" i="4" s="1"/>
  <c r="M400" i="4"/>
  <c r="K400" i="4"/>
  <c r="L400" i="4" s="1"/>
  <c r="J400" i="4"/>
  <c r="H400" i="4"/>
  <c r="I400" i="4" s="1"/>
  <c r="G400" i="4"/>
  <c r="F400" i="4"/>
  <c r="E400" i="4"/>
  <c r="D400" i="4"/>
  <c r="C400" i="4"/>
  <c r="B400" i="4"/>
  <c r="A400" i="4"/>
  <c r="AG400" i="4" s="1"/>
  <c r="AC399" i="4"/>
  <c r="AB399" i="4"/>
  <c r="AA399" i="4"/>
  <c r="Z399" i="4"/>
  <c r="Y399" i="4"/>
  <c r="X399" i="4"/>
  <c r="W399" i="4"/>
  <c r="V399" i="4"/>
  <c r="T399" i="4"/>
  <c r="U399" i="4" s="1"/>
  <c r="R399" i="4"/>
  <c r="S399" i="4" s="1"/>
  <c r="P399" i="4"/>
  <c r="Q399" i="4" s="1"/>
  <c r="N399" i="4"/>
  <c r="O399" i="4" s="1"/>
  <c r="M399" i="4"/>
  <c r="K399" i="4"/>
  <c r="L399" i="4" s="1"/>
  <c r="J399" i="4"/>
  <c r="H399" i="4"/>
  <c r="I399" i="4" s="1"/>
  <c r="G399" i="4"/>
  <c r="F399" i="4"/>
  <c r="E399" i="4"/>
  <c r="D399" i="4"/>
  <c r="C399" i="4"/>
  <c r="B399" i="4"/>
  <c r="A399" i="4"/>
  <c r="AC398" i="4"/>
  <c r="AB398" i="4"/>
  <c r="AA398" i="4"/>
  <c r="Z398" i="4"/>
  <c r="Y398" i="4"/>
  <c r="X398" i="4"/>
  <c r="W398" i="4"/>
  <c r="V398" i="4"/>
  <c r="T398" i="4"/>
  <c r="U398" i="4" s="1"/>
  <c r="R398" i="4"/>
  <c r="S398" i="4" s="1"/>
  <c r="P398" i="4"/>
  <c r="Q398" i="4" s="1"/>
  <c r="N398" i="4"/>
  <c r="O398" i="4" s="1"/>
  <c r="M398" i="4"/>
  <c r="L398" i="4"/>
  <c r="K398" i="4"/>
  <c r="J398" i="4"/>
  <c r="H398" i="4"/>
  <c r="I398" i="4" s="1"/>
  <c r="G398" i="4"/>
  <c r="F398" i="4"/>
  <c r="E398" i="4"/>
  <c r="D398" i="4"/>
  <c r="C398" i="4"/>
  <c r="B398" i="4"/>
  <c r="A398" i="4"/>
  <c r="AG398" i="4" s="1"/>
  <c r="AC397" i="4"/>
  <c r="AB397" i="4"/>
  <c r="AA397" i="4"/>
  <c r="Z397" i="4"/>
  <c r="Y397" i="4"/>
  <c r="X397" i="4"/>
  <c r="W397" i="4"/>
  <c r="V397" i="4"/>
  <c r="T397" i="4"/>
  <c r="U397" i="4" s="1"/>
  <c r="R397" i="4"/>
  <c r="S397" i="4" s="1"/>
  <c r="P397" i="4"/>
  <c r="Q397" i="4" s="1"/>
  <c r="N397" i="4"/>
  <c r="O397" i="4" s="1"/>
  <c r="M397" i="4"/>
  <c r="K397" i="4"/>
  <c r="L397" i="4" s="1"/>
  <c r="J397" i="4"/>
  <c r="H397" i="4"/>
  <c r="I397" i="4" s="1"/>
  <c r="G397" i="4"/>
  <c r="F397" i="4"/>
  <c r="E397" i="4"/>
  <c r="D397" i="4"/>
  <c r="C397" i="4"/>
  <c r="B397" i="4"/>
  <c r="A397" i="4"/>
  <c r="AF397" i="4" s="1"/>
  <c r="AC396" i="4"/>
  <c r="AB396" i="4"/>
  <c r="AA396" i="4"/>
  <c r="Z396" i="4"/>
  <c r="Y396" i="4"/>
  <c r="X396" i="4"/>
  <c r="W396" i="4"/>
  <c r="V396" i="4"/>
  <c r="T396" i="4"/>
  <c r="U396" i="4" s="1"/>
  <c r="R396" i="4"/>
  <c r="S396" i="4" s="1"/>
  <c r="P396" i="4"/>
  <c r="Q396" i="4" s="1"/>
  <c r="N396" i="4"/>
  <c r="O396" i="4" s="1"/>
  <c r="M396" i="4"/>
  <c r="K396" i="4"/>
  <c r="L396" i="4" s="1"/>
  <c r="J396" i="4"/>
  <c r="H396" i="4"/>
  <c r="I396" i="4" s="1"/>
  <c r="G396" i="4"/>
  <c r="F396" i="4"/>
  <c r="E396" i="4"/>
  <c r="D396" i="4"/>
  <c r="C396" i="4"/>
  <c r="B396" i="4"/>
  <c r="A396" i="4"/>
  <c r="AG396" i="4" s="1"/>
  <c r="AC395" i="4"/>
  <c r="AB395" i="4"/>
  <c r="AA395" i="4"/>
  <c r="Z395" i="4"/>
  <c r="Y395" i="4"/>
  <c r="X395" i="4"/>
  <c r="W395" i="4"/>
  <c r="V395" i="4"/>
  <c r="T395" i="4"/>
  <c r="U395" i="4" s="1"/>
  <c r="R395" i="4"/>
  <c r="S395" i="4" s="1"/>
  <c r="P395" i="4"/>
  <c r="Q395" i="4" s="1"/>
  <c r="N395" i="4"/>
  <c r="O395" i="4" s="1"/>
  <c r="M395" i="4"/>
  <c r="K395" i="4"/>
  <c r="L395" i="4" s="1"/>
  <c r="J395" i="4"/>
  <c r="H395" i="4"/>
  <c r="I395" i="4" s="1"/>
  <c r="G395" i="4"/>
  <c r="F395" i="4"/>
  <c r="E395" i="4"/>
  <c r="D395" i="4"/>
  <c r="C395" i="4"/>
  <c r="B395" i="4"/>
  <c r="A395" i="4"/>
  <c r="AD395" i="4" s="1"/>
  <c r="AE395" i="4" s="1"/>
  <c r="AC394" i="4"/>
  <c r="AB394" i="4"/>
  <c r="AA394" i="4"/>
  <c r="Z394" i="4"/>
  <c r="Y394" i="4"/>
  <c r="X394" i="4"/>
  <c r="W394" i="4"/>
  <c r="V394" i="4"/>
  <c r="T394" i="4"/>
  <c r="U394" i="4" s="1"/>
  <c r="R394" i="4"/>
  <c r="S394" i="4" s="1"/>
  <c r="P394" i="4"/>
  <c r="Q394" i="4" s="1"/>
  <c r="N394" i="4"/>
  <c r="O394" i="4" s="1"/>
  <c r="M394" i="4"/>
  <c r="K394" i="4"/>
  <c r="L394" i="4" s="1"/>
  <c r="J394" i="4"/>
  <c r="H394" i="4"/>
  <c r="I394" i="4" s="1"/>
  <c r="G394" i="4"/>
  <c r="F394" i="4"/>
  <c r="E394" i="4"/>
  <c r="D394" i="4"/>
  <c r="C394" i="4"/>
  <c r="B394" i="4"/>
  <c r="A394" i="4"/>
  <c r="AG394" i="4" s="1"/>
  <c r="AC393" i="4"/>
  <c r="AB393" i="4"/>
  <c r="AA393" i="4"/>
  <c r="Z393" i="4"/>
  <c r="Y393" i="4"/>
  <c r="X393" i="4"/>
  <c r="W393" i="4"/>
  <c r="V393" i="4"/>
  <c r="T393" i="4"/>
  <c r="U393" i="4" s="1"/>
  <c r="R393" i="4"/>
  <c r="S393" i="4" s="1"/>
  <c r="P393" i="4"/>
  <c r="Q393" i="4" s="1"/>
  <c r="N393" i="4"/>
  <c r="O393" i="4" s="1"/>
  <c r="M393" i="4"/>
  <c r="K393" i="4"/>
  <c r="L393" i="4" s="1"/>
  <c r="J393" i="4"/>
  <c r="H393" i="4"/>
  <c r="I393" i="4" s="1"/>
  <c r="G393" i="4"/>
  <c r="F393" i="4"/>
  <c r="E393" i="4"/>
  <c r="D393" i="4"/>
  <c r="C393" i="4"/>
  <c r="B393" i="4"/>
  <c r="A393" i="4"/>
  <c r="AG393" i="4" s="1"/>
  <c r="AC392" i="4"/>
  <c r="AB392" i="4"/>
  <c r="AA392" i="4"/>
  <c r="Z392" i="4"/>
  <c r="Y392" i="4"/>
  <c r="X392" i="4"/>
  <c r="W392" i="4"/>
  <c r="V392" i="4"/>
  <c r="T392" i="4"/>
  <c r="U392" i="4" s="1"/>
  <c r="R392" i="4"/>
  <c r="S392" i="4" s="1"/>
  <c r="P392" i="4"/>
  <c r="Q392" i="4" s="1"/>
  <c r="N392" i="4"/>
  <c r="O392" i="4" s="1"/>
  <c r="M392" i="4"/>
  <c r="K392" i="4"/>
  <c r="L392" i="4" s="1"/>
  <c r="J392" i="4"/>
  <c r="H392" i="4"/>
  <c r="I392" i="4" s="1"/>
  <c r="G392" i="4"/>
  <c r="F392" i="4"/>
  <c r="E392" i="4"/>
  <c r="D392" i="4"/>
  <c r="C392" i="4"/>
  <c r="B392" i="4"/>
  <c r="A392" i="4"/>
  <c r="AC391" i="4"/>
  <c r="AB391" i="4"/>
  <c r="AA391" i="4"/>
  <c r="Z391" i="4"/>
  <c r="Y391" i="4"/>
  <c r="X391" i="4"/>
  <c r="W391" i="4"/>
  <c r="V391" i="4"/>
  <c r="T391" i="4"/>
  <c r="U391" i="4" s="1"/>
  <c r="R391" i="4"/>
  <c r="S391" i="4" s="1"/>
  <c r="P391" i="4"/>
  <c r="Q391" i="4" s="1"/>
  <c r="N391" i="4"/>
  <c r="O391" i="4" s="1"/>
  <c r="M391" i="4"/>
  <c r="K391" i="4"/>
  <c r="L391" i="4" s="1"/>
  <c r="J391" i="4"/>
  <c r="H391" i="4"/>
  <c r="I391" i="4" s="1"/>
  <c r="G391" i="4"/>
  <c r="F391" i="4"/>
  <c r="E391" i="4"/>
  <c r="D391" i="4"/>
  <c r="C391" i="4"/>
  <c r="B391" i="4"/>
  <c r="A391" i="4"/>
  <c r="AG391" i="4" s="1"/>
  <c r="AC390" i="4"/>
  <c r="AB390" i="4"/>
  <c r="AA390" i="4"/>
  <c r="Z390" i="4"/>
  <c r="Y390" i="4"/>
  <c r="X390" i="4"/>
  <c r="W390" i="4"/>
  <c r="V390" i="4"/>
  <c r="T390" i="4"/>
  <c r="U390" i="4" s="1"/>
  <c r="R390" i="4"/>
  <c r="S390" i="4" s="1"/>
  <c r="P390" i="4"/>
  <c r="Q390" i="4" s="1"/>
  <c r="N390" i="4"/>
  <c r="O390" i="4" s="1"/>
  <c r="M390" i="4"/>
  <c r="K390" i="4"/>
  <c r="L390" i="4" s="1"/>
  <c r="J390" i="4"/>
  <c r="H390" i="4"/>
  <c r="I390" i="4" s="1"/>
  <c r="G390" i="4"/>
  <c r="F390" i="4"/>
  <c r="E390" i="4"/>
  <c r="D390" i="4"/>
  <c r="C390" i="4"/>
  <c r="B390" i="4"/>
  <c r="A390" i="4"/>
  <c r="AG390" i="4" s="1"/>
  <c r="AC389" i="4"/>
  <c r="AB389" i="4"/>
  <c r="AA389" i="4"/>
  <c r="Z389" i="4"/>
  <c r="Y389" i="4"/>
  <c r="X389" i="4"/>
  <c r="W389" i="4"/>
  <c r="V389" i="4"/>
  <c r="T389" i="4"/>
  <c r="U389" i="4" s="1"/>
  <c r="R389" i="4"/>
  <c r="S389" i="4" s="1"/>
  <c r="P389" i="4"/>
  <c r="Q389" i="4" s="1"/>
  <c r="N389" i="4"/>
  <c r="O389" i="4" s="1"/>
  <c r="M389" i="4"/>
  <c r="K389" i="4"/>
  <c r="L389" i="4" s="1"/>
  <c r="J389" i="4"/>
  <c r="H389" i="4"/>
  <c r="I389" i="4" s="1"/>
  <c r="G389" i="4"/>
  <c r="F389" i="4"/>
  <c r="E389" i="4"/>
  <c r="D389" i="4"/>
  <c r="C389" i="4"/>
  <c r="B389" i="4"/>
  <c r="A389" i="4"/>
  <c r="AC388" i="4"/>
  <c r="AB388" i="4"/>
  <c r="AA388" i="4"/>
  <c r="Z388" i="4"/>
  <c r="Y388" i="4"/>
  <c r="X388" i="4"/>
  <c r="W388" i="4"/>
  <c r="V388" i="4"/>
  <c r="T388" i="4"/>
  <c r="U388" i="4" s="1"/>
  <c r="R388" i="4"/>
  <c r="S388" i="4" s="1"/>
  <c r="P388" i="4"/>
  <c r="Q388" i="4" s="1"/>
  <c r="N388" i="4"/>
  <c r="O388" i="4" s="1"/>
  <c r="M388" i="4"/>
  <c r="K388" i="4"/>
  <c r="L388" i="4" s="1"/>
  <c r="J388" i="4"/>
  <c r="H388" i="4"/>
  <c r="I388" i="4" s="1"/>
  <c r="G388" i="4"/>
  <c r="F388" i="4"/>
  <c r="E388" i="4"/>
  <c r="D388" i="4"/>
  <c r="C388" i="4"/>
  <c r="B388" i="4"/>
  <c r="A388" i="4"/>
  <c r="AG388" i="4" s="1"/>
  <c r="AC387" i="4"/>
  <c r="AB387" i="4"/>
  <c r="AA387" i="4"/>
  <c r="Z387" i="4"/>
  <c r="Y387" i="4"/>
  <c r="X387" i="4"/>
  <c r="W387" i="4"/>
  <c r="V387" i="4"/>
  <c r="T387" i="4"/>
  <c r="U387" i="4" s="1"/>
  <c r="R387" i="4"/>
  <c r="S387" i="4" s="1"/>
  <c r="P387" i="4"/>
  <c r="Q387" i="4" s="1"/>
  <c r="N387" i="4"/>
  <c r="O387" i="4" s="1"/>
  <c r="M387" i="4"/>
  <c r="K387" i="4"/>
  <c r="L387" i="4" s="1"/>
  <c r="J387" i="4"/>
  <c r="H387" i="4"/>
  <c r="I387" i="4" s="1"/>
  <c r="G387" i="4"/>
  <c r="F387" i="4"/>
  <c r="E387" i="4"/>
  <c r="D387" i="4"/>
  <c r="C387" i="4"/>
  <c r="B387" i="4"/>
  <c r="A387" i="4"/>
  <c r="AC386" i="4"/>
  <c r="AB386" i="4"/>
  <c r="AA386" i="4"/>
  <c r="Z386" i="4"/>
  <c r="Y386" i="4"/>
  <c r="X386" i="4"/>
  <c r="W386" i="4"/>
  <c r="V386" i="4"/>
  <c r="T386" i="4"/>
  <c r="U386" i="4" s="1"/>
  <c r="R386" i="4"/>
  <c r="S386" i="4" s="1"/>
  <c r="P386" i="4"/>
  <c r="Q386" i="4" s="1"/>
  <c r="N386" i="4"/>
  <c r="O386" i="4" s="1"/>
  <c r="M386" i="4"/>
  <c r="K386" i="4"/>
  <c r="L386" i="4" s="1"/>
  <c r="J386" i="4"/>
  <c r="H386" i="4"/>
  <c r="I386" i="4" s="1"/>
  <c r="G386" i="4"/>
  <c r="F386" i="4"/>
  <c r="E386" i="4"/>
  <c r="D386" i="4"/>
  <c r="C386" i="4"/>
  <c r="B386" i="4"/>
  <c r="A386" i="4"/>
  <c r="AC385" i="4"/>
  <c r="AB385" i="4"/>
  <c r="AA385" i="4"/>
  <c r="Z385" i="4"/>
  <c r="Y385" i="4"/>
  <c r="X385" i="4"/>
  <c r="W385" i="4"/>
  <c r="V385" i="4"/>
  <c r="T385" i="4"/>
  <c r="U385" i="4" s="1"/>
  <c r="R385" i="4"/>
  <c r="S385" i="4" s="1"/>
  <c r="P385" i="4"/>
  <c r="Q385" i="4" s="1"/>
  <c r="N385" i="4"/>
  <c r="O385" i="4" s="1"/>
  <c r="M385" i="4"/>
  <c r="K385" i="4"/>
  <c r="L385" i="4" s="1"/>
  <c r="J385" i="4"/>
  <c r="H385" i="4"/>
  <c r="I385" i="4" s="1"/>
  <c r="G385" i="4"/>
  <c r="F385" i="4"/>
  <c r="E385" i="4"/>
  <c r="D385" i="4"/>
  <c r="C385" i="4"/>
  <c r="B385" i="4"/>
  <c r="A385" i="4"/>
  <c r="AG385" i="4" s="1"/>
  <c r="AC384" i="4"/>
  <c r="AB384" i="4"/>
  <c r="AA384" i="4"/>
  <c r="Z384" i="4"/>
  <c r="Y384" i="4"/>
  <c r="X384" i="4"/>
  <c r="W384" i="4"/>
  <c r="V384" i="4"/>
  <c r="T384" i="4"/>
  <c r="U384" i="4" s="1"/>
  <c r="R384" i="4"/>
  <c r="S384" i="4" s="1"/>
  <c r="P384" i="4"/>
  <c r="Q384" i="4" s="1"/>
  <c r="N384" i="4"/>
  <c r="O384" i="4" s="1"/>
  <c r="M384" i="4"/>
  <c r="K384" i="4"/>
  <c r="L384" i="4" s="1"/>
  <c r="J384" i="4"/>
  <c r="H384" i="4"/>
  <c r="I384" i="4" s="1"/>
  <c r="G384" i="4"/>
  <c r="F384" i="4"/>
  <c r="E384" i="4"/>
  <c r="D384" i="4"/>
  <c r="C384" i="4"/>
  <c r="B384" i="4"/>
  <c r="A384" i="4"/>
  <c r="AC383" i="4"/>
  <c r="AB383" i="4"/>
  <c r="AA383" i="4"/>
  <c r="Z383" i="4"/>
  <c r="Y383" i="4"/>
  <c r="X383" i="4"/>
  <c r="W383" i="4"/>
  <c r="V383" i="4"/>
  <c r="T383" i="4"/>
  <c r="U383" i="4" s="1"/>
  <c r="R383" i="4"/>
  <c r="S383" i="4" s="1"/>
  <c r="P383" i="4"/>
  <c r="Q383" i="4" s="1"/>
  <c r="N383" i="4"/>
  <c r="O383" i="4" s="1"/>
  <c r="M383" i="4"/>
  <c r="K383" i="4"/>
  <c r="L383" i="4" s="1"/>
  <c r="J383" i="4"/>
  <c r="H383" i="4"/>
  <c r="I383" i="4" s="1"/>
  <c r="G383" i="4"/>
  <c r="F383" i="4"/>
  <c r="E383" i="4"/>
  <c r="D383" i="4"/>
  <c r="C383" i="4"/>
  <c r="B383" i="4"/>
  <c r="A383" i="4"/>
  <c r="AG383" i="4" s="1"/>
  <c r="AC382" i="4"/>
  <c r="AB382" i="4"/>
  <c r="AA382" i="4"/>
  <c r="Z382" i="4"/>
  <c r="Y382" i="4"/>
  <c r="X382" i="4"/>
  <c r="W382" i="4"/>
  <c r="V382" i="4"/>
  <c r="T382" i="4"/>
  <c r="U382" i="4" s="1"/>
  <c r="R382" i="4"/>
  <c r="S382" i="4" s="1"/>
  <c r="P382" i="4"/>
  <c r="Q382" i="4" s="1"/>
  <c r="N382" i="4"/>
  <c r="O382" i="4" s="1"/>
  <c r="M382" i="4"/>
  <c r="K382" i="4"/>
  <c r="L382" i="4" s="1"/>
  <c r="J382" i="4"/>
  <c r="H382" i="4"/>
  <c r="I382" i="4" s="1"/>
  <c r="G382" i="4"/>
  <c r="F382" i="4"/>
  <c r="E382" i="4"/>
  <c r="D382" i="4"/>
  <c r="C382" i="4"/>
  <c r="B382" i="4"/>
  <c r="A382" i="4"/>
  <c r="AC381" i="4"/>
  <c r="AB381" i="4"/>
  <c r="AA381" i="4"/>
  <c r="Z381" i="4"/>
  <c r="Y381" i="4"/>
  <c r="X381" i="4"/>
  <c r="W381" i="4"/>
  <c r="V381" i="4"/>
  <c r="T381" i="4"/>
  <c r="U381" i="4" s="1"/>
  <c r="R381" i="4"/>
  <c r="S381" i="4" s="1"/>
  <c r="P381" i="4"/>
  <c r="Q381" i="4" s="1"/>
  <c r="N381" i="4"/>
  <c r="O381" i="4" s="1"/>
  <c r="M381" i="4"/>
  <c r="K381" i="4"/>
  <c r="L381" i="4" s="1"/>
  <c r="J381" i="4"/>
  <c r="H381" i="4"/>
  <c r="I381" i="4" s="1"/>
  <c r="G381" i="4"/>
  <c r="F381" i="4"/>
  <c r="E381" i="4"/>
  <c r="D381" i="4"/>
  <c r="C381" i="4"/>
  <c r="B381" i="4"/>
  <c r="A381" i="4"/>
  <c r="AG381" i="4" s="1"/>
  <c r="AC380" i="4"/>
  <c r="AB380" i="4"/>
  <c r="AA380" i="4"/>
  <c r="Z380" i="4"/>
  <c r="Y380" i="4"/>
  <c r="X380" i="4"/>
  <c r="W380" i="4"/>
  <c r="V380" i="4"/>
  <c r="T380" i="4"/>
  <c r="U380" i="4" s="1"/>
  <c r="R380" i="4"/>
  <c r="S380" i="4" s="1"/>
  <c r="P380" i="4"/>
  <c r="Q380" i="4" s="1"/>
  <c r="N380" i="4"/>
  <c r="O380" i="4" s="1"/>
  <c r="M380" i="4"/>
  <c r="K380" i="4"/>
  <c r="L380" i="4" s="1"/>
  <c r="J380" i="4"/>
  <c r="H380" i="4"/>
  <c r="I380" i="4" s="1"/>
  <c r="G380" i="4"/>
  <c r="F380" i="4"/>
  <c r="E380" i="4"/>
  <c r="D380" i="4"/>
  <c r="C380" i="4"/>
  <c r="B380" i="4"/>
  <c r="A380" i="4"/>
  <c r="AG380" i="4" s="1"/>
  <c r="AC379" i="4"/>
  <c r="AB379" i="4"/>
  <c r="AA379" i="4"/>
  <c r="Z379" i="4"/>
  <c r="Y379" i="4"/>
  <c r="X379" i="4"/>
  <c r="W379" i="4"/>
  <c r="V379" i="4"/>
  <c r="T379" i="4"/>
  <c r="U379" i="4" s="1"/>
  <c r="R379" i="4"/>
  <c r="S379" i="4" s="1"/>
  <c r="P379" i="4"/>
  <c r="Q379" i="4" s="1"/>
  <c r="N379" i="4"/>
  <c r="O379" i="4" s="1"/>
  <c r="M379" i="4"/>
  <c r="K379" i="4"/>
  <c r="L379" i="4" s="1"/>
  <c r="J379" i="4"/>
  <c r="H379" i="4"/>
  <c r="I379" i="4" s="1"/>
  <c r="G379" i="4"/>
  <c r="F379" i="4"/>
  <c r="E379" i="4"/>
  <c r="D379" i="4"/>
  <c r="C379" i="4"/>
  <c r="B379" i="4"/>
  <c r="A379" i="4"/>
  <c r="AC378" i="4"/>
  <c r="AB378" i="4"/>
  <c r="AA378" i="4"/>
  <c r="Z378" i="4"/>
  <c r="Y378" i="4"/>
  <c r="X378" i="4"/>
  <c r="W378" i="4"/>
  <c r="V378" i="4"/>
  <c r="T378" i="4"/>
  <c r="U378" i="4" s="1"/>
  <c r="R378" i="4"/>
  <c r="S378" i="4" s="1"/>
  <c r="Q378" i="4"/>
  <c r="P378" i="4"/>
  <c r="N378" i="4"/>
  <c r="O378" i="4" s="1"/>
  <c r="M378" i="4"/>
  <c r="K378" i="4"/>
  <c r="L378" i="4" s="1"/>
  <c r="J378" i="4"/>
  <c r="H378" i="4"/>
  <c r="I378" i="4" s="1"/>
  <c r="G378" i="4"/>
  <c r="F378" i="4"/>
  <c r="E378" i="4"/>
  <c r="D378" i="4"/>
  <c r="C378" i="4"/>
  <c r="B378" i="4"/>
  <c r="A378" i="4"/>
  <c r="AG378" i="4" s="1"/>
  <c r="AC377" i="4"/>
  <c r="AB377" i="4"/>
  <c r="AA377" i="4"/>
  <c r="Z377" i="4"/>
  <c r="Y377" i="4"/>
  <c r="X377" i="4"/>
  <c r="W377" i="4"/>
  <c r="V377" i="4"/>
  <c r="T377" i="4"/>
  <c r="U377" i="4" s="1"/>
  <c r="R377" i="4"/>
  <c r="S377" i="4" s="1"/>
  <c r="P377" i="4"/>
  <c r="Q377" i="4" s="1"/>
  <c r="N377" i="4"/>
  <c r="O377" i="4" s="1"/>
  <c r="M377" i="4"/>
  <c r="K377" i="4"/>
  <c r="L377" i="4" s="1"/>
  <c r="J377" i="4"/>
  <c r="H377" i="4"/>
  <c r="I377" i="4" s="1"/>
  <c r="G377" i="4"/>
  <c r="F377" i="4"/>
  <c r="E377" i="4"/>
  <c r="D377" i="4"/>
  <c r="C377" i="4"/>
  <c r="B377" i="4"/>
  <c r="A377" i="4"/>
  <c r="AG377" i="4" s="1"/>
  <c r="AC376" i="4"/>
  <c r="AB376" i="4"/>
  <c r="AA376" i="4"/>
  <c r="Z376" i="4"/>
  <c r="Y376" i="4"/>
  <c r="X376" i="4"/>
  <c r="W376" i="4"/>
  <c r="V376" i="4"/>
  <c r="T376" i="4"/>
  <c r="U376" i="4" s="1"/>
  <c r="R376" i="4"/>
  <c r="S376" i="4" s="1"/>
  <c r="P376" i="4"/>
  <c r="Q376" i="4" s="1"/>
  <c r="N376" i="4"/>
  <c r="O376" i="4" s="1"/>
  <c r="M376" i="4"/>
  <c r="K376" i="4"/>
  <c r="L376" i="4" s="1"/>
  <c r="J376" i="4"/>
  <c r="H376" i="4"/>
  <c r="I376" i="4" s="1"/>
  <c r="G376" i="4"/>
  <c r="F376" i="4"/>
  <c r="E376" i="4"/>
  <c r="D376" i="4"/>
  <c r="C376" i="4"/>
  <c r="B376" i="4"/>
  <c r="A376" i="4"/>
  <c r="AG376" i="4" s="1"/>
  <c r="AC375" i="4"/>
  <c r="AB375" i="4"/>
  <c r="AA375" i="4"/>
  <c r="Z375" i="4"/>
  <c r="Y375" i="4"/>
  <c r="X375" i="4"/>
  <c r="W375" i="4"/>
  <c r="V375" i="4"/>
  <c r="T375" i="4"/>
  <c r="U375" i="4" s="1"/>
  <c r="R375" i="4"/>
  <c r="S375" i="4" s="1"/>
  <c r="P375" i="4"/>
  <c r="Q375" i="4" s="1"/>
  <c r="N375" i="4"/>
  <c r="O375" i="4" s="1"/>
  <c r="M375" i="4"/>
  <c r="K375" i="4"/>
  <c r="L375" i="4" s="1"/>
  <c r="J375" i="4"/>
  <c r="H375" i="4"/>
  <c r="I375" i="4" s="1"/>
  <c r="G375" i="4"/>
  <c r="F375" i="4"/>
  <c r="E375" i="4"/>
  <c r="D375" i="4"/>
  <c r="C375" i="4"/>
  <c r="B375" i="4"/>
  <c r="A375" i="4"/>
  <c r="AG375" i="4" s="1"/>
  <c r="AC374" i="4"/>
  <c r="AB374" i="4"/>
  <c r="AA374" i="4"/>
  <c r="Z374" i="4"/>
  <c r="Y374" i="4"/>
  <c r="X374" i="4"/>
  <c r="W374" i="4"/>
  <c r="V374" i="4"/>
  <c r="T374" i="4"/>
  <c r="U374" i="4" s="1"/>
  <c r="R374" i="4"/>
  <c r="S374" i="4" s="1"/>
  <c r="P374" i="4"/>
  <c r="Q374" i="4" s="1"/>
  <c r="N374" i="4"/>
  <c r="O374" i="4" s="1"/>
  <c r="M374" i="4"/>
  <c r="K374" i="4"/>
  <c r="L374" i="4" s="1"/>
  <c r="J374" i="4"/>
  <c r="H374" i="4"/>
  <c r="I374" i="4" s="1"/>
  <c r="G374" i="4"/>
  <c r="F374" i="4"/>
  <c r="E374" i="4"/>
  <c r="D374" i="4"/>
  <c r="C374" i="4"/>
  <c r="B374" i="4"/>
  <c r="A374" i="4"/>
  <c r="AC373" i="4"/>
  <c r="AB373" i="4"/>
  <c r="AA373" i="4"/>
  <c r="Z373" i="4"/>
  <c r="Y373" i="4"/>
  <c r="X373" i="4"/>
  <c r="W373" i="4"/>
  <c r="V373" i="4"/>
  <c r="T373" i="4"/>
  <c r="U373" i="4" s="1"/>
  <c r="R373" i="4"/>
  <c r="S373" i="4" s="1"/>
  <c r="P373" i="4"/>
  <c r="Q373" i="4" s="1"/>
  <c r="N373" i="4"/>
  <c r="O373" i="4" s="1"/>
  <c r="M373" i="4"/>
  <c r="K373" i="4"/>
  <c r="L373" i="4" s="1"/>
  <c r="J373" i="4"/>
  <c r="H373" i="4"/>
  <c r="I373" i="4" s="1"/>
  <c r="G373" i="4"/>
  <c r="F373" i="4"/>
  <c r="E373" i="4"/>
  <c r="D373" i="4"/>
  <c r="C373" i="4"/>
  <c r="B373" i="4"/>
  <c r="A373" i="4"/>
  <c r="AC372" i="4"/>
  <c r="AB372" i="4"/>
  <c r="AA372" i="4"/>
  <c r="Z372" i="4"/>
  <c r="Y372" i="4"/>
  <c r="X372" i="4"/>
  <c r="W372" i="4"/>
  <c r="V372" i="4"/>
  <c r="T372" i="4"/>
  <c r="U372" i="4" s="1"/>
  <c r="R372" i="4"/>
  <c r="S372" i="4" s="1"/>
  <c r="P372" i="4"/>
  <c r="Q372" i="4" s="1"/>
  <c r="N372" i="4"/>
  <c r="O372" i="4" s="1"/>
  <c r="M372" i="4"/>
  <c r="K372" i="4"/>
  <c r="L372" i="4" s="1"/>
  <c r="J372" i="4"/>
  <c r="H372" i="4"/>
  <c r="I372" i="4" s="1"/>
  <c r="G372" i="4"/>
  <c r="F372" i="4"/>
  <c r="E372" i="4"/>
  <c r="D372" i="4"/>
  <c r="C372" i="4"/>
  <c r="B372" i="4"/>
  <c r="A372" i="4"/>
  <c r="AG372" i="4" s="1"/>
  <c r="AE371" i="4"/>
  <c r="AC371" i="4"/>
  <c r="AB371" i="4"/>
  <c r="AA371" i="4"/>
  <c r="Z371" i="4"/>
  <c r="Y371" i="4"/>
  <c r="X371" i="4"/>
  <c r="W371" i="4"/>
  <c r="V371" i="4"/>
  <c r="T371" i="4"/>
  <c r="U371" i="4" s="1"/>
  <c r="R371" i="4"/>
  <c r="S371" i="4" s="1"/>
  <c r="P371" i="4"/>
  <c r="Q371" i="4" s="1"/>
  <c r="N371" i="4"/>
  <c r="O371" i="4" s="1"/>
  <c r="M371" i="4"/>
  <c r="K371" i="4"/>
  <c r="L371" i="4" s="1"/>
  <c r="J371" i="4"/>
  <c r="H371" i="4"/>
  <c r="I371" i="4" s="1"/>
  <c r="G371" i="4"/>
  <c r="F371" i="4"/>
  <c r="E371" i="4"/>
  <c r="D371" i="4"/>
  <c r="C371" i="4"/>
  <c r="B371" i="4"/>
  <c r="A371" i="4"/>
  <c r="AD371" i="4" s="1"/>
  <c r="AC370" i="4"/>
  <c r="AB370" i="4"/>
  <c r="AA370" i="4"/>
  <c r="Z370" i="4"/>
  <c r="Y370" i="4"/>
  <c r="X370" i="4"/>
  <c r="W370" i="4"/>
  <c r="V370" i="4"/>
  <c r="T370" i="4"/>
  <c r="U370" i="4" s="1"/>
  <c r="R370" i="4"/>
  <c r="S370" i="4" s="1"/>
  <c r="P370" i="4"/>
  <c r="Q370" i="4" s="1"/>
  <c r="N370" i="4"/>
  <c r="O370" i="4" s="1"/>
  <c r="M370" i="4"/>
  <c r="K370" i="4"/>
  <c r="L370" i="4" s="1"/>
  <c r="J370" i="4"/>
  <c r="H370" i="4"/>
  <c r="I370" i="4" s="1"/>
  <c r="G370" i="4"/>
  <c r="F370" i="4"/>
  <c r="E370" i="4"/>
  <c r="D370" i="4"/>
  <c r="C370" i="4"/>
  <c r="B370" i="4"/>
  <c r="A370" i="4"/>
  <c r="AC369" i="4"/>
  <c r="AB369" i="4"/>
  <c r="AA369" i="4"/>
  <c r="Z369" i="4"/>
  <c r="Y369" i="4"/>
  <c r="X369" i="4"/>
  <c r="W369" i="4"/>
  <c r="V369" i="4"/>
  <c r="T369" i="4"/>
  <c r="U369" i="4" s="1"/>
  <c r="R369" i="4"/>
  <c r="S369" i="4" s="1"/>
  <c r="P369" i="4"/>
  <c r="Q369" i="4" s="1"/>
  <c r="N369" i="4"/>
  <c r="O369" i="4" s="1"/>
  <c r="M369" i="4"/>
  <c r="K369" i="4"/>
  <c r="L369" i="4" s="1"/>
  <c r="J369" i="4"/>
  <c r="I369" i="4"/>
  <c r="H369" i="4"/>
  <c r="G369" i="4"/>
  <c r="F369" i="4"/>
  <c r="E369" i="4"/>
  <c r="D369" i="4"/>
  <c r="C369" i="4"/>
  <c r="B369" i="4"/>
  <c r="A369" i="4"/>
  <c r="AC368" i="4"/>
  <c r="AB368" i="4"/>
  <c r="AA368" i="4"/>
  <c r="Z368" i="4"/>
  <c r="Y368" i="4"/>
  <c r="X368" i="4"/>
  <c r="W368" i="4"/>
  <c r="V368" i="4"/>
  <c r="T368" i="4"/>
  <c r="U368" i="4" s="1"/>
  <c r="R368" i="4"/>
  <c r="S368" i="4" s="1"/>
  <c r="P368" i="4"/>
  <c r="Q368" i="4" s="1"/>
  <c r="N368" i="4"/>
  <c r="O368" i="4" s="1"/>
  <c r="M368" i="4"/>
  <c r="K368" i="4"/>
  <c r="L368" i="4" s="1"/>
  <c r="J368" i="4"/>
  <c r="I368" i="4"/>
  <c r="H368" i="4"/>
  <c r="G368" i="4"/>
  <c r="F368" i="4"/>
  <c r="E368" i="4"/>
  <c r="D368" i="4"/>
  <c r="C368" i="4"/>
  <c r="B368" i="4"/>
  <c r="A368" i="4"/>
  <c r="AG368" i="4" s="1"/>
  <c r="AC367" i="4"/>
  <c r="AB367" i="4"/>
  <c r="AA367" i="4"/>
  <c r="Z367" i="4"/>
  <c r="Y367" i="4"/>
  <c r="X367" i="4"/>
  <c r="W367" i="4"/>
  <c r="V367" i="4"/>
  <c r="T367" i="4"/>
  <c r="U367" i="4" s="1"/>
  <c r="R367" i="4"/>
  <c r="S367" i="4" s="1"/>
  <c r="P367" i="4"/>
  <c r="Q367" i="4" s="1"/>
  <c r="N367" i="4"/>
  <c r="O367" i="4" s="1"/>
  <c r="M367" i="4"/>
  <c r="K367" i="4"/>
  <c r="L367" i="4" s="1"/>
  <c r="J367" i="4"/>
  <c r="H367" i="4"/>
  <c r="I367" i="4" s="1"/>
  <c r="G367" i="4"/>
  <c r="F367" i="4"/>
  <c r="E367" i="4"/>
  <c r="D367" i="4"/>
  <c r="C367" i="4"/>
  <c r="B367" i="4"/>
  <c r="A367" i="4"/>
  <c r="AG367" i="4" s="1"/>
  <c r="AC366" i="4"/>
  <c r="AB366" i="4"/>
  <c r="AA366" i="4"/>
  <c r="Z366" i="4"/>
  <c r="Y366" i="4"/>
  <c r="X366" i="4"/>
  <c r="W366" i="4"/>
  <c r="V366" i="4"/>
  <c r="T366" i="4"/>
  <c r="U366" i="4" s="1"/>
  <c r="R366" i="4"/>
  <c r="S366" i="4" s="1"/>
  <c r="P366" i="4"/>
  <c r="Q366" i="4" s="1"/>
  <c r="N366" i="4"/>
  <c r="O366" i="4" s="1"/>
  <c r="M366" i="4"/>
  <c r="K366" i="4"/>
  <c r="L366" i="4" s="1"/>
  <c r="J366" i="4"/>
  <c r="H366" i="4"/>
  <c r="I366" i="4" s="1"/>
  <c r="G366" i="4"/>
  <c r="F366" i="4"/>
  <c r="E366" i="4"/>
  <c r="D366" i="4"/>
  <c r="C366" i="4"/>
  <c r="B366" i="4"/>
  <c r="A366" i="4"/>
  <c r="AC365" i="4"/>
  <c r="AB365" i="4"/>
  <c r="AA365" i="4"/>
  <c r="Z365" i="4"/>
  <c r="Y365" i="4"/>
  <c r="X365" i="4"/>
  <c r="W365" i="4"/>
  <c r="V365" i="4"/>
  <c r="T365" i="4"/>
  <c r="U365" i="4" s="1"/>
  <c r="R365" i="4"/>
  <c r="S365" i="4" s="1"/>
  <c r="P365" i="4"/>
  <c r="Q365" i="4" s="1"/>
  <c r="N365" i="4"/>
  <c r="O365" i="4" s="1"/>
  <c r="M365" i="4"/>
  <c r="K365" i="4"/>
  <c r="L365" i="4" s="1"/>
  <c r="J365" i="4"/>
  <c r="I365" i="4"/>
  <c r="H365" i="4"/>
  <c r="G365" i="4"/>
  <c r="F365" i="4"/>
  <c r="E365" i="4"/>
  <c r="D365" i="4"/>
  <c r="C365" i="4"/>
  <c r="B365" i="4"/>
  <c r="A365" i="4"/>
  <c r="AC364" i="4"/>
  <c r="AB364" i="4"/>
  <c r="AA364" i="4"/>
  <c r="Z364" i="4"/>
  <c r="Y364" i="4"/>
  <c r="X364" i="4"/>
  <c r="W364" i="4"/>
  <c r="V364" i="4"/>
  <c r="T364" i="4"/>
  <c r="U364" i="4" s="1"/>
  <c r="R364" i="4"/>
  <c r="S364" i="4" s="1"/>
  <c r="P364" i="4"/>
  <c r="Q364" i="4" s="1"/>
  <c r="N364" i="4"/>
  <c r="O364" i="4" s="1"/>
  <c r="M364" i="4"/>
  <c r="K364" i="4"/>
  <c r="L364" i="4" s="1"/>
  <c r="J364" i="4"/>
  <c r="H364" i="4"/>
  <c r="I364" i="4" s="1"/>
  <c r="G364" i="4"/>
  <c r="F364" i="4"/>
  <c r="E364" i="4"/>
  <c r="D364" i="4"/>
  <c r="C364" i="4"/>
  <c r="B364" i="4"/>
  <c r="A364" i="4"/>
  <c r="AC363" i="4"/>
  <c r="AB363" i="4"/>
  <c r="AA363" i="4"/>
  <c r="Z363" i="4"/>
  <c r="Y363" i="4"/>
  <c r="X363" i="4"/>
  <c r="W363" i="4"/>
  <c r="V363" i="4"/>
  <c r="T363" i="4"/>
  <c r="U363" i="4" s="1"/>
  <c r="R363" i="4"/>
  <c r="S363" i="4" s="1"/>
  <c r="P363" i="4"/>
  <c r="Q363" i="4" s="1"/>
  <c r="N363" i="4"/>
  <c r="O363" i="4" s="1"/>
  <c r="M363" i="4"/>
  <c r="K363" i="4"/>
  <c r="L363" i="4" s="1"/>
  <c r="J363" i="4"/>
  <c r="H363" i="4"/>
  <c r="I363" i="4" s="1"/>
  <c r="G363" i="4"/>
  <c r="F363" i="4"/>
  <c r="E363" i="4"/>
  <c r="D363" i="4"/>
  <c r="C363" i="4"/>
  <c r="B363" i="4"/>
  <c r="A363" i="4"/>
  <c r="AC362" i="4"/>
  <c r="AB362" i="4"/>
  <c r="AA362" i="4"/>
  <c r="Z362" i="4"/>
  <c r="Y362" i="4"/>
  <c r="X362" i="4"/>
  <c r="W362" i="4"/>
  <c r="V362" i="4"/>
  <c r="T362" i="4"/>
  <c r="U362" i="4" s="1"/>
  <c r="R362" i="4"/>
  <c r="S362" i="4" s="1"/>
  <c r="P362" i="4"/>
  <c r="Q362" i="4" s="1"/>
  <c r="N362" i="4"/>
  <c r="O362" i="4" s="1"/>
  <c r="M362" i="4"/>
  <c r="K362" i="4"/>
  <c r="L362" i="4" s="1"/>
  <c r="J362" i="4"/>
  <c r="H362" i="4"/>
  <c r="I362" i="4" s="1"/>
  <c r="G362" i="4"/>
  <c r="F362" i="4"/>
  <c r="E362" i="4"/>
  <c r="D362" i="4"/>
  <c r="C362" i="4"/>
  <c r="B362" i="4"/>
  <c r="A362" i="4"/>
  <c r="AC361" i="4"/>
  <c r="AB361" i="4"/>
  <c r="AA361" i="4"/>
  <c r="Z361" i="4"/>
  <c r="Y361" i="4"/>
  <c r="X361" i="4"/>
  <c r="W361" i="4"/>
  <c r="V361" i="4"/>
  <c r="T361" i="4"/>
  <c r="U361" i="4" s="1"/>
  <c r="R361" i="4"/>
  <c r="S361" i="4" s="1"/>
  <c r="P361" i="4"/>
  <c r="Q361" i="4" s="1"/>
  <c r="N361" i="4"/>
  <c r="O361" i="4" s="1"/>
  <c r="M361" i="4"/>
  <c r="K361" i="4"/>
  <c r="L361" i="4" s="1"/>
  <c r="J361" i="4"/>
  <c r="H361" i="4"/>
  <c r="I361" i="4" s="1"/>
  <c r="G361" i="4"/>
  <c r="F361" i="4"/>
  <c r="E361" i="4"/>
  <c r="D361" i="4"/>
  <c r="C361" i="4"/>
  <c r="B361" i="4"/>
  <c r="A361" i="4"/>
  <c r="AG361" i="4" s="1"/>
  <c r="AC360" i="4"/>
  <c r="AB360" i="4"/>
  <c r="AA360" i="4"/>
  <c r="Z360" i="4"/>
  <c r="Y360" i="4"/>
  <c r="X360" i="4"/>
  <c r="W360" i="4"/>
  <c r="V360" i="4"/>
  <c r="T360" i="4"/>
  <c r="U360" i="4" s="1"/>
  <c r="R360" i="4"/>
  <c r="S360" i="4" s="1"/>
  <c r="P360" i="4"/>
  <c r="Q360" i="4" s="1"/>
  <c r="N360" i="4"/>
  <c r="O360" i="4" s="1"/>
  <c r="M360" i="4"/>
  <c r="K360" i="4"/>
  <c r="L360" i="4" s="1"/>
  <c r="J360" i="4"/>
  <c r="I360" i="4"/>
  <c r="H360" i="4"/>
  <c r="G360" i="4"/>
  <c r="F360" i="4"/>
  <c r="E360" i="4"/>
  <c r="D360" i="4"/>
  <c r="C360" i="4"/>
  <c r="B360" i="4"/>
  <c r="A360" i="4"/>
  <c r="AC359" i="4"/>
  <c r="AB359" i="4"/>
  <c r="AA359" i="4"/>
  <c r="Z359" i="4"/>
  <c r="Y359" i="4"/>
  <c r="X359" i="4"/>
  <c r="W359" i="4"/>
  <c r="V359" i="4"/>
  <c r="T359" i="4"/>
  <c r="U359" i="4" s="1"/>
  <c r="R359" i="4"/>
  <c r="S359" i="4" s="1"/>
  <c r="P359" i="4"/>
  <c r="Q359" i="4" s="1"/>
  <c r="O359" i="4"/>
  <c r="N359" i="4"/>
  <c r="M359" i="4"/>
  <c r="K359" i="4"/>
  <c r="L359" i="4" s="1"/>
  <c r="J359" i="4"/>
  <c r="H359" i="4"/>
  <c r="I359" i="4" s="1"/>
  <c r="G359" i="4"/>
  <c r="F359" i="4"/>
  <c r="E359" i="4"/>
  <c r="D359" i="4"/>
  <c r="C359" i="4"/>
  <c r="B359" i="4"/>
  <c r="A359" i="4"/>
  <c r="AG359" i="4" s="1"/>
  <c r="AC358" i="4"/>
  <c r="AB358" i="4"/>
  <c r="AA358" i="4"/>
  <c r="Z358" i="4"/>
  <c r="Y358" i="4"/>
  <c r="X358" i="4"/>
  <c r="W358" i="4"/>
  <c r="V358" i="4"/>
  <c r="T358" i="4"/>
  <c r="U358" i="4" s="1"/>
  <c r="R358" i="4"/>
  <c r="S358" i="4" s="1"/>
  <c r="P358" i="4"/>
  <c r="Q358" i="4" s="1"/>
  <c r="N358" i="4"/>
  <c r="O358" i="4" s="1"/>
  <c r="M358" i="4"/>
  <c r="K358" i="4"/>
  <c r="L358" i="4" s="1"/>
  <c r="J358" i="4"/>
  <c r="H358" i="4"/>
  <c r="I358" i="4" s="1"/>
  <c r="G358" i="4"/>
  <c r="F358" i="4"/>
  <c r="E358" i="4"/>
  <c r="D358" i="4"/>
  <c r="C358" i="4"/>
  <c r="B358" i="4"/>
  <c r="A358" i="4"/>
  <c r="AG358" i="4" s="1"/>
  <c r="AC357" i="4"/>
  <c r="AB357" i="4"/>
  <c r="AA357" i="4"/>
  <c r="Z357" i="4"/>
  <c r="Y357" i="4"/>
  <c r="X357" i="4"/>
  <c r="W357" i="4"/>
  <c r="V357" i="4"/>
  <c r="T357" i="4"/>
  <c r="U357" i="4" s="1"/>
  <c r="R357" i="4"/>
  <c r="S357" i="4" s="1"/>
  <c r="P357" i="4"/>
  <c r="Q357" i="4" s="1"/>
  <c r="N357" i="4"/>
  <c r="O357" i="4" s="1"/>
  <c r="M357" i="4"/>
  <c r="K357" i="4"/>
  <c r="L357" i="4" s="1"/>
  <c r="J357" i="4"/>
  <c r="H357" i="4"/>
  <c r="I357" i="4" s="1"/>
  <c r="G357" i="4"/>
  <c r="F357" i="4"/>
  <c r="E357" i="4"/>
  <c r="D357" i="4"/>
  <c r="C357" i="4"/>
  <c r="B357" i="4"/>
  <c r="A357" i="4"/>
  <c r="AF357" i="4" s="1"/>
  <c r="AC356" i="4"/>
  <c r="AB356" i="4"/>
  <c r="AA356" i="4"/>
  <c r="Z356" i="4"/>
  <c r="Y356" i="4"/>
  <c r="X356" i="4"/>
  <c r="W356" i="4"/>
  <c r="V356" i="4"/>
  <c r="T356" i="4"/>
  <c r="U356" i="4" s="1"/>
  <c r="R356" i="4"/>
  <c r="S356" i="4" s="1"/>
  <c r="P356" i="4"/>
  <c r="Q356" i="4" s="1"/>
  <c r="N356" i="4"/>
  <c r="O356" i="4" s="1"/>
  <c r="M356" i="4"/>
  <c r="K356" i="4"/>
  <c r="L356" i="4" s="1"/>
  <c r="J356" i="4"/>
  <c r="H356" i="4"/>
  <c r="I356" i="4" s="1"/>
  <c r="G356" i="4"/>
  <c r="F356" i="4"/>
  <c r="E356" i="4"/>
  <c r="D356" i="4"/>
  <c r="C356" i="4"/>
  <c r="B356" i="4"/>
  <c r="A356" i="4"/>
  <c r="AC355" i="4"/>
  <c r="AB355" i="4"/>
  <c r="AA355" i="4"/>
  <c r="Z355" i="4"/>
  <c r="Y355" i="4"/>
  <c r="X355" i="4"/>
  <c r="W355" i="4"/>
  <c r="V355" i="4"/>
  <c r="T355" i="4"/>
  <c r="U355" i="4" s="1"/>
  <c r="R355" i="4"/>
  <c r="S355" i="4" s="1"/>
  <c r="P355" i="4"/>
  <c r="Q355" i="4" s="1"/>
  <c r="N355" i="4"/>
  <c r="O355" i="4" s="1"/>
  <c r="M355" i="4"/>
  <c r="K355" i="4"/>
  <c r="L355" i="4" s="1"/>
  <c r="J355" i="4"/>
  <c r="H355" i="4"/>
  <c r="I355" i="4" s="1"/>
  <c r="G355" i="4"/>
  <c r="F355" i="4"/>
  <c r="E355" i="4"/>
  <c r="D355" i="4"/>
  <c r="C355" i="4"/>
  <c r="B355" i="4"/>
  <c r="A355" i="4"/>
  <c r="AF355" i="4" s="1"/>
  <c r="AC354" i="4"/>
  <c r="AB354" i="4"/>
  <c r="AA354" i="4"/>
  <c r="Z354" i="4"/>
  <c r="Y354" i="4"/>
  <c r="X354" i="4"/>
  <c r="W354" i="4"/>
  <c r="V354" i="4"/>
  <c r="T354" i="4"/>
  <c r="U354" i="4" s="1"/>
  <c r="R354" i="4"/>
  <c r="S354" i="4" s="1"/>
  <c r="P354" i="4"/>
  <c r="Q354" i="4" s="1"/>
  <c r="N354" i="4"/>
  <c r="O354" i="4" s="1"/>
  <c r="M354" i="4"/>
  <c r="K354" i="4"/>
  <c r="L354" i="4" s="1"/>
  <c r="J354" i="4"/>
  <c r="H354" i="4"/>
  <c r="I354" i="4" s="1"/>
  <c r="G354" i="4"/>
  <c r="F354" i="4"/>
  <c r="E354" i="4"/>
  <c r="D354" i="4"/>
  <c r="C354" i="4"/>
  <c r="B354" i="4"/>
  <c r="A354" i="4"/>
  <c r="AC353" i="4"/>
  <c r="AB353" i="4"/>
  <c r="AA353" i="4"/>
  <c r="Z353" i="4"/>
  <c r="Y353" i="4"/>
  <c r="X353" i="4"/>
  <c r="W353" i="4"/>
  <c r="V353" i="4"/>
  <c r="T353" i="4"/>
  <c r="U353" i="4" s="1"/>
  <c r="R353" i="4"/>
  <c r="S353" i="4" s="1"/>
  <c r="P353" i="4"/>
  <c r="Q353" i="4" s="1"/>
  <c r="N353" i="4"/>
  <c r="O353" i="4" s="1"/>
  <c r="M353" i="4"/>
  <c r="K353" i="4"/>
  <c r="L353" i="4" s="1"/>
  <c r="J353" i="4"/>
  <c r="H353" i="4"/>
  <c r="I353" i="4" s="1"/>
  <c r="G353" i="4"/>
  <c r="F353" i="4"/>
  <c r="E353" i="4"/>
  <c r="D353" i="4"/>
  <c r="C353" i="4"/>
  <c r="B353" i="4"/>
  <c r="A353" i="4"/>
  <c r="AC352" i="4"/>
  <c r="AB352" i="4"/>
  <c r="AA352" i="4"/>
  <c r="Z352" i="4"/>
  <c r="Y352" i="4"/>
  <c r="X352" i="4"/>
  <c r="W352" i="4"/>
  <c r="V352" i="4"/>
  <c r="T352" i="4"/>
  <c r="U352" i="4" s="1"/>
  <c r="R352" i="4"/>
  <c r="S352" i="4" s="1"/>
  <c r="P352" i="4"/>
  <c r="Q352" i="4" s="1"/>
  <c r="N352" i="4"/>
  <c r="O352" i="4" s="1"/>
  <c r="M352" i="4"/>
  <c r="K352" i="4"/>
  <c r="L352" i="4" s="1"/>
  <c r="J352" i="4"/>
  <c r="H352" i="4"/>
  <c r="I352" i="4" s="1"/>
  <c r="G352" i="4"/>
  <c r="F352" i="4"/>
  <c r="E352" i="4"/>
  <c r="D352" i="4"/>
  <c r="C352" i="4"/>
  <c r="B352" i="4"/>
  <c r="A352" i="4"/>
  <c r="AC351" i="4"/>
  <c r="AB351" i="4"/>
  <c r="AA351" i="4"/>
  <c r="Z351" i="4"/>
  <c r="Y351" i="4"/>
  <c r="X351" i="4"/>
  <c r="W351" i="4"/>
  <c r="V351" i="4"/>
  <c r="T351" i="4"/>
  <c r="U351" i="4" s="1"/>
  <c r="R351" i="4"/>
  <c r="S351" i="4" s="1"/>
  <c r="P351" i="4"/>
  <c r="Q351" i="4" s="1"/>
  <c r="N351" i="4"/>
  <c r="O351" i="4" s="1"/>
  <c r="M351" i="4"/>
  <c r="K351" i="4"/>
  <c r="L351" i="4" s="1"/>
  <c r="J351" i="4"/>
  <c r="H351" i="4"/>
  <c r="I351" i="4" s="1"/>
  <c r="G351" i="4"/>
  <c r="F351" i="4"/>
  <c r="E351" i="4"/>
  <c r="D351" i="4"/>
  <c r="C351" i="4"/>
  <c r="B351" i="4"/>
  <c r="A351" i="4"/>
  <c r="AG351" i="4" s="1"/>
  <c r="AC350" i="4"/>
  <c r="AB350" i="4"/>
  <c r="AA350" i="4"/>
  <c r="Z350" i="4"/>
  <c r="Y350" i="4"/>
  <c r="X350" i="4"/>
  <c r="W350" i="4"/>
  <c r="V350" i="4"/>
  <c r="T350" i="4"/>
  <c r="U350" i="4" s="1"/>
  <c r="R350" i="4"/>
  <c r="S350" i="4" s="1"/>
  <c r="P350" i="4"/>
  <c r="Q350" i="4" s="1"/>
  <c r="N350" i="4"/>
  <c r="O350" i="4" s="1"/>
  <c r="M350" i="4"/>
  <c r="K350" i="4"/>
  <c r="L350" i="4" s="1"/>
  <c r="J350" i="4"/>
  <c r="H350" i="4"/>
  <c r="I350" i="4" s="1"/>
  <c r="G350" i="4"/>
  <c r="F350" i="4"/>
  <c r="E350" i="4"/>
  <c r="D350" i="4"/>
  <c r="C350" i="4"/>
  <c r="B350" i="4"/>
  <c r="A350" i="4"/>
  <c r="AG350" i="4" s="1"/>
  <c r="AC349" i="4"/>
  <c r="AB349" i="4"/>
  <c r="AA349" i="4"/>
  <c r="Z349" i="4"/>
  <c r="Y349" i="4"/>
  <c r="X349" i="4"/>
  <c r="W349" i="4"/>
  <c r="V349" i="4"/>
  <c r="T349" i="4"/>
  <c r="U349" i="4" s="1"/>
  <c r="R349" i="4"/>
  <c r="S349" i="4" s="1"/>
  <c r="P349" i="4"/>
  <c r="Q349" i="4" s="1"/>
  <c r="N349" i="4"/>
  <c r="O349" i="4" s="1"/>
  <c r="M349" i="4"/>
  <c r="K349" i="4"/>
  <c r="L349" i="4" s="1"/>
  <c r="J349" i="4"/>
  <c r="H349" i="4"/>
  <c r="I349" i="4" s="1"/>
  <c r="G349" i="4"/>
  <c r="F349" i="4"/>
  <c r="E349" i="4"/>
  <c r="D349" i="4"/>
  <c r="C349" i="4"/>
  <c r="B349" i="4"/>
  <c r="A349" i="4"/>
  <c r="AF349" i="4" s="1"/>
  <c r="AC348" i="4"/>
  <c r="AB348" i="4"/>
  <c r="AA348" i="4"/>
  <c r="Z348" i="4"/>
  <c r="Y348" i="4"/>
  <c r="X348" i="4"/>
  <c r="W348" i="4"/>
  <c r="V348" i="4"/>
  <c r="T348" i="4"/>
  <c r="U348" i="4" s="1"/>
  <c r="R348" i="4"/>
  <c r="S348" i="4" s="1"/>
  <c r="P348" i="4"/>
  <c r="Q348" i="4" s="1"/>
  <c r="N348" i="4"/>
  <c r="O348" i="4" s="1"/>
  <c r="M348" i="4"/>
  <c r="K348" i="4"/>
  <c r="L348" i="4" s="1"/>
  <c r="J348" i="4"/>
  <c r="H348" i="4"/>
  <c r="I348" i="4" s="1"/>
  <c r="G348" i="4"/>
  <c r="F348" i="4"/>
  <c r="E348" i="4"/>
  <c r="D348" i="4"/>
  <c r="C348" i="4"/>
  <c r="B348" i="4"/>
  <c r="A348" i="4"/>
  <c r="AD348" i="4" s="1"/>
  <c r="AE348" i="4" s="1"/>
  <c r="AC347" i="4"/>
  <c r="AB347" i="4"/>
  <c r="AA347" i="4"/>
  <c r="Z347" i="4"/>
  <c r="Y347" i="4"/>
  <c r="X347" i="4"/>
  <c r="W347" i="4"/>
  <c r="V347" i="4"/>
  <c r="T347" i="4"/>
  <c r="U347" i="4" s="1"/>
  <c r="R347" i="4"/>
  <c r="S347" i="4" s="1"/>
  <c r="P347" i="4"/>
  <c r="Q347" i="4" s="1"/>
  <c r="N347" i="4"/>
  <c r="O347" i="4" s="1"/>
  <c r="M347" i="4"/>
  <c r="K347" i="4"/>
  <c r="L347" i="4" s="1"/>
  <c r="J347" i="4"/>
  <c r="H347" i="4"/>
  <c r="I347" i="4" s="1"/>
  <c r="G347" i="4"/>
  <c r="F347" i="4"/>
  <c r="E347" i="4"/>
  <c r="D347" i="4"/>
  <c r="C347" i="4"/>
  <c r="B347" i="4"/>
  <c r="A347" i="4"/>
  <c r="AC346" i="4"/>
  <c r="AB346" i="4"/>
  <c r="AA346" i="4"/>
  <c r="Z346" i="4"/>
  <c r="Y346" i="4"/>
  <c r="X346" i="4"/>
  <c r="W346" i="4"/>
  <c r="V346" i="4"/>
  <c r="U346" i="4"/>
  <c r="T346" i="4"/>
  <c r="R346" i="4"/>
  <c r="S346" i="4" s="1"/>
  <c r="P346" i="4"/>
  <c r="Q346" i="4" s="1"/>
  <c r="N346" i="4"/>
  <c r="O346" i="4" s="1"/>
  <c r="M346" i="4"/>
  <c r="K346" i="4"/>
  <c r="L346" i="4" s="1"/>
  <c r="J346" i="4"/>
  <c r="H346" i="4"/>
  <c r="I346" i="4" s="1"/>
  <c r="G346" i="4"/>
  <c r="F346" i="4"/>
  <c r="E346" i="4"/>
  <c r="D346" i="4"/>
  <c r="C346" i="4"/>
  <c r="B346" i="4"/>
  <c r="A346" i="4"/>
  <c r="AC345" i="4"/>
  <c r="AB345" i="4"/>
  <c r="AA345" i="4"/>
  <c r="Z345" i="4"/>
  <c r="Y345" i="4"/>
  <c r="X345" i="4"/>
  <c r="W345" i="4"/>
  <c r="V345" i="4"/>
  <c r="T345" i="4"/>
  <c r="U345" i="4" s="1"/>
  <c r="R345" i="4"/>
  <c r="S345" i="4" s="1"/>
  <c r="P345" i="4"/>
  <c r="Q345" i="4" s="1"/>
  <c r="N345" i="4"/>
  <c r="O345" i="4" s="1"/>
  <c r="M345" i="4"/>
  <c r="K345" i="4"/>
  <c r="L345" i="4" s="1"/>
  <c r="J345" i="4"/>
  <c r="H345" i="4"/>
  <c r="I345" i="4" s="1"/>
  <c r="G345" i="4"/>
  <c r="F345" i="4"/>
  <c r="E345" i="4"/>
  <c r="D345" i="4"/>
  <c r="C345" i="4"/>
  <c r="B345" i="4"/>
  <c r="A345" i="4"/>
  <c r="AD345" i="4" s="1"/>
  <c r="AE345" i="4" s="1"/>
  <c r="AC344" i="4"/>
  <c r="AB344" i="4"/>
  <c r="AA344" i="4"/>
  <c r="Z344" i="4"/>
  <c r="Y344" i="4"/>
  <c r="X344" i="4"/>
  <c r="W344" i="4"/>
  <c r="V344" i="4"/>
  <c r="T344" i="4"/>
  <c r="U344" i="4" s="1"/>
  <c r="R344" i="4"/>
  <c r="S344" i="4" s="1"/>
  <c r="P344" i="4"/>
  <c r="Q344" i="4" s="1"/>
  <c r="N344" i="4"/>
  <c r="O344" i="4" s="1"/>
  <c r="M344" i="4"/>
  <c r="L344" i="4"/>
  <c r="K344" i="4"/>
  <c r="J344" i="4"/>
  <c r="H344" i="4"/>
  <c r="I344" i="4" s="1"/>
  <c r="G344" i="4"/>
  <c r="F344" i="4"/>
  <c r="E344" i="4"/>
  <c r="D344" i="4"/>
  <c r="C344" i="4"/>
  <c r="B344" i="4"/>
  <c r="A344" i="4"/>
  <c r="AF344" i="4" s="1"/>
  <c r="AC343" i="4"/>
  <c r="AB343" i="4"/>
  <c r="AA343" i="4"/>
  <c r="Z343" i="4"/>
  <c r="Y343" i="4"/>
  <c r="X343" i="4"/>
  <c r="W343" i="4"/>
  <c r="V343" i="4"/>
  <c r="T343" i="4"/>
  <c r="U343" i="4" s="1"/>
  <c r="R343" i="4"/>
  <c r="S343" i="4" s="1"/>
  <c r="P343" i="4"/>
  <c r="Q343" i="4" s="1"/>
  <c r="N343" i="4"/>
  <c r="O343" i="4" s="1"/>
  <c r="M343" i="4"/>
  <c r="K343" i="4"/>
  <c r="L343" i="4" s="1"/>
  <c r="J343" i="4"/>
  <c r="H343" i="4"/>
  <c r="I343" i="4" s="1"/>
  <c r="G343" i="4"/>
  <c r="F343" i="4"/>
  <c r="E343" i="4"/>
  <c r="D343" i="4"/>
  <c r="C343" i="4"/>
  <c r="B343" i="4"/>
  <c r="A343" i="4"/>
  <c r="AC342" i="4"/>
  <c r="AB342" i="4"/>
  <c r="AA342" i="4"/>
  <c r="Z342" i="4"/>
  <c r="Y342" i="4"/>
  <c r="X342" i="4"/>
  <c r="W342" i="4"/>
  <c r="V342" i="4"/>
  <c r="T342" i="4"/>
  <c r="U342" i="4" s="1"/>
  <c r="R342" i="4"/>
  <c r="S342" i="4" s="1"/>
  <c r="P342" i="4"/>
  <c r="Q342" i="4" s="1"/>
  <c r="N342" i="4"/>
  <c r="O342" i="4" s="1"/>
  <c r="M342" i="4"/>
  <c r="K342" i="4"/>
  <c r="L342" i="4" s="1"/>
  <c r="J342" i="4"/>
  <c r="H342" i="4"/>
  <c r="I342" i="4" s="1"/>
  <c r="G342" i="4"/>
  <c r="F342" i="4"/>
  <c r="E342" i="4"/>
  <c r="D342" i="4"/>
  <c r="C342" i="4"/>
  <c r="B342" i="4"/>
  <c r="A342" i="4"/>
  <c r="AC341" i="4"/>
  <c r="AB341" i="4"/>
  <c r="AA341" i="4"/>
  <c r="Z341" i="4"/>
  <c r="Y341" i="4"/>
  <c r="X341" i="4"/>
  <c r="W341" i="4"/>
  <c r="V341" i="4"/>
  <c r="T341" i="4"/>
  <c r="U341" i="4" s="1"/>
  <c r="R341" i="4"/>
  <c r="S341" i="4" s="1"/>
  <c r="P341" i="4"/>
  <c r="Q341" i="4" s="1"/>
  <c r="N341" i="4"/>
  <c r="O341" i="4" s="1"/>
  <c r="M341" i="4"/>
  <c r="K341" i="4"/>
  <c r="L341" i="4" s="1"/>
  <c r="J341" i="4"/>
  <c r="H341" i="4"/>
  <c r="I341" i="4" s="1"/>
  <c r="G341" i="4"/>
  <c r="F341" i="4"/>
  <c r="E341" i="4"/>
  <c r="D341" i="4"/>
  <c r="C341" i="4"/>
  <c r="B341" i="4"/>
  <c r="A341" i="4"/>
  <c r="AG341" i="4" s="1"/>
  <c r="AC340" i="4"/>
  <c r="AB340" i="4"/>
  <c r="AA340" i="4"/>
  <c r="Z340" i="4"/>
  <c r="Y340" i="4"/>
  <c r="X340" i="4"/>
  <c r="W340" i="4"/>
  <c r="V340" i="4"/>
  <c r="T340" i="4"/>
  <c r="U340" i="4" s="1"/>
  <c r="R340" i="4"/>
  <c r="S340" i="4" s="1"/>
  <c r="P340" i="4"/>
  <c r="Q340" i="4" s="1"/>
  <c r="N340" i="4"/>
  <c r="O340" i="4" s="1"/>
  <c r="M340" i="4"/>
  <c r="K340" i="4"/>
  <c r="L340" i="4" s="1"/>
  <c r="J340" i="4"/>
  <c r="H340" i="4"/>
  <c r="I340" i="4" s="1"/>
  <c r="G340" i="4"/>
  <c r="F340" i="4"/>
  <c r="E340" i="4"/>
  <c r="D340" i="4"/>
  <c r="C340" i="4"/>
  <c r="B340" i="4"/>
  <c r="A340" i="4"/>
  <c r="AG340" i="4" s="1"/>
  <c r="AC339" i="4"/>
  <c r="AB339" i="4"/>
  <c r="AA339" i="4"/>
  <c r="Z339" i="4"/>
  <c r="Y339" i="4"/>
  <c r="X339" i="4"/>
  <c r="W339" i="4"/>
  <c r="V339" i="4"/>
  <c r="T339" i="4"/>
  <c r="U339" i="4" s="1"/>
  <c r="S339" i="4"/>
  <c r="R339" i="4"/>
  <c r="P339" i="4"/>
  <c r="Q339" i="4" s="1"/>
  <c r="N339" i="4"/>
  <c r="O339" i="4" s="1"/>
  <c r="M339" i="4"/>
  <c r="K339" i="4"/>
  <c r="L339" i="4" s="1"/>
  <c r="J339" i="4"/>
  <c r="H339" i="4"/>
  <c r="I339" i="4" s="1"/>
  <c r="G339" i="4"/>
  <c r="F339" i="4"/>
  <c r="E339" i="4"/>
  <c r="D339" i="4"/>
  <c r="C339" i="4"/>
  <c r="B339" i="4"/>
  <c r="A339" i="4"/>
  <c r="AG339" i="4" s="1"/>
  <c r="AC338" i="4"/>
  <c r="AB338" i="4"/>
  <c r="AA338" i="4"/>
  <c r="Z338" i="4"/>
  <c r="Y338" i="4"/>
  <c r="X338" i="4"/>
  <c r="W338" i="4"/>
  <c r="V338" i="4"/>
  <c r="T338" i="4"/>
  <c r="U338" i="4" s="1"/>
  <c r="R338" i="4"/>
  <c r="S338" i="4" s="1"/>
  <c r="P338" i="4"/>
  <c r="Q338" i="4" s="1"/>
  <c r="N338" i="4"/>
  <c r="O338" i="4" s="1"/>
  <c r="M338" i="4"/>
  <c r="K338" i="4"/>
  <c r="L338" i="4" s="1"/>
  <c r="J338" i="4"/>
  <c r="H338" i="4"/>
  <c r="I338" i="4" s="1"/>
  <c r="G338" i="4"/>
  <c r="F338" i="4"/>
  <c r="E338" i="4"/>
  <c r="D338" i="4"/>
  <c r="C338" i="4"/>
  <c r="B338" i="4"/>
  <c r="A338" i="4"/>
  <c r="AD338" i="4" s="1"/>
  <c r="AE338" i="4" s="1"/>
  <c r="AC337" i="4"/>
  <c r="AB337" i="4"/>
  <c r="AA337" i="4"/>
  <c r="Z337" i="4"/>
  <c r="Y337" i="4"/>
  <c r="X337" i="4"/>
  <c r="W337" i="4"/>
  <c r="V337" i="4"/>
  <c r="T337" i="4"/>
  <c r="U337" i="4" s="1"/>
  <c r="R337" i="4"/>
  <c r="S337" i="4" s="1"/>
  <c r="P337" i="4"/>
  <c r="Q337" i="4" s="1"/>
  <c r="N337" i="4"/>
  <c r="O337" i="4" s="1"/>
  <c r="M337" i="4"/>
  <c r="K337" i="4"/>
  <c r="L337" i="4" s="1"/>
  <c r="J337" i="4"/>
  <c r="H337" i="4"/>
  <c r="I337" i="4" s="1"/>
  <c r="G337" i="4"/>
  <c r="F337" i="4"/>
  <c r="E337" i="4"/>
  <c r="D337" i="4"/>
  <c r="C337" i="4"/>
  <c r="B337" i="4"/>
  <c r="A337" i="4"/>
  <c r="AF337" i="4" s="1"/>
  <c r="AC336" i="4"/>
  <c r="AB336" i="4"/>
  <c r="AA336" i="4"/>
  <c r="Z336" i="4"/>
  <c r="Y336" i="4"/>
  <c r="X336" i="4"/>
  <c r="W336" i="4"/>
  <c r="V336" i="4"/>
  <c r="T336" i="4"/>
  <c r="U336" i="4" s="1"/>
  <c r="R336" i="4"/>
  <c r="S336" i="4" s="1"/>
  <c r="Q336" i="4"/>
  <c r="P336" i="4"/>
  <c r="N336" i="4"/>
  <c r="O336" i="4" s="1"/>
  <c r="M336" i="4"/>
  <c r="K336" i="4"/>
  <c r="L336" i="4" s="1"/>
  <c r="J336" i="4"/>
  <c r="H336" i="4"/>
  <c r="I336" i="4" s="1"/>
  <c r="G336" i="4"/>
  <c r="F336" i="4"/>
  <c r="E336" i="4"/>
  <c r="D336" i="4"/>
  <c r="C336" i="4"/>
  <c r="B336" i="4"/>
  <c r="A336" i="4"/>
  <c r="AC335" i="4"/>
  <c r="AB335" i="4"/>
  <c r="AA335" i="4"/>
  <c r="Z335" i="4"/>
  <c r="Y335" i="4"/>
  <c r="X335" i="4"/>
  <c r="W335" i="4"/>
  <c r="V335" i="4"/>
  <c r="T335" i="4"/>
  <c r="U335" i="4" s="1"/>
  <c r="R335" i="4"/>
  <c r="S335" i="4" s="1"/>
  <c r="P335" i="4"/>
  <c r="Q335" i="4" s="1"/>
  <c r="N335" i="4"/>
  <c r="O335" i="4" s="1"/>
  <c r="M335" i="4"/>
  <c r="K335" i="4"/>
  <c r="L335" i="4" s="1"/>
  <c r="J335" i="4"/>
  <c r="H335" i="4"/>
  <c r="I335" i="4" s="1"/>
  <c r="G335" i="4"/>
  <c r="F335" i="4"/>
  <c r="E335" i="4"/>
  <c r="D335" i="4"/>
  <c r="C335" i="4"/>
  <c r="B335" i="4"/>
  <c r="A335" i="4"/>
  <c r="AG335" i="4" s="1"/>
  <c r="AC334" i="4"/>
  <c r="AB334" i="4"/>
  <c r="AA334" i="4"/>
  <c r="Z334" i="4"/>
  <c r="Y334" i="4"/>
  <c r="X334" i="4"/>
  <c r="W334" i="4"/>
  <c r="V334" i="4"/>
  <c r="T334" i="4"/>
  <c r="U334" i="4" s="1"/>
  <c r="R334" i="4"/>
  <c r="S334" i="4" s="1"/>
  <c r="P334" i="4"/>
  <c r="Q334" i="4" s="1"/>
  <c r="N334" i="4"/>
  <c r="O334" i="4" s="1"/>
  <c r="M334" i="4"/>
  <c r="K334" i="4"/>
  <c r="L334" i="4" s="1"/>
  <c r="J334" i="4"/>
  <c r="H334" i="4"/>
  <c r="I334" i="4" s="1"/>
  <c r="G334" i="4"/>
  <c r="F334" i="4"/>
  <c r="E334" i="4"/>
  <c r="D334" i="4"/>
  <c r="C334" i="4"/>
  <c r="B334" i="4"/>
  <c r="A334" i="4"/>
  <c r="AG334" i="4" s="1"/>
  <c r="AC333" i="4"/>
  <c r="AB333" i="4"/>
  <c r="AA333" i="4"/>
  <c r="Z333" i="4"/>
  <c r="Y333" i="4"/>
  <c r="X333" i="4"/>
  <c r="W333" i="4"/>
  <c r="V333" i="4"/>
  <c r="T333" i="4"/>
  <c r="U333" i="4" s="1"/>
  <c r="R333" i="4"/>
  <c r="S333" i="4" s="1"/>
  <c r="P333" i="4"/>
  <c r="Q333" i="4" s="1"/>
  <c r="N333" i="4"/>
  <c r="O333" i="4" s="1"/>
  <c r="M333" i="4"/>
  <c r="K333" i="4"/>
  <c r="L333" i="4" s="1"/>
  <c r="J333" i="4"/>
  <c r="H333" i="4"/>
  <c r="I333" i="4" s="1"/>
  <c r="G333" i="4"/>
  <c r="F333" i="4"/>
  <c r="E333" i="4"/>
  <c r="D333" i="4"/>
  <c r="C333" i="4"/>
  <c r="B333" i="4"/>
  <c r="A333" i="4"/>
  <c r="AD333" i="4" s="1"/>
  <c r="AE333" i="4" s="1"/>
  <c r="AC332" i="4"/>
  <c r="AB332" i="4"/>
  <c r="AA332" i="4"/>
  <c r="Z332" i="4"/>
  <c r="Y332" i="4"/>
  <c r="X332" i="4"/>
  <c r="W332" i="4"/>
  <c r="V332" i="4"/>
  <c r="T332" i="4"/>
  <c r="U332" i="4" s="1"/>
  <c r="R332" i="4"/>
  <c r="S332" i="4" s="1"/>
  <c r="P332" i="4"/>
  <c r="Q332" i="4" s="1"/>
  <c r="N332" i="4"/>
  <c r="O332" i="4" s="1"/>
  <c r="M332" i="4"/>
  <c r="K332" i="4"/>
  <c r="L332" i="4" s="1"/>
  <c r="J332" i="4"/>
  <c r="H332" i="4"/>
  <c r="I332" i="4" s="1"/>
  <c r="G332" i="4"/>
  <c r="F332" i="4"/>
  <c r="E332" i="4"/>
  <c r="D332" i="4"/>
  <c r="C332" i="4"/>
  <c r="B332" i="4"/>
  <c r="A332" i="4"/>
  <c r="AD332" i="4" s="1"/>
  <c r="AE332" i="4" s="1"/>
  <c r="AC331" i="4"/>
  <c r="AB331" i="4"/>
  <c r="AA331" i="4"/>
  <c r="Z331" i="4"/>
  <c r="Y331" i="4"/>
  <c r="X331" i="4"/>
  <c r="W331" i="4"/>
  <c r="V331" i="4"/>
  <c r="T331" i="4"/>
  <c r="U331" i="4" s="1"/>
  <c r="R331" i="4"/>
  <c r="S331" i="4" s="1"/>
  <c r="P331" i="4"/>
  <c r="Q331" i="4" s="1"/>
  <c r="N331" i="4"/>
  <c r="O331" i="4" s="1"/>
  <c r="M331" i="4"/>
  <c r="K331" i="4"/>
  <c r="L331" i="4" s="1"/>
  <c r="J331" i="4"/>
  <c r="H331" i="4"/>
  <c r="I331" i="4" s="1"/>
  <c r="G331" i="4"/>
  <c r="F331" i="4"/>
  <c r="E331" i="4"/>
  <c r="D331" i="4"/>
  <c r="C331" i="4"/>
  <c r="B331" i="4"/>
  <c r="A331" i="4"/>
  <c r="AC330" i="4"/>
  <c r="AB330" i="4"/>
  <c r="AA330" i="4"/>
  <c r="Z330" i="4"/>
  <c r="Y330" i="4"/>
  <c r="X330" i="4"/>
  <c r="W330" i="4"/>
  <c r="V330" i="4"/>
  <c r="T330" i="4"/>
  <c r="U330" i="4" s="1"/>
  <c r="R330" i="4"/>
  <c r="S330" i="4" s="1"/>
  <c r="P330" i="4"/>
  <c r="Q330" i="4" s="1"/>
  <c r="N330" i="4"/>
  <c r="O330" i="4" s="1"/>
  <c r="M330" i="4"/>
  <c r="K330" i="4"/>
  <c r="L330" i="4" s="1"/>
  <c r="J330" i="4"/>
  <c r="H330" i="4"/>
  <c r="I330" i="4" s="1"/>
  <c r="G330" i="4"/>
  <c r="F330" i="4"/>
  <c r="E330" i="4"/>
  <c r="D330" i="4"/>
  <c r="C330" i="4"/>
  <c r="B330" i="4"/>
  <c r="A330" i="4"/>
  <c r="AG330" i="4" s="1"/>
  <c r="AC329" i="4"/>
  <c r="AB329" i="4"/>
  <c r="AA329" i="4"/>
  <c r="Z329" i="4"/>
  <c r="Y329" i="4"/>
  <c r="X329" i="4"/>
  <c r="W329" i="4"/>
  <c r="V329" i="4"/>
  <c r="T329" i="4"/>
  <c r="U329" i="4" s="1"/>
  <c r="R329" i="4"/>
  <c r="S329" i="4" s="1"/>
  <c r="P329" i="4"/>
  <c r="Q329" i="4" s="1"/>
  <c r="N329" i="4"/>
  <c r="O329" i="4" s="1"/>
  <c r="M329" i="4"/>
  <c r="K329" i="4"/>
  <c r="L329" i="4" s="1"/>
  <c r="J329" i="4"/>
  <c r="H329" i="4"/>
  <c r="I329" i="4" s="1"/>
  <c r="G329" i="4"/>
  <c r="F329" i="4"/>
  <c r="E329" i="4"/>
  <c r="D329" i="4"/>
  <c r="C329" i="4"/>
  <c r="B329" i="4"/>
  <c r="A329" i="4"/>
  <c r="AC328" i="4"/>
  <c r="AB328" i="4"/>
  <c r="AA328" i="4"/>
  <c r="Z328" i="4"/>
  <c r="Y328" i="4"/>
  <c r="X328" i="4"/>
  <c r="W328" i="4"/>
  <c r="V328" i="4"/>
  <c r="T328" i="4"/>
  <c r="U328" i="4" s="1"/>
  <c r="R328" i="4"/>
  <c r="S328" i="4" s="1"/>
  <c r="P328" i="4"/>
  <c r="Q328" i="4" s="1"/>
  <c r="N328" i="4"/>
  <c r="O328" i="4" s="1"/>
  <c r="M328" i="4"/>
  <c r="K328" i="4"/>
  <c r="L328" i="4" s="1"/>
  <c r="J328" i="4"/>
  <c r="H328" i="4"/>
  <c r="I328" i="4" s="1"/>
  <c r="G328" i="4"/>
  <c r="F328" i="4"/>
  <c r="E328" i="4"/>
  <c r="D328" i="4"/>
  <c r="C328" i="4"/>
  <c r="B328" i="4"/>
  <c r="A328" i="4"/>
  <c r="AG328" i="4" s="1"/>
  <c r="AC327" i="4"/>
  <c r="AB327" i="4"/>
  <c r="AA327" i="4"/>
  <c r="Z327" i="4"/>
  <c r="Y327" i="4"/>
  <c r="X327" i="4"/>
  <c r="W327" i="4"/>
  <c r="V327" i="4"/>
  <c r="T327" i="4"/>
  <c r="U327" i="4" s="1"/>
  <c r="R327" i="4"/>
  <c r="S327" i="4" s="1"/>
  <c r="P327" i="4"/>
  <c r="Q327" i="4" s="1"/>
  <c r="N327" i="4"/>
  <c r="O327" i="4" s="1"/>
  <c r="M327" i="4"/>
  <c r="K327" i="4"/>
  <c r="L327" i="4" s="1"/>
  <c r="J327" i="4"/>
  <c r="H327" i="4"/>
  <c r="I327" i="4" s="1"/>
  <c r="G327" i="4"/>
  <c r="F327" i="4"/>
  <c r="E327" i="4"/>
  <c r="D327" i="4"/>
  <c r="C327" i="4"/>
  <c r="B327" i="4"/>
  <c r="A327" i="4"/>
  <c r="AG327" i="4" s="1"/>
  <c r="AC326" i="4"/>
  <c r="AB326" i="4"/>
  <c r="AA326" i="4"/>
  <c r="Z326" i="4"/>
  <c r="Y326" i="4"/>
  <c r="X326" i="4"/>
  <c r="W326" i="4"/>
  <c r="V326" i="4"/>
  <c r="T326" i="4"/>
  <c r="U326" i="4" s="1"/>
  <c r="R326" i="4"/>
  <c r="S326" i="4" s="1"/>
  <c r="P326" i="4"/>
  <c r="Q326" i="4" s="1"/>
  <c r="N326" i="4"/>
  <c r="O326" i="4" s="1"/>
  <c r="M326" i="4"/>
  <c r="K326" i="4"/>
  <c r="L326" i="4" s="1"/>
  <c r="J326" i="4"/>
  <c r="H326" i="4"/>
  <c r="I326" i="4" s="1"/>
  <c r="G326" i="4"/>
  <c r="F326" i="4"/>
  <c r="E326" i="4"/>
  <c r="D326" i="4"/>
  <c r="C326" i="4"/>
  <c r="B326" i="4"/>
  <c r="A326" i="4"/>
  <c r="AC325" i="4"/>
  <c r="AB325" i="4"/>
  <c r="AA325" i="4"/>
  <c r="Z325" i="4"/>
  <c r="Y325" i="4"/>
  <c r="X325" i="4"/>
  <c r="W325" i="4"/>
  <c r="V325" i="4"/>
  <c r="T325" i="4"/>
  <c r="U325" i="4" s="1"/>
  <c r="R325" i="4"/>
  <c r="S325" i="4" s="1"/>
  <c r="P325" i="4"/>
  <c r="Q325" i="4" s="1"/>
  <c r="N325" i="4"/>
  <c r="O325" i="4" s="1"/>
  <c r="M325" i="4"/>
  <c r="K325" i="4"/>
  <c r="L325" i="4" s="1"/>
  <c r="J325" i="4"/>
  <c r="H325" i="4"/>
  <c r="I325" i="4" s="1"/>
  <c r="G325" i="4"/>
  <c r="F325" i="4"/>
  <c r="E325" i="4"/>
  <c r="D325" i="4"/>
  <c r="C325" i="4"/>
  <c r="B325" i="4"/>
  <c r="A325" i="4"/>
  <c r="AD325" i="4" s="1"/>
  <c r="AE325" i="4" s="1"/>
  <c r="AC324" i="4"/>
  <c r="AB324" i="4"/>
  <c r="AA324" i="4"/>
  <c r="Z324" i="4"/>
  <c r="Y324" i="4"/>
  <c r="X324" i="4"/>
  <c r="W324" i="4"/>
  <c r="V324" i="4"/>
  <c r="T324" i="4"/>
  <c r="U324" i="4" s="1"/>
  <c r="R324" i="4"/>
  <c r="S324" i="4" s="1"/>
  <c r="P324" i="4"/>
  <c r="Q324" i="4" s="1"/>
  <c r="N324" i="4"/>
  <c r="O324" i="4" s="1"/>
  <c r="M324" i="4"/>
  <c r="K324" i="4"/>
  <c r="L324" i="4" s="1"/>
  <c r="J324" i="4"/>
  <c r="H324" i="4"/>
  <c r="I324" i="4" s="1"/>
  <c r="G324" i="4"/>
  <c r="F324" i="4"/>
  <c r="E324" i="4"/>
  <c r="D324" i="4"/>
  <c r="C324" i="4"/>
  <c r="B324" i="4"/>
  <c r="A324" i="4"/>
  <c r="AD324" i="4" s="1"/>
  <c r="AE324" i="4" s="1"/>
  <c r="AC323" i="4"/>
  <c r="AB323" i="4"/>
  <c r="AA323" i="4"/>
  <c r="Z323" i="4"/>
  <c r="Y323" i="4"/>
  <c r="X323" i="4"/>
  <c r="W323" i="4"/>
  <c r="V323" i="4"/>
  <c r="T323" i="4"/>
  <c r="U323" i="4" s="1"/>
  <c r="R323" i="4"/>
  <c r="S323" i="4" s="1"/>
  <c r="Q323" i="4"/>
  <c r="P323" i="4"/>
  <c r="N323" i="4"/>
  <c r="O323" i="4" s="1"/>
  <c r="M323" i="4"/>
  <c r="K323" i="4"/>
  <c r="L323" i="4" s="1"/>
  <c r="J323" i="4"/>
  <c r="H323" i="4"/>
  <c r="I323" i="4" s="1"/>
  <c r="G323" i="4"/>
  <c r="F323" i="4"/>
  <c r="E323" i="4"/>
  <c r="D323" i="4"/>
  <c r="C323" i="4"/>
  <c r="B323" i="4"/>
  <c r="A323" i="4"/>
  <c r="AG323" i="4" s="1"/>
  <c r="AC322" i="4"/>
  <c r="AB322" i="4"/>
  <c r="AA322" i="4"/>
  <c r="Z322" i="4"/>
  <c r="Y322" i="4"/>
  <c r="X322" i="4"/>
  <c r="W322" i="4"/>
  <c r="V322" i="4"/>
  <c r="T322" i="4"/>
  <c r="U322" i="4" s="1"/>
  <c r="R322" i="4"/>
  <c r="S322" i="4" s="1"/>
  <c r="P322" i="4"/>
  <c r="Q322" i="4" s="1"/>
  <c r="N322" i="4"/>
  <c r="O322" i="4" s="1"/>
  <c r="M322" i="4"/>
  <c r="K322" i="4"/>
  <c r="L322" i="4" s="1"/>
  <c r="J322" i="4"/>
  <c r="H322" i="4"/>
  <c r="I322" i="4" s="1"/>
  <c r="G322" i="4"/>
  <c r="F322" i="4"/>
  <c r="E322" i="4"/>
  <c r="D322" i="4"/>
  <c r="C322" i="4"/>
  <c r="B322" i="4"/>
  <c r="A322" i="4"/>
  <c r="AG322" i="4" s="1"/>
  <c r="AC321" i="4"/>
  <c r="AB321" i="4"/>
  <c r="AA321" i="4"/>
  <c r="Z321" i="4"/>
  <c r="Y321" i="4"/>
  <c r="X321" i="4"/>
  <c r="W321" i="4"/>
  <c r="V321" i="4"/>
  <c r="T321" i="4"/>
  <c r="U321" i="4" s="1"/>
  <c r="R321" i="4"/>
  <c r="S321" i="4" s="1"/>
  <c r="P321" i="4"/>
  <c r="Q321" i="4" s="1"/>
  <c r="N321" i="4"/>
  <c r="O321" i="4" s="1"/>
  <c r="M321" i="4"/>
  <c r="K321" i="4"/>
  <c r="L321" i="4" s="1"/>
  <c r="J321" i="4"/>
  <c r="H321" i="4"/>
  <c r="I321" i="4" s="1"/>
  <c r="G321" i="4"/>
  <c r="F321" i="4"/>
  <c r="E321" i="4"/>
  <c r="D321" i="4"/>
  <c r="C321" i="4"/>
  <c r="B321" i="4"/>
  <c r="A321" i="4"/>
  <c r="AG321" i="4" s="1"/>
  <c r="AC320" i="4"/>
  <c r="AB320" i="4"/>
  <c r="AA320" i="4"/>
  <c r="Z320" i="4"/>
  <c r="Y320" i="4"/>
  <c r="X320" i="4"/>
  <c r="W320" i="4"/>
  <c r="V320" i="4"/>
  <c r="T320" i="4"/>
  <c r="U320" i="4" s="1"/>
  <c r="R320" i="4"/>
  <c r="S320" i="4" s="1"/>
  <c r="P320" i="4"/>
  <c r="Q320" i="4" s="1"/>
  <c r="N320" i="4"/>
  <c r="O320" i="4" s="1"/>
  <c r="M320" i="4"/>
  <c r="K320" i="4"/>
  <c r="L320" i="4" s="1"/>
  <c r="J320" i="4"/>
  <c r="H320" i="4"/>
  <c r="I320" i="4" s="1"/>
  <c r="G320" i="4"/>
  <c r="F320" i="4"/>
  <c r="E320" i="4"/>
  <c r="D320" i="4"/>
  <c r="C320" i="4"/>
  <c r="B320" i="4"/>
  <c r="A320" i="4"/>
  <c r="AG320" i="4" s="1"/>
  <c r="AC319" i="4"/>
  <c r="AB319" i="4"/>
  <c r="AA319" i="4"/>
  <c r="Z319" i="4"/>
  <c r="Y319" i="4"/>
  <c r="X319" i="4"/>
  <c r="W319" i="4"/>
  <c r="V319" i="4"/>
  <c r="T319" i="4"/>
  <c r="U319" i="4" s="1"/>
  <c r="R319" i="4"/>
  <c r="S319" i="4" s="1"/>
  <c r="P319" i="4"/>
  <c r="Q319" i="4" s="1"/>
  <c r="N319" i="4"/>
  <c r="O319" i="4" s="1"/>
  <c r="M319" i="4"/>
  <c r="K319" i="4"/>
  <c r="L319" i="4" s="1"/>
  <c r="J319" i="4"/>
  <c r="H319" i="4"/>
  <c r="I319" i="4" s="1"/>
  <c r="G319" i="4"/>
  <c r="F319" i="4"/>
  <c r="E319" i="4"/>
  <c r="D319" i="4"/>
  <c r="C319" i="4"/>
  <c r="B319" i="4"/>
  <c r="A319" i="4"/>
  <c r="AC318" i="4"/>
  <c r="AB318" i="4"/>
  <c r="AA318" i="4"/>
  <c r="Z318" i="4"/>
  <c r="Y318" i="4"/>
  <c r="X318" i="4"/>
  <c r="W318" i="4"/>
  <c r="V318" i="4"/>
  <c r="T318" i="4"/>
  <c r="U318" i="4" s="1"/>
  <c r="R318" i="4"/>
  <c r="S318" i="4" s="1"/>
  <c r="P318" i="4"/>
  <c r="Q318" i="4" s="1"/>
  <c r="N318" i="4"/>
  <c r="O318" i="4" s="1"/>
  <c r="M318" i="4"/>
  <c r="K318" i="4"/>
  <c r="L318" i="4" s="1"/>
  <c r="J318" i="4"/>
  <c r="H318" i="4"/>
  <c r="I318" i="4" s="1"/>
  <c r="G318" i="4"/>
  <c r="F318" i="4"/>
  <c r="E318" i="4"/>
  <c r="D318" i="4"/>
  <c r="C318" i="4"/>
  <c r="B318" i="4"/>
  <c r="A318" i="4"/>
  <c r="AG318" i="4" s="1"/>
  <c r="AC317" i="4"/>
  <c r="AB317" i="4"/>
  <c r="AA317" i="4"/>
  <c r="Z317" i="4"/>
  <c r="Y317" i="4"/>
  <c r="X317" i="4"/>
  <c r="W317" i="4"/>
  <c r="V317" i="4"/>
  <c r="T317" i="4"/>
  <c r="U317" i="4" s="1"/>
  <c r="R317" i="4"/>
  <c r="S317" i="4" s="1"/>
  <c r="P317" i="4"/>
  <c r="Q317" i="4" s="1"/>
  <c r="N317" i="4"/>
  <c r="O317" i="4" s="1"/>
  <c r="M317" i="4"/>
  <c r="K317" i="4"/>
  <c r="L317" i="4" s="1"/>
  <c r="J317" i="4"/>
  <c r="H317" i="4"/>
  <c r="I317" i="4" s="1"/>
  <c r="G317" i="4"/>
  <c r="F317" i="4"/>
  <c r="E317" i="4"/>
  <c r="D317" i="4"/>
  <c r="C317" i="4"/>
  <c r="B317" i="4"/>
  <c r="A317" i="4"/>
  <c r="AC316" i="4"/>
  <c r="AB316" i="4"/>
  <c r="AA316" i="4"/>
  <c r="Z316" i="4"/>
  <c r="Y316" i="4"/>
  <c r="X316" i="4"/>
  <c r="W316" i="4"/>
  <c r="V316" i="4"/>
  <c r="T316" i="4"/>
  <c r="U316" i="4" s="1"/>
  <c r="R316" i="4"/>
  <c r="S316" i="4" s="1"/>
  <c r="P316" i="4"/>
  <c r="Q316" i="4" s="1"/>
  <c r="N316" i="4"/>
  <c r="O316" i="4" s="1"/>
  <c r="M316" i="4"/>
  <c r="K316" i="4"/>
  <c r="L316" i="4" s="1"/>
  <c r="J316" i="4"/>
  <c r="H316" i="4"/>
  <c r="I316" i="4" s="1"/>
  <c r="G316" i="4"/>
  <c r="F316" i="4"/>
  <c r="E316" i="4"/>
  <c r="D316" i="4"/>
  <c r="C316" i="4"/>
  <c r="B316" i="4"/>
  <c r="A316" i="4"/>
  <c r="AD316" i="4" s="1"/>
  <c r="AE316" i="4" s="1"/>
  <c r="AC315" i="4"/>
  <c r="AB315" i="4"/>
  <c r="AA315" i="4"/>
  <c r="Z315" i="4"/>
  <c r="Y315" i="4"/>
  <c r="X315" i="4"/>
  <c r="W315" i="4"/>
  <c r="V315" i="4"/>
  <c r="T315" i="4"/>
  <c r="U315" i="4" s="1"/>
  <c r="R315" i="4"/>
  <c r="S315" i="4" s="1"/>
  <c r="P315" i="4"/>
  <c r="Q315" i="4" s="1"/>
  <c r="N315" i="4"/>
  <c r="O315" i="4" s="1"/>
  <c r="M315" i="4"/>
  <c r="K315" i="4"/>
  <c r="L315" i="4" s="1"/>
  <c r="J315" i="4"/>
  <c r="I315" i="4"/>
  <c r="H315" i="4"/>
  <c r="G315" i="4"/>
  <c r="F315" i="4"/>
  <c r="E315" i="4"/>
  <c r="D315" i="4"/>
  <c r="C315" i="4"/>
  <c r="B315" i="4"/>
  <c r="A315" i="4"/>
  <c r="AC314" i="4"/>
  <c r="AB314" i="4"/>
  <c r="AA314" i="4"/>
  <c r="Z314" i="4"/>
  <c r="Y314" i="4"/>
  <c r="X314" i="4"/>
  <c r="W314" i="4"/>
  <c r="V314" i="4"/>
  <c r="T314" i="4"/>
  <c r="U314" i="4" s="1"/>
  <c r="R314" i="4"/>
  <c r="S314" i="4" s="1"/>
  <c r="P314" i="4"/>
  <c r="Q314" i="4" s="1"/>
  <c r="N314" i="4"/>
  <c r="O314" i="4" s="1"/>
  <c r="M314" i="4"/>
  <c r="K314" i="4"/>
  <c r="L314" i="4" s="1"/>
  <c r="J314" i="4"/>
  <c r="H314" i="4"/>
  <c r="I314" i="4" s="1"/>
  <c r="G314" i="4"/>
  <c r="F314" i="4"/>
  <c r="E314" i="4"/>
  <c r="D314" i="4"/>
  <c r="C314" i="4"/>
  <c r="B314" i="4"/>
  <c r="A314" i="4"/>
  <c r="AG314" i="4" s="1"/>
  <c r="AC313" i="4"/>
  <c r="AB313" i="4"/>
  <c r="AA313" i="4"/>
  <c r="Z313" i="4"/>
  <c r="Y313" i="4"/>
  <c r="X313" i="4"/>
  <c r="W313" i="4"/>
  <c r="V313" i="4"/>
  <c r="T313" i="4"/>
  <c r="U313" i="4" s="1"/>
  <c r="R313" i="4"/>
  <c r="S313" i="4" s="1"/>
  <c r="P313" i="4"/>
  <c r="Q313" i="4" s="1"/>
  <c r="N313" i="4"/>
  <c r="O313" i="4" s="1"/>
  <c r="M313" i="4"/>
  <c r="K313" i="4"/>
  <c r="L313" i="4" s="1"/>
  <c r="J313" i="4"/>
  <c r="H313" i="4"/>
  <c r="I313" i="4" s="1"/>
  <c r="G313" i="4"/>
  <c r="F313" i="4"/>
  <c r="E313" i="4"/>
  <c r="D313" i="4"/>
  <c r="C313" i="4"/>
  <c r="B313" i="4"/>
  <c r="A313" i="4"/>
  <c r="AG313" i="4" s="1"/>
  <c r="AC312" i="4"/>
  <c r="AB312" i="4"/>
  <c r="AA312" i="4"/>
  <c r="Z312" i="4"/>
  <c r="Y312" i="4"/>
  <c r="X312" i="4"/>
  <c r="W312" i="4"/>
  <c r="V312" i="4"/>
  <c r="T312" i="4"/>
  <c r="U312" i="4" s="1"/>
  <c r="R312" i="4"/>
  <c r="S312" i="4" s="1"/>
  <c r="P312" i="4"/>
  <c r="Q312" i="4" s="1"/>
  <c r="N312" i="4"/>
  <c r="O312" i="4" s="1"/>
  <c r="M312" i="4"/>
  <c r="K312" i="4"/>
  <c r="L312" i="4" s="1"/>
  <c r="J312" i="4"/>
  <c r="H312" i="4"/>
  <c r="I312" i="4" s="1"/>
  <c r="G312" i="4"/>
  <c r="F312" i="4"/>
  <c r="E312" i="4"/>
  <c r="D312" i="4"/>
  <c r="C312" i="4"/>
  <c r="B312" i="4"/>
  <c r="A312" i="4"/>
  <c r="AG312" i="4" s="1"/>
  <c r="AC311" i="4"/>
  <c r="AB311" i="4"/>
  <c r="AA311" i="4"/>
  <c r="Z311" i="4"/>
  <c r="Y311" i="4"/>
  <c r="X311" i="4"/>
  <c r="W311" i="4"/>
  <c r="V311" i="4"/>
  <c r="T311" i="4"/>
  <c r="U311" i="4" s="1"/>
  <c r="R311" i="4"/>
  <c r="S311" i="4" s="1"/>
  <c r="P311" i="4"/>
  <c r="Q311" i="4" s="1"/>
  <c r="N311" i="4"/>
  <c r="O311" i="4" s="1"/>
  <c r="M311" i="4"/>
  <c r="K311" i="4"/>
  <c r="L311" i="4" s="1"/>
  <c r="J311" i="4"/>
  <c r="H311" i="4"/>
  <c r="I311" i="4" s="1"/>
  <c r="G311" i="4"/>
  <c r="F311" i="4"/>
  <c r="E311" i="4"/>
  <c r="D311" i="4"/>
  <c r="C311" i="4"/>
  <c r="B311" i="4"/>
  <c r="A311" i="4"/>
  <c r="AG311" i="4" s="1"/>
  <c r="AC310" i="4"/>
  <c r="AB310" i="4"/>
  <c r="AA310" i="4"/>
  <c r="Z310" i="4"/>
  <c r="Y310" i="4"/>
  <c r="X310" i="4"/>
  <c r="W310" i="4"/>
  <c r="V310" i="4"/>
  <c r="T310" i="4"/>
  <c r="U310" i="4" s="1"/>
  <c r="R310" i="4"/>
  <c r="S310" i="4" s="1"/>
  <c r="P310" i="4"/>
  <c r="Q310" i="4" s="1"/>
  <c r="N310" i="4"/>
  <c r="O310" i="4" s="1"/>
  <c r="M310" i="4"/>
  <c r="K310" i="4"/>
  <c r="L310" i="4" s="1"/>
  <c r="J310" i="4"/>
  <c r="H310" i="4"/>
  <c r="I310" i="4" s="1"/>
  <c r="G310" i="4"/>
  <c r="F310" i="4"/>
  <c r="E310" i="4"/>
  <c r="D310" i="4"/>
  <c r="C310" i="4"/>
  <c r="B310" i="4"/>
  <c r="A310" i="4"/>
  <c r="AG310" i="4" s="1"/>
  <c r="AC309" i="4"/>
  <c r="AB309" i="4"/>
  <c r="AA309" i="4"/>
  <c r="Z309" i="4"/>
  <c r="Y309" i="4"/>
  <c r="X309" i="4"/>
  <c r="W309" i="4"/>
  <c r="V309" i="4"/>
  <c r="T309" i="4"/>
  <c r="U309" i="4" s="1"/>
  <c r="R309" i="4"/>
  <c r="S309" i="4" s="1"/>
  <c r="P309" i="4"/>
  <c r="Q309" i="4" s="1"/>
  <c r="N309" i="4"/>
  <c r="O309" i="4" s="1"/>
  <c r="M309" i="4"/>
  <c r="K309" i="4"/>
  <c r="L309" i="4" s="1"/>
  <c r="J309" i="4"/>
  <c r="H309" i="4"/>
  <c r="I309" i="4" s="1"/>
  <c r="G309" i="4"/>
  <c r="F309" i="4"/>
  <c r="E309" i="4"/>
  <c r="D309" i="4"/>
  <c r="C309" i="4"/>
  <c r="B309" i="4"/>
  <c r="A309" i="4"/>
  <c r="AG308" i="4"/>
  <c r="AC308" i="4"/>
  <c r="AB308" i="4"/>
  <c r="AA308" i="4"/>
  <c r="Z308" i="4"/>
  <c r="Y308" i="4"/>
  <c r="X308" i="4"/>
  <c r="W308" i="4"/>
  <c r="V308" i="4"/>
  <c r="T308" i="4"/>
  <c r="U308" i="4" s="1"/>
  <c r="R308" i="4"/>
  <c r="S308" i="4" s="1"/>
  <c r="P308" i="4"/>
  <c r="Q308" i="4" s="1"/>
  <c r="N308" i="4"/>
  <c r="O308" i="4" s="1"/>
  <c r="M308" i="4"/>
  <c r="K308" i="4"/>
  <c r="L308" i="4" s="1"/>
  <c r="J308" i="4"/>
  <c r="H308" i="4"/>
  <c r="I308" i="4" s="1"/>
  <c r="G308" i="4"/>
  <c r="F308" i="4"/>
  <c r="E308" i="4"/>
  <c r="D308" i="4"/>
  <c r="C308" i="4"/>
  <c r="B308" i="4"/>
  <c r="A308" i="4"/>
  <c r="AD308" i="4" s="1"/>
  <c r="AE308" i="4" s="1"/>
  <c r="AC307" i="4"/>
  <c r="AB307" i="4"/>
  <c r="AA307" i="4"/>
  <c r="Z307" i="4"/>
  <c r="Y307" i="4"/>
  <c r="X307" i="4"/>
  <c r="W307" i="4"/>
  <c r="V307" i="4"/>
  <c r="T307" i="4"/>
  <c r="U307" i="4" s="1"/>
  <c r="R307" i="4"/>
  <c r="S307" i="4" s="1"/>
  <c r="P307" i="4"/>
  <c r="Q307" i="4" s="1"/>
  <c r="N307" i="4"/>
  <c r="O307" i="4" s="1"/>
  <c r="M307" i="4"/>
  <c r="K307" i="4"/>
  <c r="L307" i="4" s="1"/>
  <c r="J307" i="4"/>
  <c r="H307" i="4"/>
  <c r="I307" i="4" s="1"/>
  <c r="G307" i="4"/>
  <c r="F307" i="4"/>
  <c r="E307" i="4"/>
  <c r="D307" i="4"/>
  <c r="C307" i="4"/>
  <c r="B307" i="4"/>
  <c r="A307" i="4"/>
  <c r="AC306" i="4"/>
  <c r="AB306" i="4"/>
  <c r="AA306" i="4"/>
  <c r="Z306" i="4"/>
  <c r="Y306" i="4"/>
  <c r="X306" i="4"/>
  <c r="W306" i="4"/>
  <c r="V306" i="4"/>
  <c r="T306" i="4"/>
  <c r="U306" i="4" s="1"/>
  <c r="R306" i="4"/>
  <c r="S306" i="4" s="1"/>
  <c r="P306" i="4"/>
  <c r="Q306" i="4" s="1"/>
  <c r="O306" i="4"/>
  <c r="N306" i="4"/>
  <c r="M306" i="4"/>
  <c r="K306" i="4"/>
  <c r="L306" i="4" s="1"/>
  <c r="J306" i="4"/>
  <c r="H306" i="4"/>
  <c r="I306" i="4" s="1"/>
  <c r="G306" i="4"/>
  <c r="F306" i="4"/>
  <c r="E306" i="4"/>
  <c r="D306" i="4"/>
  <c r="C306" i="4"/>
  <c r="B306" i="4"/>
  <c r="A306" i="4"/>
  <c r="AG306" i="4" s="1"/>
  <c r="AC305" i="4"/>
  <c r="AB305" i="4"/>
  <c r="AA305" i="4"/>
  <c r="Z305" i="4"/>
  <c r="Y305" i="4"/>
  <c r="X305" i="4"/>
  <c r="W305" i="4"/>
  <c r="V305" i="4"/>
  <c r="T305" i="4"/>
  <c r="U305" i="4" s="1"/>
  <c r="R305" i="4"/>
  <c r="S305" i="4" s="1"/>
  <c r="P305" i="4"/>
  <c r="Q305" i="4" s="1"/>
  <c r="N305" i="4"/>
  <c r="O305" i="4" s="1"/>
  <c r="M305" i="4"/>
  <c r="K305" i="4"/>
  <c r="L305" i="4" s="1"/>
  <c r="J305" i="4"/>
  <c r="H305" i="4"/>
  <c r="I305" i="4" s="1"/>
  <c r="G305" i="4"/>
  <c r="F305" i="4"/>
  <c r="E305" i="4"/>
  <c r="D305" i="4"/>
  <c r="C305" i="4"/>
  <c r="B305" i="4"/>
  <c r="A305" i="4"/>
  <c r="AD304" i="4"/>
  <c r="AE304" i="4" s="1"/>
  <c r="AC304" i="4"/>
  <c r="AB304" i="4"/>
  <c r="AA304" i="4"/>
  <c r="Z304" i="4"/>
  <c r="Y304" i="4"/>
  <c r="X304" i="4"/>
  <c r="W304" i="4"/>
  <c r="V304" i="4"/>
  <c r="T304" i="4"/>
  <c r="U304" i="4" s="1"/>
  <c r="R304" i="4"/>
  <c r="S304" i="4" s="1"/>
  <c r="P304" i="4"/>
  <c r="Q304" i="4" s="1"/>
  <c r="N304" i="4"/>
  <c r="O304" i="4" s="1"/>
  <c r="M304" i="4"/>
  <c r="K304" i="4"/>
  <c r="L304" i="4" s="1"/>
  <c r="J304" i="4"/>
  <c r="H304" i="4"/>
  <c r="I304" i="4" s="1"/>
  <c r="G304" i="4"/>
  <c r="F304" i="4"/>
  <c r="E304" i="4"/>
  <c r="D304" i="4"/>
  <c r="C304" i="4"/>
  <c r="B304" i="4"/>
  <c r="A304" i="4"/>
  <c r="AG304" i="4" s="1"/>
  <c r="AF303" i="4"/>
  <c r="AC303" i="4"/>
  <c r="AB303" i="4"/>
  <c r="AA303" i="4"/>
  <c r="Z303" i="4"/>
  <c r="Y303" i="4"/>
  <c r="X303" i="4"/>
  <c r="W303" i="4"/>
  <c r="V303" i="4"/>
  <c r="T303" i="4"/>
  <c r="U303" i="4" s="1"/>
  <c r="R303" i="4"/>
  <c r="S303" i="4" s="1"/>
  <c r="P303" i="4"/>
  <c r="Q303" i="4" s="1"/>
  <c r="N303" i="4"/>
  <c r="O303" i="4" s="1"/>
  <c r="M303" i="4"/>
  <c r="K303" i="4"/>
  <c r="L303" i="4" s="1"/>
  <c r="J303" i="4"/>
  <c r="H303" i="4"/>
  <c r="I303" i="4" s="1"/>
  <c r="G303" i="4"/>
  <c r="F303" i="4"/>
  <c r="E303" i="4"/>
  <c r="D303" i="4"/>
  <c r="C303" i="4"/>
  <c r="B303" i="4"/>
  <c r="A303" i="4"/>
  <c r="AG303" i="4" s="1"/>
  <c r="AC302" i="4"/>
  <c r="AB302" i="4"/>
  <c r="AA302" i="4"/>
  <c r="Z302" i="4"/>
  <c r="Y302" i="4"/>
  <c r="X302" i="4"/>
  <c r="W302" i="4"/>
  <c r="V302" i="4"/>
  <c r="T302" i="4"/>
  <c r="U302" i="4" s="1"/>
  <c r="R302" i="4"/>
  <c r="S302" i="4" s="1"/>
  <c r="P302" i="4"/>
  <c r="Q302" i="4" s="1"/>
  <c r="N302" i="4"/>
  <c r="O302" i="4" s="1"/>
  <c r="M302" i="4"/>
  <c r="K302" i="4"/>
  <c r="L302" i="4" s="1"/>
  <c r="J302" i="4"/>
  <c r="H302" i="4"/>
  <c r="I302" i="4" s="1"/>
  <c r="G302" i="4"/>
  <c r="F302" i="4"/>
  <c r="E302" i="4"/>
  <c r="D302" i="4"/>
  <c r="C302" i="4"/>
  <c r="B302" i="4"/>
  <c r="A302" i="4"/>
  <c r="AC301" i="4"/>
  <c r="AB301" i="4"/>
  <c r="AA301" i="4"/>
  <c r="Z301" i="4"/>
  <c r="Y301" i="4"/>
  <c r="X301" i="4"/>
  <c r="W301" i="4"/>
  <c r="V301" i="4"/>
  <c r="T301" i="4"/>
  <c r="U301" i="4" s="1"/>
  <c r="R301" i="4"/>
  <c r="S301" i="4" s="1"/>
  <c r="Q301" i="4"/>
  <c r="P301" i="4"/>
  <c r="N301" i="4"/>
  <c r="O301" i="4" s="1"/>
  <c r="M301" i="4"/>
  <c r="K301" i="4"/>
  <c r="L301" i="4" s="1"/>
  <c r="J301" i="4"/>
  <c r="H301" i="4"/>
  <c r="I301" i="4" s="1"/>
  <c r="G301" i="4"/>
  <c r="F301" i="4"/>
  <c r="E301" i="4"/>
  <c r="D301" i="4"/>
  <c r="C301" i="4"/>
  <c r="B301" i="4"/>
  <c r="A301" i="4"/>
  <c r="AC300" i="4"/>
  <c r="AB300" i="4"/>
  <c r="AA300" i="4"/>
  <c r="Z300" i="4"/>
  <c r="Y300" i="4"/>
  <c r="X300" i="4"/>
  <c r="W300" i="4"/>
  <c r="V300" i="4"/>
  <c r="T300" i="4"/>
  <c r="U300" i="4" s="1"/>
  <c r="R300" i="4"/>
  <c r="S300" i="4" s="1"/>
  <c r="P300" i="4"/>
  <c r="Q300" i="4" s="1"/>
  <c r="N300" i="4"/>
  <c r="O300" i="4" s="1"/>
  <c r="M300" i="4"/>
  <c r="K300" i="4"/>
  <c r="L300" i="4" s="1"/>
  <c r="J300" i="4"/>
  <c r="H300" i="4"/>
  <c r="I300" i="4" s="1"/>
  <c r="G300" i="4"/>
  <c r="F300" i="4"/>
  <c r="E300" i="4"/>
  <c r="D300" i="4"/>
  <c r="C300" i="4"/>
  <c r="B300" i="4"/>
  <c r="A300" i="4"/>
  <c r="AD300" i="4" s="1"/>
  <c r="AE300" i="4" s="1"/>
  <c r="AC299" i="4"/>
  <c r="AB299" i="4"/>
  <c r="AA299" i="4"/>
  <c r="Z299" i="4"/>
  <c r="Y299" i="4"/>
  <c r="X299" i="4"/>
  <c r="W299" i="4"/>
  <c r="V299" i="4"/>
  <c r="T299" i="4"/>
  <c r="U299" i="4" s="1"/>
  <c r="R299" i="4"/>
  <c r="S299" i="4" s="1"/>
  <c r="P299" i="4"/>
  <c r="Q299" i="4" s="1"/>
  <c r="N299" i="4"/>
  <c r="O299" i="4" s="1"/>
  <c r="M299" i="4"/>
  <c r="K299" i="4"/>
  <c r="L299" i="4" s="1"/>
  <c r="J299" i="4"/>
  <c r="H299" i="4"/>
  <c r="I299" i="4" s="1"/>
  <c r="G299" i="4"/>
  <c r="F299" i="4"/>
  <c r="E299" i="4"/>
  <c r="D299" i="4"/>
  <c r="C299" i="4"/>
  <c r="B299" i="4"/>
  <c r="A299" i="4"/>
  <c r="AC298" i="4"/>
  <c r="AB298" i="4"/>
  <c r="AA298" i="4"/>
  <c r="Z298" i="4"/>
  <c r="Y298" i="4"/>
  <c r="X298" i="4"/>
  <c r="W298" i="4"/>
  <c r="V298" i="4"/>
  <c r="T298" i="4"/>
  <c r="U298" i="4" s="1"/>
  <c r="S298" i="4"/>
  <c r="R298" i="4"/>
  <c r="P298" i="4"/>
  <c r="Q298" i="4" s="1"/>
  <c r="N298" i="4"/>
  <c r="O298" i="4" s="1"/>
  <c r="M298" i="4"/>
  <c r="K298" i="4"/>
  <c r="L298" i="4" s="1"/>
  <c r="J298" i="4"/>
  <c r="H298" i="4"/>
  <c r="I298" i="4" s="1"/>
  <c r="G298" i="4"/>
  <c r="F298" i="4"/>
  <c r="E298" i="4"/>
  <c r="D298" i="4"/>
  <c r="C298" i="4"/>
  <c r="B298" i="4"/>
  <c r="A298" i="4"/>
  <c r="AG298" i="4" s="1"/>
  <c r="AC297" i="4"/>
  <c r="AB297" i="4"/>
  <c r="AA297" i="4"/>
  <c r="Z297" i="4"/>
  <c r="Y297" i="4"/>
  <c r="X297" i="4"/>
  <c r="W297" i="4"/>
  <c r="V297" i="4"/>
  <c r="T297" i="4"/>
  <c r="U297" i="4" s="1"/>
  <c r="R297" i="4"/>
  <c r="S297" i="4" s="1"/>
  <c r="P297" i="4"/>
  <c r="Q297" i="4" s="1"/>
  <c r="N297" i="4"/>
  <c r="O297" i="4" s="1"/>
  <c r="M297" i="4"/>
  <c r="K297" i="4"/>
  <c r="L297" i="4" s="1"/>
  <c r="J297" i="4"/>
  <c r="H297" i="4"/>
  <c r="I297" i="4" s="1"/>
  <c r="G297" i="4"/>
  <c r="F297" i="4"/>
  <c r="E297" i="4"/>
  <c r="D297" i="4"/>
  <c r="C297" i="4"/>
  <c r="B297" i="4"/>
  <c r="A297" i="4"/>
  <c r="AG297" i="4" s="1"/>
  <c r="AC296" i="4"/>
  <c r="AB296" i="4"/>
  <c r="AA296" i="4"/>
  <c r="Z296" i="4"/>
  <c r="Y296" i="4"/>
  <c r="X296" i="4"/>
  <c r="W296" i="4"/>
  <c r="V296" i="4"/>
  <c r="T296" i="4"/>
  <c r="U296" i="4" s="1"/>
  <c r="R296" i="4"/>
  <c r="S296" i="4" s="1"/>
  <c r="P296" i="4"/>
  <c r="Q296" i="4" s="1"/>
  <c r="N296" i="4"/>
  <c r="O296" i="4" s="1"/>
  <c r="M296" i="4"/>
  <c r="K296" i="4"/>
  <c r="L296" i="4" s="1"/>
  <c r="J296" i="4"/>
  <c r="I296" i="4"/>
  <c r="H296" i="4"/>
  <c r="G296" i="4"/>
  <c r="F296" i="4"/>
  <c r="E296" i="4"/>
  <c r="D296" i="4"/>
  <c r="C296" i="4"/>
  <c r="B296" i="4"/>
  <c r="A296" i="4"/>
  <c r="AF296" i="4" s="1"/>
  <c r="AC295" i="4"/>
  <c r="AB295" i="4"/>
  <c r="AA295" i="4"/>
  <c r="Z295" i="4"/>
  <c r="Y295" i="4"/>
  <c r="X295" i="4"/>
  <c r="W295" i="4"/>
  <c r="V295" i="4"/>
  <c r="T295" i="4"/>
  <c r="U295" i="4" s="1"/>
  <c r="R295" i="4"/>
  <c r="S295" i="4" s="1"/>
  <c r="P295" i="4"/>
  <c r="Q295" i="4" s="1"/>
  <c r="N295" i="4"/>
  <c r="O295" i="4" s="1"/>
  <c r="M295" i="4"/>
  <c r="K295" i="4"/>
  <c r="L295" i="4" s="1"/>
  <c r="J295" i="4"/>
  <c r="H295" i="4"/>
  <c r="I295" i="4" s="1"/>
  <c r="G295" i="4"/>
  <c r="F295" i="4"/>
  <c r="E295" i="4"/>
  <c r="D295" i="4"/>
  <c r="C295" i="4"/>
  <c r="B295" i="4"/>
  <c r="A295" i="4"/>
  <c r="AG295" i="4" s="1"/>
  <c r="AC294" i="4"/>
  <c r="AB294" i="4"/>
  <c r="AA294" i="4"/>
  <c r="Z294" i="4"/>
  <c r="Y294" i="4"/>
  <c r="X294" i="4"/>
  <c r="W294" i="4"/>
  <c r="V294" i="4"/>
  <c r="T294" i="4"/>
  <c r="U294" i="4" s="1"/>
  <c r="R294" i="4"/>
  <c r="S294" i="4" s="1"/>
  <c r="P294" i="4"/>
  <c r="Q294" i="4" s="1"/>
  <c r="N294" i="4"/>
  <c r="O294" i="4" s="1"/>
  <c r="M294" i="4"/>
  <c r="K294" i="4"/>
  <c r="L294" i="4" s="1"/>
  <c r="J294" i="4"/>
  <c r="H294" i="4"/>
  <c r="I294" i="4" s="1"/>
  <c r="G294" i="4"/>
  <c r="F294" i="4"/>
  <c r="E294" i="4"/>
  <c r="D294" i="4"/>
  <c r="C294" i="4"/>
  <c r="B294" i="4"/>
  <c r="A294" i="4"/>
  <c r="AC293" i="4"/>
  <c r="AB293" i="4"/>
  <c r="AA293" i="4"/>
  <c r="Z293" i="4"/>
  <c r="Y293" i="4"/>
  <c r="X293" i="4"/>
  <c r="W293" i="4"/>
  <c r="V293" i="4"/>
  <c r="T293" i="4"/>
  <c r="U293" i="4" s="1"/>
  <c r="R293" i="4"/>
  <c r="S293" i="4" s="1"/>
  <c r="P293" i="4"/>
  <c r="Q293" i="4" s="1"/>
  <c r="N293" i="4"/>
  <c r="O293" i="4" s="1"/>
  <c r="M293" i="4"/>
  <c r="K293" i="4"/>
  <c r="L293" i="4" s="1"/>
  <c r="J293" i="4"/>
  <c r="H293" i="4"/>
  <c r="I293" i="4" s="1"/>
  <c r="G293" i="4"/>
  <c r="F293" i="4"/>
  <c r="E293" i="4"/>
  <c r="D293" i="4"/>
  <c r="C293" i="4"/>
  <c r="B293" i="4"/>
  <c r="A293" i="4"/>
  <c r="AC292" i="4"/>
  <c r="AB292" i="4"/>
  <c r="AA292" i="4"/>
  <c r="Z292" i="4"/>
  <c r="Y292" i="4"/>
  <c r="X292" i="4"/>
  <c r="W292" i="4"/>
  <c r="V292" i="4"/>
  <c r="T292" i="4"/>
  <c r="U292" i="4" s="1"/>
  <c r="R292" i="4"/>
  <c r="S292" i="4" s="1"/>
  <c r="P292" i="4"/>
  <c r="Q292" i="4" s="1"/>
  <c r="N292" i="4"/>
  <c r="O292" i="4" s="1"/>
  <c r="M292" i="4"/>
  <c r="K292" i="4"/>
  <c r="L292" i="4" s="1"/>
  <c r="J292" i="4"/>
  <c r="H292" i="4"/>
  <c r="I292" i="4" s="1"/>
  <c r="G292" i="4"/>
  <c r="F292" i="4"/>
  <c r="E292" i="4"/>
  <c r="D292" i="4"/>
  <c r="C292" i="4"/>
  <c r="B292" i="4"/>
  <c r="A292" i="4"/>
  <c r="AD292" i="4" s="1"/>
  <c r="AE292" i="4" s="1"/>
  <c r="AC291" i="4"/>
  <c r="AB291" i="4"/>
  <c r="AA291" i="4"/>
  <c r="Z291" i="4"/>
  <c r="Y291" i="4"/>
  <c r="X291" i="4"/>
  <c r="W291" i="4"/>
  <c r="V291" i="4"/>
  <c r="T291" i="4"/>
  <c r="U291" i="4" s="1"/>
  <c r="R291" i="4"/>
  <c r="S291" i="4" s="1"/>
  <c r="P291" i="4"/>
  <c r="Q291" i="4" s="1"/>
  <c r="N291" i="4"/>
  <c r="O291" i="4" s="1"/>
  <c r="M291" i="4"/>
  <c r="K291" i="4"/>
  <c r="L291" i="4" s="1"/>
  <c r="J291" i="4"/>
  <c r="H291" i="4"/>
  <c r="I291" i="4" s="1"/>
  <c r="G291" i="4"/>
  <c r="F291" i="4"/>
  <c r="E291" i="4"/>
  <c r="D291" i="4"/>
  <c r="C291" i="4"/>
  <c r="B291" i="4"/>
  <c r="A291" i="4"/>
  <c r="AC290" i="4"/>
  <c r="AB290" i="4"/>
  <c r="AA290" i="4"/>
  <c r="Z290" i="4"/>
  <c r="Y290" i="4"/>
  <c r="X290" i="4"/>
  <c r="W290" i="4"/>
  <c r="V290" i="4"/>
  <c r="T290" i="4"/>
  <c r="U290" i="4" s="1"/>
  <c r="R290" i="4"/>
  <c r="S290" i="4" s="1"/>
  <c r="P290" i="4"/>
  <c r="Q290" i="4" s="1"/>
  <c r="O290" i="4"/>
  <c r="N290" i="4"/>
  <c r="M290" i="4"/>
  <c r="K290" i="4"/>
  <c r="L290" i="4" s="1"/>
  <c r="J290" i="4"/>
  <c r="H290" i="4"/>
  <c r="I290" i="4" s="1"/>
  <c r="G290" i="4"/>
  <c r="F290" i="4"/>
  <c r="E290" i="4"/>
  <c r="D290" i="4"/>
  <c r="C290" i="4"/>
  <c r="B290" i="4"/>
  <c r="A290" i="4"/>
  <c r="AG290" i="4" s="1"/>
  <c r="AC289" i="4"/>
  <c r="AB289" i="4"/>
  <c r="AA289" i="4"/>
  <c r="Z289" i="4"/>
  <c r="Y289" i="4"/>
  <c r="X289" i="4"/>
  <c r="W289" i="4"/>
  <c r="V289" i="4"/>
  <c r="T289" i="4"/>
  <c r="U289" i="4" s="1"/>
  <c r="R289" i="4"/>
  <c r="S289" i="4" s="1"/>
  <c r="P289" i="4"/>
  <c r="Q289" i="4" s="1"/>
  <c r="N289" i="4"/>
  <c r="O289" i="4" s="1"/>
  <c r="M289" i="4"/>
  <c r="K289" i="4"/>
  <c r="L289" i="4" s="1"/>
  <c r="J289" i="4"/>
  <c r="H289" i="4"/>
  <c r="I289" i="4" s="1"/>
  <c r="G289" i="4"/>
  <c r="F289" i="4"/>
  <c r="E289" i="4"/>
  <c r="D289" i="4"/>
  <c r="C289" i="4"/>
  <c r="B289" i="4"/>
  <c r="A289" i="4"/>
  <c r="AG289" i="4" s="1"/>
  <c r="AC288" i="4"/>
  <c r="AB288" i="4"/>
  <c r="AA288" i="4"/>
  <c r="Z288" i="4"/>
  <c r="Y288" i="4"/>
  <c r="X288" i="4"/>
  <c r="W288" i="4"/>
  <c r="V288" i="4"/>
  <c r="T288" i="4"/>
  <c r="U288" i="4" s="1"/>
  <c r="R288" i="4"/>
  <c r="S288" i="4" s="1"/>
  <c r="P288" i="4"/>
  <c r="Q288" i="4" s="1"/>
  <c r="N288" i="4"/>
  <c r="O288" i="4" s="1"/>
  <c r="M288" i="4"/>
  <c r="K288" i="4"/>
  <c r="L288" i="4" s="1"/>
  <c r="J288" i="4"/>
  <c r="H288" i="4"/>
  <c r="I288" i="4" s="1"/>
  <c r="G288" i="4"/>
  <c r="F288" i="4"/>
  <c r="E288" i="4"/>
  <c r="D288" i="4"/>
  <c r="C288" i="4"/>
  <c r="B288" i="4"/>
  <c r="A288" i="4"/>
  <c r="AF288" i="4" s="1"/>
  <c r="AC287" i="4"/>
  <c r="AB287" i="4"/>
  <c r="AA287" i="4"/>
  <c r="Z287" i="4"/>
  <c r="Y287" i="4"/>
  <c r="X287" i="4"/>
  <c r="W287" i="4"/>
  <c r="V287" i="4"/>
  <c r="T287" i="4"/>
  <c r="U287" i="4" s="1"/>
  <c r="R287" i="4"/>
  <c r="S287" i="4" s="1"/>
  <c r="P287" i="4"/>
  <c r="Q287" i="4" s="1"/>
  <c r="N287" i="4"/>
  <c r="O287" i="4" s="1"/>
  <c r="M287" i="4"/>
  <c r="K287" i="4"/>
  <c r="L287" i="4" s="1"/>
  <c r="J287" i="4"/>
  <c r="H287" i="4"/>
  <c r="I287" i="4" s="1"/>
  <c r="G287" i="4"/>
  <c r="F287" i="4"/>
  <c r="E287" i="4"/>
  <c r="D287" i="4"/>
  <c r="C287" i="4"/>
  <c r="B287" i="4"/>
  <c r="A287" i="4"/>
  <c r="AG287" i="4" s="1"/>
  <c r="AC286" i="4"/>
  <c r="AB286" i="4"/>
  <c r="AA286" i="4"/>
  <c r="Z286" i="4"/>
  <c r="Y286" i="4"/>
  <c r="X286" i="4"/>
  <c r="W286" i="4"/>
  <c r="V286" i="4"/>
  <c r="T286" i="4"/>
  <c r="U286" i="4" s="1"/>
  <c r="R286" i="4"/>
  <c r="S286" i="4" s="1"/>
  <c r="P286" i="4"/>
  <c r="Q286" i="4" s="1"/>
  <c r="N286" i="4"/>
  <c r="O286" i="4" s="1"/>
  <c r="M286" i="4"/>
  <c r="K286" i="4"/>
  <c r="L286" i="4" s="1"/>
  <c r="J286" i="4"/>
  <c r="H286" i="4"/>
  <c r="I286" i="4" s="1"/>
  <c r="G286" i="4"/>
  <c r="F286" i="4"/>
  <c r="E286" i="4"/>
  <c r="D286" i="4"/>
  <c r="C286" i="4"/>
  <c r="B286" i="4"/>
  <c r="A286" i="4"/>
  <c r="AC285" i="4"/>
  <c r="AB285" i="4"/>
  <c r="AA285" i="4"/>
  <c r="Z285" i="4"/>
  <c r="Y285" i="4"/>
  <c r="X285" i="4"/>
  <c r="W285" i="4"/>
  <c r="V285" i="4"/>
  <c r="T285" i="4"/>
  <c r="U285" i="4" s="1"/>
  <c r="R285" i="4"/>
  <c r="S285" i="4" s="1"/>
  <c r="P285" i="4"/>
  <c r="Q285" i="4" s="1"/>
  <c r="N285" i="4"/>
  <c r="O285" i="4" s="1"/>
  <c r="M285" i="4"/>
  <c r="K285" i="4"/>
  <c r="L285" i="4" s="1"/>
  <c r="J285" i="4"/>
  <c r="H285" i="4"/>
  <c r="I285" i="4" s="1"/>
  <c r="G285" i="4"/>
  <c r="F285" i="4"/>
  <c r="E285" i="4"/>
  <c r="D285" i="4"/>
  <c r="C285" i="4"/>
  <c r="B285" i="4"/>
  <c r="A285" i="4"/>
  <c r="AD285" i="4" s="1"/>
  <c r="AE285" i="4" s="1"/>
  <c r="AC284" i="4"/>
  <c r="AB284" i="4"/>
  <c r="AA284" i="4"/>
  <c r="Z284" i="4"/>
  <c r="Y284" i="4"/>
  <c r="X284" i="4"/>
  <c r="W284" i="4"/>
  <c r="V284" i="4"/>
  <c r="T284" i="4"/>
  <c r="U284" i="4" s="1"/>
  <c r="R284" i="4"/>
  <c r="S284" i="4" s="1"/>
  <c r="P284" i="4"/>
  <c r="Q284" i="4" s="1"/>
  <c r="N284" i="4"/>
  <c r="O284" i="4" s="1"/>
  <c r="M284" i="4"/>
  <c r="K284" i="4"/>
  <c r="L284" i="4" s="1"/>
  <c r="J284" i="4"/>
  <c r="I284" i="4"/>
  <c r="H284" i="4"/>
  <c r="G284" i="4"/>
  <c r="F284" i="4"/>
  <c r="E284" i="4"/>
  <c r="D284" i="4"/>
  <c r="C284" i="4"/>
  <c r="B284" i="4"/>
  <c r="A284" i="4"/>
  <c r="AC283" i="4"/>
  <c r="AB283" i="4"/>
  <c r="AA283" i="4"/>
  <c r="Z283" i="4"/>
  <c r="Y283" i="4"/>
  <c r="X283" i="4"/>
  <c r="W283" i="4"/>
  <c r="V283" i="4"/>
  <c r="T283" i="4"/>
  <c r="U283" i="4" s="1"/>
  <c r="R283" i="4"/>
  <c r="S283" i="4" s="1"/>
  <c r="P283" i="4"/>
  <c r="Q283" i="4" s="1"/>
  <c r="N283" i="4"/>
  <c r="O283" i="4" s="1"/>
  <c r="M283" i="4"/>
  <c r="K283" i="4"/>
  <c r="L283" i="4" s="1"/>
  <c r="J283" i="4"/>
  <c r="I283" i="4"/>
  <c r="H283" i="4"/>
  <c r="G283" i="4"/>
  <c r="F283" i="4"/>
  <c r="E283" i="4"/>
  <c r="D283" i="4"/>
  <c r="C283" i="4"/>
  <c r="B283" i="4"/>
  <c r="A283" i="4"/>
  <c r="AF283" i="4" s="1"/>
  <c r="AC282" i="4"/>
  <c r="AB282" i="4"/>
  <c r="AA282" i="4"/>
  <c r="Z282" i="4"/>
  <c r="Y282" i="4"/>
  <c r="X282" i="4"/>
  <c r="W282" i="4"/>
  <c r="V282" i="4"/>
  <c r="T282" i="4"/>
  <c r="U282" i="4" s="1"/>
  <c r="R282" i="4"/>
  <c r="S282" i="4" s="1"/>
  <c r="P282" i="4"/>
  <c r="Q282" i="4" s="1"/>
  <c r="N282" i="4"/>
  <c r="O282" i="4" s="1"/>
  <c r="M282" i="4"/>
  <c r="K282" i="4"/>
  <c r="L282" i="4" s="1"/>
  <c r="J282" i="4"/>
  <c r="H282" i="4"/>
  <c r="I282" i="4" s="1"/>
  <c r="G282" i="4"/>
  <c r="F282" i="4"/>
  <c r="E282" i="4"/>
  <c r="D282" i="4"/>
  <c r="C282" i="4"/>
  <c r="B282" i="4"/>
  <c r="A282" i="4"/>
  <c r="AG282" i="4" s="1"/>
  <c r="AC281" i="4"/>
  <c r="AB281" i="4"/>
  <c r="AA281" i="4"/>
  <c r="Z281" i="4"/>
  <c r="Y281" i="4"/>
  <c r="X281" i="4"/>
  <c r="W281" i="4"/>
  <c r="V281" i="4"/>
  <c r="T281" i="4"/>
  <c r="U281" i="4" s="1"/>
  <c r="R281" i="4"/>
  <c r="S281" i="4" s="1"/>
  <c r="P281" i="4"/>
  <c r="Q281" i="4" s="1"/>
  <c r="N281" i="4"/>
  <c r="O281" i="4" s="1"/>
  <c r="M281" i="4"/>
  <c r="K281" i="4"/>
  <c r="L281" i="4" s="1"/>
  <c r="J281" i="4"/>
  <c r="H281" i="4"/>
  <c r="I281" i="4" s="1"/>
  <c r="G281" i="4"/>
  <c r="F281" i="4"/>
  <c r="E281" i="4"/>
  <c r="D281" i="4"/>
  <c r="C281" i="4"/>
  <c r="B281" i="4"/>
  <c r="A281" i="4"/>
  <c r="AG281" i="4" s="1"/>
  <c r="AC280" i="4"/>
  <c r="AB280" i="4"/>
  <c r="AA280" i="4"/>
  <c r="Z280" i="4"/>
  <c r="Y280" i="4"/>
  <c r="X280" i="4"/>
  <c r="W280" i="4"/>
  <c r="V280" i="4"/>
  <c r="T280" i="4"/>
  <c r="U280" i="4" s="1"/>
  <c r="R280" i="4"/>
  <c r="S280" i="4" s="1"/>
  <c r="P280" i="4"/>
  <c r="Q280" i="4" s="1"/>
  <c r="N280" i="4"/>
  <c r="O280" i="4" s="1"/>
  <c r="M280" i="4"/>
  <c r="K280" i="4"/>
  <c r="L280" i="4" s="1"/>
  <c r="J280" i="4"/>
  <c r="I280" i="4"/>
  <c r="H280" i="4"/>
  <c r="G280" i="4"/>
  <c r="F280" i="4"/>
  <c r="E280" i="4"/>
  <c r="D280" i="4"/>
  <c r="C280" i="4"/>
  <c r="B280" i="4"/>
  <c r="A280" i="4"/>
  <c r="AC279" i="4"/>
  <c r="AB279" i="4"/>
  <c r="AA279" i="4"/>
  <c r="Z279" i="4"/>
  <c r="Y279" i="4"/>
  <c r="X279" i="4"/>
  <c r="W279" i="4"/>
  <c r="V279" i="4"/>
  <c r="T279" i="4"/>
  <c r="U279" i="4" s="1"/>
  <c r="R279" i="4"/>
  <c r="S279" i="4" s="1"/>
  <c r="P279" i="4"/>
  <c r="Q279" i="4" s="1"/>
  <c r="N279" i="4"/>
  <c r="O279" i="4" s="1"/>
  <c r="M279" i="4"/>
  <c r="K279" i="4"/>
  <c r="L279" i="4" s="1"/>
  <c r="J279" i="4"/>
  <c r="H279" i="4"/>
  <c r="I279" i="4" s="1"/>
  <c r="G279" i="4"/>
  <c r="F279" i="4"/>
  <c r="E279" i="4"/>
  <c r="D279" i="4"/>
  <c r="C279" i="4"/>
  <c r="B279" i="4"/>
  <c r="A279" i="4"/>
  <c r="AG279" i="4" s="1"/>
  <c r="AC278" i="4"/>
  <c r="AB278" i="4"/>
  <c r="AA278" i="4"/>
  <c r="Z278" i="4"/>
  <c r="Y278" i="4"/>
  <c r="X278" i="4"/>
  <c r="W278" i="4"/>
  <c r="V278" i="4"/>
  <c r="T278" i="4"/>
  <c r="U278" i="4" s="1"/>
  <c r="R278" i="4"/>
  <c r="S278" i="4" s="1"/>
  <c r="P278" i="4"/>
  <c r="Q278" i="4" s="1"/>
  <c r="N278" i="4"/>
  <c r="O278" i="4" s="1"/>
  <c r="M278" i="4"/>
  <c r="K278" i="4"/>
  <c r="L278" i="4" s="1"/>
  <c r="J278" i="4"/>
  <c r="H278" i="4"/>
  <c r="I278" i="4" s="1"/>
  <c r="G278" i="4"/>
  <c r="F278" i="4"/>
  <c r="E278" i="4"/>
  <c r="D278" i="4"/>
  <c r="C278" i="4"/>
  <c r="B278" i="4"/>
  <c r="A278" i="4"/>
  <c r="AG278" i="4" s="1"/>
  <c r="AC277" i="4"/>
  <c r="AB277" i="4"/>
  <c r="AA277" i="4"/>
  <c r="Z277" i="4"/>
  <c r="Y277" i="4"/>
  <c r="X277" i="4"/>
  <c r="W277" i="4"/>
  <c r="V277" i="4"/>
  <c r="T277" i="4"/>
  <c r="U277" i="4" s="1"/>
  <c r="R277" i="4"/>
  <c r="S277" i="4" s="1"/>
  <c r="P277" i="4"/>
  <c r="Q277" i="4" s="1"/>
  <c r="N277" i="4"/>
  <c r="O277" i="4" s="1"/>
  <c r="M277" i="4"/>
  <c r="L277" i="4"/>
  <c r="K277" i="4"/>
  <c r="J277" i="4"/>
  <c r="H277" i="4"/>
  <c r="I277" i="4" s="1"/>
  <c r="G277" i="4"/>
  <c r="F277" i="4"/>
  <c r="E277" i="4"/>
  <c r="D277" i="4"/>
  <c r="C277" i="4"/>
  <c r="B277" i="4"/>
  <c r="A277" i="4"/>
  <c r="AD277" i="4" s="1"/>
  <c r="AE277" i="4" s="1"/>
  <c r="AC276" i="4"/>
  <c r="AB276" i="4"/>
  <c r="AA276" i="4"/>
  <c r="Z276" i="4"/>
  <c r="Y276" i="4"/>
  <c r="X276" i="4"/>
  <c r="W276" i="4"/>
  <c r="V276" i="4"/>
  <c r="T276" i="4"/>
  <c r="U276" i="4" s="1"/>
  <c r="R276" i="4"/>
  <c r="S276" i="4" s="1"/>
  <c r="P276" i="4"/>
  <c r="Q276" i="4" s="1"/>
  <c r="N276" i="4"/>
  <c r="O276" i="4" s="1"/>
  <c r="M276" i="4"/>
  <c r="K276" i="4"/>
  <c r="L276" i="4" s="1"/>
  <c r="J276" i="4"/>
  <c r="H276" i="4"/>
  <c r="I276" i="4" s="1"/>
  <c r="G276" i="4"/>
  <c r="F276" i="4"/>
  <c r="E276" i="4"/>
  <c r="D276" i="4"/>
  <c r="C276" i="4"/>
  <c r="B276" i="4"/>
  <c r="A276" i="4"/>
  <c r="AD276" i="4" s="1"/>
  <c r="AE276" i="4" s="1"/>
  <c r="AC275" i="4"/>
  <c r="AB275" i="4"/>
  <c r="AA275" i="4"/>
  <c r="Z275" i="4"/>
  <c r="Y275" i="4"/>
  <c r="X275" i="4"/>
  <c r="W275" i="4"/>
  <c r="V275" i="4"/>
  <c r="T275" i="4"/>
  <c r="U275" i="4" s="1"/>
  <c r="R275" i="4"/>
  <c r="S275" i="4" s="1"/>
  <c r="P275" i="4"/>
  <c r="Q275" i="4" s="1"/>
  <c r="N275" i="4"/>
  <c r="O275" i="4" s="1"/>
  <c r="M275" i="4"/>
  <c r="K275" i="4"/>
  <c r="L275" i="4" s="1"/>
  <c r="J275" i="4"/>
  <c r="H275" i="4"/>
  <c r="I275" i="4" s="1"/>
  <c r="G275" i="4"/>
  <c r="F275" i="4"/>
  <c r="E275" i="4"/>
  <c r="D275" i="4"/>
  <c r="C275" i="4"/>
  <c r="B275" i="4"/>
  <c r="A275" i="4"/>
  <c r="AF275" i="4" s="1"/>
  <c r="AC274" i="4"/>
  <c r="AB274" i="4"/>
  <c r="AA274" i="4"/>
  <c r="Z274" i="4"/>
  <c r="Y274" i="4"/>
  <c r="X274" i="4"/>
  <c r="W274" i="4"/>
  <c r="V274" i="4"/>
  <c r="T274" i="4"/>
  <c r="U274" i="4" s="1"/>
  <c r="R274" i="4"/>
  <c r="S274" i="4" s="1"/>
  <c r="P274" i="4"/>
  <c r="Q274" i="4" s="1"/>
  <c r="O274" i="4"/>
  <c r="N274" i="4"/>
  <c r="M274" i="4"/>
  <c r="K274" i="4"/>
  <c r="L274" i="4" s="1"/>
  <c r="J274" i="4"/>
  <c r="H274" i="4"/>
  <c r="I274" i="4" s="1"/>
  <c r="G274" i="4"/>
  <c r="F274" i="4"/>
  <c r="E274" i="4"/>
  <c r="D274" i="4"/>
  <c r="C274" i="4"/>
  <c r="B274" i="4"/>
  <c r="A274" i="4"/>
  <c r="AG274" i="4" s="1"/>
  <c r="AC273" i="4"/>
  <c r="AB273" i="4"/>
  <c r="AA273" i="4"/>
  <c r="Z273" i="4"/>
  <c r="Y273" i="4"/>
  <c r="X273" i="4"/>
  <c r="W273" i="4"/>
  <c r="V273" i="4"/>
  <c r="T273" i="4"/>
  <c r="U273" i="4" s="1"/>
  <c r="R273" i="4"/>
  <c r="S273" i="4" s="1"/>
  <c r="P273" i="4"/>
  <c r="Q273" i="4" s="1"/>
  <c r="N273" i="4"/>
  <c r="O273" i="4" s="1"/>
  <c r="M273" i="4"/>
  <c r="K273" i="4"/>
  <c r="L273" i="4" s="1"/>
  <c r="J273" i="4"/>
  <c r="H273" i="4"/>
  <c r="I273" i="4" s="1"/>
  <c r="G273" i="4"/>
  <c r="F273" i="4"/>
  <c r="E273" i="4"/>
  <c r="D273" i="4"/>
  <c r="C273" i="4"/>
  <c r="B273" i="4"/>
  <c r="A273" i="4"/>
  <c r="AG273" i="4" s="1"/>
  <c r="AC272" i="4"/>
  <c r="AB272" i="4"/>
  <c r="AA272" i="4"/>
  <c r="Z272" i="4"/>
  <c r="Y272" i="4"/>
  <c r="X272" i="4"/>
  <c r="W272" i="4"/>
  <c r="V272" i="4"/>
  <c r="T272" i="4"/>
  <c r="U272" i="4" s="1"/>
  <c r="R272" i="4"/>
  <c r="S272" i="4" s="1"/>
  <c r="P272" i="4"/>
  <c r="Q272" i="4" s="1"/>
  <c r="N272" i="4"/>
  <c r="O272" i="4" s="1"/>
  <c r="M272" i="4"/>
  <c r="K272" i="4"/>
  <c r="L272" i="4" s="1"/>
  <c r="J272" i="4"/>
  <c r="H272" i="4"/>
  <c r="I272" i="4" s="1"/>
  <c r="G272" i="4"/>
  <c r="F272" i="4"/>
  <c r="E272" i="4"/>
  <c r="D272" i="4"/>
  <c r="C272" i="4"/>
  <c r="B272" i="4"/>
  <c r="A272" i="4"/>
  <c r="AF272" i="4" s="1"/>
  <c r="AC271" i="4"/>
  <c r="AB271" i="4"/>
  <c r="AA271" i="4"/>
  <c r="Z271" i="4"/>
  <c r="Y271" i="4"/>
  <c r="X271" i="4"/>
  <c r="W271" i="4"/>
  <c r="V271" i="4"/>
  <c r="T271" i="4"/>
  <c r="U271" i="4" s="1"/>
  <c r="R271" i="4"/>
  <c r="S271" i="4" s="1"/>
  <c r="P271" i="4"/>
  <c r="Q271" i="4" s="1"/>
  <c r="N271" i="4"/>
  <c r="O271" i="4" s="1"/>
  <c r="M271" i="4"/>
  <c r="K271" i="4"/>
  <c r="L271" i="4" s="1"/>
  <c r="J271" i="4"/>
  <c r="H271" i="4"/>
  <c r="I271" i="4" s="1"/>
  <c r="G271" i="4"/>
  <c r="F271" i="4"/>
  <c r="E271" i="4"/>
  <c r="D271" i="4"/>
  <c r="C271" i="4"/>
  <c r="B271" i="4"/>
  <c r="A271" i="4"/>
  <c r="AG271" i="4" s="1"/>
  <c r="AF270" i="4"/>
  <c r="AC270" i="4"/>
  <c r="AB270" i="4"/>
  <c r="AA270" i="4"/>
  <c r="Z270" i="4"/>
  <c r="Y270" i="4"/>
  <c r="X270" i="4"/>
  <c r="W270" i="4"/>
  <c r="V270" i="4"/>
  <c r="T270" i="4"/>
  <c r="U270" i="4" s="1"/>
  <c r="R270" i="4"/>
  <c r="S270" i="4" s="1"/>
  <c r="P270" i="4"/>
  <c r="Q270" i="4" s="1"/>
  <c r="N270" i="4"/>
  <c r="O270" i="4" s="1"/>
  <c r="M270" i="4"/>
  <c r="K270" i="4"/>
  <c r="L270" i="4" s="1"/>
  <c r="J270" i="4"/>
  <c r="H270" i="4"/>
  <c r="I270" i="4" s="1"/>
  <c r="G270" i="4"/>
  <c r="F270" i="4"/>
  <c r="E270" i="4"/>
  <c r="D270" i="4"/>
  <c r="C270" i="4"/>
  <c r="B270" i="4"/>
  <c r="A270" i="4"/>
  <c r="AG270" i="4" s="1"/>
  <c r="AC269" i="4"/>
  <c r="AB269" i="4"/>
  <c r="AA269" i="4"/>
  <c r="Z269" i="4"/>
  <c r="Y269" i="4"/>
  <c r="X269" i="4"/>
  <c r="W269" i="4"/>
  <c r="V269" i="4"/>
  <c r="T269" i="4"/>
  <c r="U269" i="4" s="1"/>
  <c r="R269" i="4"/>
  <c r="S269" i="4" s="1"/>
  <c r="P269" i="4"/>
  <c r="Q269" i="4" s="1"/>
  <c r="N269" i="4"/>
  <c r="O269" i="4" s="1"/>
  <c r="M269" i="4"/>
  <c r="L269" i="4"/>
  <c r="K269" i="4"/>
  <c r="J269" i="4"/>
  <c r="H269" i="4"/>
  <c r="I269" i="4" s="1"/>
  <c r="G269" i="4"/>
  <c r="F269" i="4"/>
  <c r="E269" i="4"/>
  <c r="D269" i="4"/>
  <c r="C269" i="4"/>
  <c r="B269" i="4"/>
  <c r="A269" i="4"/>
  <c r="AC268" i="4"/>
  <c r="AB268" i="4"/>
  <c r="AA268" i="4"/>
  <c r="Z268" i="4"/>
  <c r="Y268" i="4"/>
  <c r="X268" i="4"/>
  <c r="W268" i="4"/>
  <c r="V268" i="4"/>
  <c r="T268" i="4"/>
  <c r="U268" i="4" s="1"/>
  <c r="R268" i="4"/>
  <c r="S268" i="4" s="1"/>
  <c r="P268" i="4"/>
  <c r="Q268" i="4" s="1"/>
  <c r="N268" i="4"/>
  <c r="O268" i="4" s="1"/>
  <c r="M268" i="4"/>
  <c r="K268" i="4"/>
  <c r="L268" i="4" s="1"/>
  <c r="J268" i="4"/>
  <c r="H268" i="4"/>
  <c r="I268" i="4" s="1"/>
  <c r="G268" i="4"/>
  <c r="F268" i="4"/>
  <c r="E268" i="4"/>
  <c r="D268" i="4"/>
  <c r="C268" i="4"/>
  <c r="B268" i="4"/>
  <c r="A268" i="4"/>
  <c r="AD268" i="4" s="1"/>
  <c r="AE268" i="4" s="1"/>
  <c r="AC267" i="4"/>
  <c r="AB267" i="4"/>
  <c r="AA267" i="4"/>
  <c r="Z267" i="4"/>
  <c r="Y267" i="4"/>
  <c r="X267" i="4"/>
  <c r="W267" i="4"/>
  <c r="V267" i="4"/>
  <c r="T267" i="4"/>
  <c r="U267" i="4" s="1"/>
  <c r="S267" i="4"/>
  <c r="R267" i="4"/>
  <c r="P267" i="4"/>
  <c r="Q267" i="4" s="1"/>
  <c r="N267" i="4"/>
  <c r="O267" i="4" s="1"/>
  <c r="M267" i="4"/>
  <c r="K267" i="4"/>
  <c r="L267" i="4" s="1"/>
  <c r="J267" i="4"/>
  <c r="H267" i="4"/>
  <c r="I267" i="4" s="1"/>
  <c r="G267" i="4"/>
  <c r="F267" i="4"/>
  <c r="E267" i="4"/>
  <c r="D267" i="4"/>
  <c r="C267" i="4"/>
  <c r="B267" i="4"/>
  <c r="A267" i="4"/>
  <c r="AC266" i="4"/>
  <c r="AB266" i="4"/>
  <c r="AA266" i="4"/>
  <c r="Z266" i="4"/>
  <c r="Y266" i="4"/>
  <c r="X266" i="4"/>
  <c r="W266" i="4"/>
  <c r="V266" i="4"/>
  <c r="T266" i="4"/>
  <c r="U266" i="4" s="1"/>
  <c r="R266" i="4"/>
  <c r="S266" i="4" s="1"/>
  <c r="P266" i="4"/>
  <c r="Q266" i="4" s="1"/>
  <c r="N266" i="4"/>
  <c r="O266" i="4" s="1"/>
  <c r="M266" i="4"/>
  <c r="K266" i="4"/>
  <c r="L266" i="4" s="1"/>
  <c r="J266" i="4"/>
  <c r="I266" i="4"/>
  <c r="H266" i="4"/>
  <c r="G266" i="4"/>
  <c r="F266" i="4"/>
  <c r="E266" i="4"/>
  <c r="D266" i="4"/>
  <c r="C266" i="4"/>
  <c r="B266" i="4"/>
  <c r="A266" i="4"/>
  <c r="AG266" i="4" s="1"/>
  <c r="AC265" i="4"/>
  <c r="AB265" i="4"/>
  <c r="AA265" i="4"/>
  <c r="Z265" i="4"/>
  <c r="Y265" i="4"/>
  <c r="X265" i="4"/>
  <c r="W265" i="4"/>
  <c r="V265" i="4"/>
  <c r="T265" i="4"/>
  <c r="U265" i="4" s="1"/>
  <c r="R265" i="4"/>
  <c r="S265" i="4" s="1"/>
  <c r="P265" i="4"/>
  <c r="Q265" i="4" s="1"/>
  <c r="N265" i="4"/>
  <c r="O265" i="4" s="1"/>
  <c r="M265" i="4"/>
  <c r="K265" i="4"/>
  <c r="L265" i="4" s="1"/>
  <c r="J265" i="4"/>
  <c r="H265" i="4"/>
  <c r="I265" i="4" s="1"/>
  <c r="G265" i="4"/>
  <c r="F265" i="4"/>
  <c r="E265" i="4"/>
  <c r="D265" i="4"/>
  <c r="C265" i="4"/>
  <c r="B265" i="4"/>
  <c r="A265" i="4"/>
  <c r="AG265" i="4" s="1"/>
  <c r="AC264" i="4"/>
  <c r="AB264" i="4"/>
  <c r="AA264" i="4"/>
  <c r="Z264" i="4"/>
  <c r="Y264" i="4"/>
  <c r="X264" i="4"/>
  <c r="W264" i="4"/>
  <c r="V264" i="4"/>
  <c r="T264" i="4"/>
  <c r="U264" i="4" s="1"/>
  <c r="R264" i="4"/>
  <c r="S264" i="4" s="1"/>
  <c r="P264" i="4"/>
  <c r="Q264" i="4" s="1"/>
  <c r="N264" i="4"/>
  <c r="O264" i="4" s="1"/>
  <c r="M264" i="4"/>
  <c r="K264" i="4"/>
  <c r="L264" i="4" s="1"/>
  <c r="J264" i="4"/>
  <c r="H264" i="4"/>
  <c r="I264" i="4" s="1"/>
  <c r="G264" i="4"/>
  <c r="F264" i="4"/>
  <c r="E264" i="4"/>
  <c r="D264" i="4"/>
  <c r="C264" i="4"/>
  <c r="B264" i="4"/>
  <c r="A264" i="4"/>
  <c r="AC263" i="4"/>
  <c r="AB263" i="4"/>
  <c r="AA263" i="4"/>
  <c r="Z263" i="4"/>
  <c r="Y263" i="4"/>
  <c r="X263" i="4"/>
  <c r="W263" i="4"/>
  <c r="V263" i="4"/>
  <c r="T263" i="4"/>
  <c r="U263" i="4" s="1"/>
  <c r="R263" i="4"/>
  <c r="S263" i="4" s="1"/>
  <c r="P263" i="4"/>
  <c r="Q263" i="4" s="1"/>
  <c r="N263" i="4"/>
  <c r="O263" i="4" s="1"/>
  <c r="M263" i="4"/>
  <c r="K263" i="4"/>
  <c r="L263" i="4" s="1"/>
  <c r="J263" i="4"/>
  <c r="H263" i="4"/>
  <c r="I263" i="4" s="1"/>
  <c r="G263" i="4"/>
  <c r="F263" i="4"/>
  <c r="E263" i="4"/>
  <c r="D263" i="4"/>
  <c r="C263" i="4"/>
  <c r="B263" i="4"/>
  <c r="A263" i="4"/>
  <c r="AG263" i="4" s="1"/>
  <c r="AC262" i="4"/>
  <c r="AB262" i="4"/>
  <c r="AA262" i="4"/>
  <c r="Z262" i="4"/>
  <c r="Y262" i="4"/>
  <c r="X262" i="4"/>
  <c r="W262" i="4"/>
  <c r="V262" i="4"/>
  <c r="T262" i="4"/>
  <c r="U262" i="4" s="1"/>
  <c r="R262" i="4"/>
  <c r="S262" i="4" s="1"/>
  <c r="P262" i="4"/>
  <c r="Q262" i="4" s="1"/>
  <c r="N262" i="4"/>
  <c r="O262" i="4" s="1"/>
  <c r="M262" i="4"/>
  <c r="K262" i="4"/>
  <c r="L262" i="4" s="1"/>
  <c r="J262" i="4"/>
  <c r="H262" i="4"/>
  <c r="I262" i="4" s="1"/>
  <c r="G262" i="4"/>
  <c r="F262" i="4"/>
  <c r="E262" i="4"/>
  <c r="D262" i="4"/>
  <c r="C262" i="4"/>
  <c r="B262" i="4"/>
  <c r="A262" i="4"/>
  <c r="AC261" i="4"/>
  <c r="AB261" i="4"/>
  <c r="AA261" i="4"/>
  <c r="Z261" i="4"/>
  <c r="Y261" i="4"/>
  <c r="X261" i="4"/>
  <c r="W261" i="4"/>
  <c r="V261" i="4"/>
  <c r="T261" i="4"/>
  <c r="U261" i="4" s="1"/>
  <c r="R261" i="4"/>
  <c r="S261" i="4" s="1"/>
  <c r="P261" i="4"/>
  <c r="Q261" i="4" s="1"/>
  <c r="N261" i="4"/>
  <c r="O261" i="4" s="1"/>
  <c r="M261" i="4"/>
  <c r="K261" i="4"/>
  <c r="L261" i="4" s="1"/>
  <c r="J261" i="4"/>
  <c r="H261" i="4"/>
  <c r="I261" i="4" s="1"/>
  <c r="G261" i="4"/>
  <c r="F261" i="4"/>
  <c r="E261" i="4"/>
  <c r="D261" i="4"/>
  <c r="C261" i="4"/>
  <c r="B261" i="4"/>
  <c r="A261" i="4"/>
  <c r="AD261" i="4" s="1"/>
  <c r="AE261" i="4" s="1"/>
  <c r="AC260" i="4"/>
  <c r="AB260" i="4"/>
  <c r="AA260" i="4"/>
  <c r="Z260" i="4"/>
  <c r="Y260" i="4"/>
  <c r="X260" i="4"/>
  <c r="W260" i="4"/>
  <c r="V260" i="4"/>
  <c r="T260" i="4"/>
  <c r="U260" i="4" s="1"/>
  <c r="R260" i="4"/>
  <c r="S260" i="4" s="1"/>
  <c r="P260" i="4"/>
  <c r="Q260" i="4" s="1"/>
  <c r="N260" i="4"/>
  <c r="O260" i="4" s="1"/>
  <c r="M260" i="4"/>
  <c r="K260" i="4"/>
  <c r="L260" i="4" s="1"/>
  <c r="J260" i="4"/>
  <c r="H260" i="4"/>
  <c r="I260" i="4" s="1"/>
  <c r="G260" i="4"/>
  <c r="F260" i="4"/>
  <c r="E260" i="4"/>
  <c r="D260" i="4"/>
  <c r="C260" i="4"/>
  <c r="B260" i="4"/>
  <c r="A260" i="4"/>
  <c r="AD260" i="4" s="1"/>
  <c r="AE260" i="4" s="1"/>
  <c r="AC259" i="4"/>
  <c r="AB259" i="4"/>
  <c r="AA259" i="4"/>
  <c r="Z259" i="4"/>
  <c r="Y259" i="4"/>
  <c r="X259" i="4"/>
  <c r="W259" i="4"/>
  <c r="V259" i="4"/>
  <c r="T259" i="4"/>
  <c r="U259" i="4" s="1"/>
  <c r="R259" i="4"/>
  <c r="S259" i="4" s="1"/>
  <c r="P259" i="4"/>
  <c r="Q259" i="4" s="1"/>
  <c r="N259" i="4"/>
  <c r="O259" i="4" s="1"/>
  <c r="M259" i="4"/>
  <c r="K259" i="4"/>
  <c r="L259" i="4" s="1"/>
  <c r="J259" i="4"/>
  <c r="H259" i="4"/>
  <c r="I259" i="4" s="1"/>
  <c r="G259" i="4"/>
  <c r="F259" i="4"/>
  <c r="E259" i="4"/>
  <c r="D259" i="4"/>
  <c r="C259" i="4"/>
  <c r="B259" i="4"/>
  <c r="A259" i="4"/>
  <c r="AF259" i="4" s="1"/>
  <c r="AC258" i="4"/>
  <c r="AB258" i="4"/>
  <c r="AA258" i="4"/>
  <c r="Z258" i="4"/>
  <c r="Y258" i="4"/>
  <c r="X258" i="4"/>
  <c r="W258" i="4"/>
  <c r="V258" i="4"/>
  <c r="T258" i="4"/>
  <c r="U258" i="4" s="1"/>
  <c r="R258" i="4"/>
  <c r="S258" i="4" s="1"/>
  <c r="P258" i="4"/>
  <c r="Q258" i="4" s="1"/>
  <c r="N258" i="4"/>
  <c r="O258" i="4" s="1"/>
  <c r="M258" i="4"/>
  <c r="K258" i="4"/>
  <c r="L258" i="4" s="1"/>
  <c r="J258" i="4"/>
  <c r="H258" i="4"/>
  <c r="I258" i="4" s="1"/>
  <c r="G258" i="4"/>
  <c r="F258" i="4"/>
  <c r="E258" i="4"/>
  <c r="D258" i="4"/>
  <c r="C258" i="4"/>
  <c r="B258" i="4"/>
  <c r="A258" i="4"/>
  <c r="AG258" i="4" s="1"/>
  <c r="AC257" i="4"/>
  <c r="AB257" i="4"/>
  <c r="AA257" i="4"/>
  <c r="Z257" i="4"/>
  <c r="Y257" i="4"/>
  <c r="X257" i="4"/>
  <c r="W257" i="4"/>
  <c r="V257" i="4"/>
  <c r="T257" i="4"/>
  <c r="U257" i="4" s="1"/>
  <c r="R257" i="4"/>
  <c r="S257" i="4" s="1"/>
  <c r="P257" i="4"/>
  <c r="Q257" i="4" s="1"/>
  <c r="N257" i="4"/>
  <c r="O257" i="4" s="1"/>
  <c r="M257" i="4"/>
  <c r="K257" i="4"/>
  <c r="L257" i="4" s="1"/>
  <c r="J257" i="4"/>
  <c r="H257" i="4"/>
  <c r="I257" i="4" s="1"/>
  <c r="G257" i="4"/>
  <c r="F257" i="4"/>
  <c r="E257" i="4"/>
  <c r="D257" i="4"/>
  <c r="C257" i="4"/>
  <c r="B257" i="4"/>
  <c r="A257" i="4"/>
  <c r="AG257" i="4" s="1"/>
  <c r="AC256" i="4"/>
  <c r="AB256" i="4"/>
  <c r="AA256" i="4"/>
  <c r="Z256" i="4"/>
  <c r="Y256" i="4"/>
  <c r="X256" i="4"/>
  <c r="W256" i="4"/>
  <c r="V256" i="4"/>
  <c r="T256" i="4"/>
  <c r="U256" i="4" s="1"/>
  <c r="R256" i="4"/>
  <c r="S256" i="4" s="1"/>
  <c r="P256" i="4"/>
  <c r="Q256" i="4" s="1"/>
  <c r="N256" i="4"/>
  <c r="O256" i="4" s="1"/>
  <c r="M256" i="4"/>
  <c r="K256" i="4"/>
  <c r="L256" i="4" s="1"/>
  <c r="J256" i="4"/>
  <c r="H256" i="4"/>
  <c r="I256" i="4" s="1"/>
  <c r="G256" i="4"/>
  <c r="F256" i="4"/>
  <c r="E256" i="4"/>
  <c r="D256" i="4"/>
  <c r="C256" i="4"/>
  <c r="B256" i="4"/>
  <c r="A256" i="4"/>
  <c r="AF256" i="4" s="1"/>
  <c r="AC255" i="4"/>
  <c r="AB255" i="4"/>
  <c r="AA255" i="4"/>
  <c r="Z255" i="4"/>
  <c r="Y255" i="4"/>
  <c r="X255" i="4"/>
  <c r="W255" i="4"/>
  <c r="V255" i="4"/>
  <c r="T255" i="4"/>
  <c r="U255" i="4" s="1"/>
  <c r="R255" i="4"/>
  <c r="S255" i="4" s="1"/>
  <c r="P255" i="4"/>
  <c r="Q255" i="4" s="1"/>
  <c r="N255" i="4"/>
  <c r="O255" i="4" s="1"/>
  <c r="M255" i="4"/>
  <c r="K255" i="4"/>
  <c r="L255" i="4" s="1"/>
  <c r="J255" i="4"/>
  <c r="H255" i="4"/>
  <c r="I255" i="4" s="1"/>
  <c r="G255" i="4"/>
  <c r="F255" i="4"/>
  <c r="E255" i="4"/>
  <c r="D255" i="4"/>
  <c r="C255" i="4"/>
  <c r="B255" i="4"/>
  <c r="A255" i="4"/>
  <c r="AG255" i="4" s="1"/>
  <c r="AC254" i="4"/>
  <c r="AB254" i="4"/>
  <c r="AA254" i="4"/>
  <c r="Z254" i="4"/>
  <c r="Y254" i="4"/>
  <c r="X254" i="4"/>
  <c r="W254" i="4"/>
  <c r="V254" i="4"/>
  <c r="T254" i="4"/>
  <c r="U254" i="4" s="1"/>
  <c r="R254" i="4"/>
  <c r="S254" i="4" s="1"/>
  <c r="P254" i="4"/>
  <c r="Q254" i="4" s="1"/>
  <c r="N254" i="4"/>
  <c r="O254" i="4" s="1"/>
  <c r="M254" i="4"/>
  <c r="K254" i="4"/>
  <c r="L254" i="4" s="1"/>
  <c r="J254" i="4"/>
  <c r="H254" i="4"/>
  <c r="I254" i="4" s="1"/>
  <c r="G254" i="4"/>
  <c r="F254" i="4"/>
  <c r="E254" i="4"/>
  <c r="D254" i="4"/>
  <c r="C254" i="4"/>
  <c r="B254" i="4"/>
  <c r="A254" i="4"/>
  <c r="AC253" i="4"/>
  <c r="AB253" i="4"/>
  <c r="AA253" i="4"/>
  <c r="Z253" i="4"/>
  <c r="Y253" i="4"/>
  <c r="X253" i="4"/>
  <c r="W253" i="4"/>
  <c r="V253" i="4"/>
  <c r="T253" i="4"/>
  <c r="U253" i="4" s="1"/>
  <c r="R253" i="4"/>
  <c r="S253" i="4" s="1"/>
  <c r="P253" i="4"/>
  <c r="Q253" i="4" s="1"/>
  <c r="O253" i="4"/>
  <c r="N253" i="4"/>
  <c r="M253" i="4"/>
  <c r="K253" i="4"/>
  <c r="L253" i="4" s="1"/>
  <c r="J253" i="4"/>
  <c r="I253" i="4"/>
  <c r="H253" i="4"/>
  <c r="G253" i="4"/>
  <c r="F253" i="4"/>
  <c r="E253" i="4"/>
  <c r="D253" i="4"/>
  <c r="C253" i="4"/>
  <c r="B253" i="4"/>
  <c r="A253" i="4"/>
  <c r="AC252" i="4"/>
  <c r="AB252" i="4"/>
  <c r="AA252" i="4"/>
  <c r="Z252" i="4"/>
  <c r="Y252" i="4"/>
  <c r="X252" i="4"/>
  <c r="W252" i="4"/>
  <c r="V252" i="4"/>
  <c r="T252" i="4"/>
  <c r="U252" i="4" s="1"/>
  <c r="R252" i="4"/>
  <c r="S252" i="4" s="1"/>
  <c r="P252" i="4"/>
  <c r="Q252" i="4" s="1"/>
  <c r="N252" i="4"/>
  <c r="O252" i="4" s="1"/>
  <c r="M252" i="4"/>
  <c r="K252" i="4"/>
  <c r="L252" i="4" s="1"/>
  <c r="J252" i="4"/>
  <c r="H252" i="4"/>
  <c r="I252" i="4" s="1"/>
  <c r="G252" i="4"/>
  <c r="F252" i="4"/>
  <c r="E252" i="4"/>
  <c r="D252" i="4"/>
  <c r="C252" i="4"/>
  <c r="B252" i="4"/>
  <c r="A252" i="4"/>
  <c r="AC251" i="4"/>
  <c r="AB251" i="4"/>
  <c r="AA251" i="4"/>
  <c r="Z251" i="4"/>
  <c r="Y251" i="4"/>
  <c r="X251" i="4"/>
  <c r="W251" i="4"/>
  <c r="V251" i="4"/>
  <c r="T251" i="4"/>
  <c r="U251" i="4" s="1"/>
  <c r="R251" i="4"/>
  <c r="S251" i="4" s="1"/>
  <c r="P251" i="4"/>
  <c r="Q251" i="4" s="1"/>
  <c r="N251" i="4"/>
  <c r="O251" i="4" s="1"/>
  <c r="M251" i="4"/>
  <c r="K251" i="4"/>
  <c r="L251" i="4" s="1"/>
  <c r="J251" i="4"/>
  <c r="H251" i="4"/>
  <c r="I251" i="4" s="1"/>
  <c r="G251" i="4"/>
  <c r="F251" i="4"/>
  <c r="E251" i="4"/>
  <c r="D251" i="4"/>
  <c r="C251" i="4"/>
  <c r="B251" i="4"/>
  <c r="A251" i="4"/>
  <c r="AF251" i="4" s="1"/>
  <c r="AC250" i="4"/>
  <c r="AB250" i="4"/>
  <c r="AA250" i="4"/>
  <c r="Z250" i="4"/>
  <c r="Y250" i="4"/>
  <c r="X250" i="4"/>
  <c r="W250" i="4"/>
  <c r="V250" i="4"/>
  <c r="T250" i="4"/>
  <c r="U250" i="4" s="1"/>
  <c r="R250" i="4"/>
  <c r="S250" i="4" s="1"/>
  <c r="P250" i="4"/>
  <c r="Q250" i="4" s="1"/>
  <c r="N250" i="4"/>
  <c r="O250" i="4" s="1"/>
  <c r="M250" i="4"/>
  <c r="K250" i="4"/>
  <c r="L250" i="4" s="1"/>
  <c r="J250" i="4"/>
  <c r="H250" i="4"/>
  <c r="I250" i="4" s="1"/>
  <c r="G250" i="4"/>
  <c r="F250" i="4"/>
  <c r="E250" i="4"/>
  <c r="D250" i="4"/>
  <c r="C250" i="4"/>
  <c r="B250" i="4"/>
  <c r="A250" i="4"/>
  <c r="AG250" i="4" s="1"/>
  <c r="AC249" i="4"/>
  <c r="AB249" i="4"/>
  <c r="AA249" i="4"/>
  <c r="Z249" i="4"/>
  <c r="Y249" i="4"/>
  <c r="X249" i="4"/>
  <c r="W249" i="4"/>
  <c r="V249" i="4"/>
  <c r="T249" i="4"/>
  <c r="U249" i="4" s="1"/>
  <c r="R249" i="4"/>
  <c r="S249" i="4" s="1"/>
  <c r="P249" i="4"/>
  <c r="Q249" i="4" s="1"/>
  <c r="N249" i="4"/>
  <c r="O249" i="4" s="1"/>
  <c r="M249" i="4"/>
  <c r="K249" i="4"/>
  <c r="L249" i="4" s="1"/>
  <c r="J249" i="4"/>
  <c r="H249" i="4"/>
  <c r="I249" i="4" s="1"/>
  <c r="G249" i="4"/>
  <c r="F249" i="4"/>
  <c r="E249" i="4"/>
  <c r="D249" i="4"/>
  <c r="C249" i="4"/>
  <c r="B249" i="4"/>
  <c r="A249" i="4"/>
  <c r="AG249" i="4" s="1"/>
  <c r="AC248" i="4"/>
  <c r="AB248" i="4"/>
  <c r="AA248" i="4"/>
  <c r="Z248" i="4"/>
  <c r="Y248" i="4"/>
  <c r="X248" i="4"/>
  <c r="W248" i="4"/>
  <c r="V248" i="4"/>
  <c r="T248" i="4"/>
  <c r="U248" i="4" s="1"/>
  <c r="R248" i="4"/>
  <c r="S248" i="4" s="1"/>
  <c r="P248" i="4"/>
  <c r="Q248" i="4" s="1"/>
  <c r="N248" i="4"/>
  <c r="O248" i="4" s="1"/>
  <c r="M248" i="4"/>
  <c r="K248" i="4"/>
  <c r="L248" i="4" s="1"/>
  <c r="J248" i="4"/>
  <c r="H248" i="4"/>
  <c r="I248" i="4" s="1"/>
  <c r="G248" i="4"/>
  <c r="F248" i="4"/>
  <c r="E248" i="4"/>
  <c r="D248" i="4"/>
  <c r="C248" i="4"/>
  <c r="B248" i="4"/>
  <c r="A248" i="4"/>
  <c r="AC247" i="4"/>
  <c r="AB247" i="4"/>
  <c r="AA247" i="4"/>
  <c r="Z247" i="4"/>
  <c r="Y247" i="4"/>
  <c r="X247" i="4"/>
  <c r="W247" i="4"/>
  <c r="V247" i="4"/>
  <c r="T247" i="4"/>
  <c r="U247" i="4" s="1"/>
  <c r="R247" i="4"/>
  <c r="S247" i="4" s="1"/>
  <c r="P247" i="4"/>
  <c r="Q247" i="4" s="1"/>
  <c r="N247" i="4"/>
  <c r="O247" i="4" s="1"/>
  <c r="M247" i="4"/>
  <c r="K247" i="4"/>
  <c r="L247" i="4" s="1"/>
  <c r="J247" i="4"/>
  <c r="H247" i="4"/>
  <c r="I247" i="4" s="1"/>
  <c r="G247" i="4"/>
  <c r="F247" i="4"/>
  <c r="E247" i="4"/>
  <c r="D247" i="4"/>
  <c r="C247" i="4"/>
  <c r="B247" i="4"/>
  <c r="A247" i="4"/>
  <c r="AG247" i="4" s="1"/>
  <c r="AC246" i="4"/>
  <c r="AB246" i="4"/>
  <c r="AA246" i="4"/>
  <c r="Z246" i="4"/>
  <c r="Y246" i="4"/>
  <c r="X246" i="4"/>
  <c r="W246" i="4"/>
  <c r="V246" i="4"/>
  <c r="T246" i="4"/>
  <c r="U246" i="4" s="1"/>
  <c r="R246" i="4"/>
  <c r="S246" i="4" s="1"/>
  <c r="P246" i="4"/>
  <c r="Q246" i="4" s="1"/>
  <c r="N246" i="4"/>
  <c r="O246" i="4" s="1"/>
  <c r="M246" i="4"/>
  <c r="K246" i="4"/>
  <c r="L246" i="4" s="1"/>
  <c r="J246" i="4"/>
  <c r="H246" i="4"/>
  <c r="I246" i="4" s="1"/>
  <c r="G246" i="4"/>
  <c r="F246" i="4"/>
  <c r="E246" i="4"/>
  <c r="D246" i="4"/>
  <c r="C246" i="4"/>
  <c r="B246" i="4"/>
  <c r="A246" i="4"/>
  <c r="AG246" i="4" s="1"/>
  <c r="AC245" i="4"/>
  <c r="AB245" i="4"/>
  <c r="AA245" i="4"/>
  <c r="Z245" i="4"/>
  <c r="Y245" i="4"/>
  <c r="X245" i="4"/>
  <c r="W245" i="4"/>
  <c r="V245" i="4"/>
  <c r="T245" i="4"/>
  <c r="U245" i="4" s="1"/>
  <c r="R245" i="4"/>
  <c r="S245" i="4" s="1"/>
  <c r="P245" i="4"/>
  <c r="Q245" i="4" s="1"/>
  <c r="N245" i="4"/>
  <c r="O245" i="4" s="1"/>
  <c r="M245" i="4"/>
  <c r="K245" i="4"/>
  <c r="L245" i="4" s="1"/>
  <c r="J245" i="4"/>
  <c r="H245" i="4"/>
  <c r="I245" i="4" s="1"/>
  <c r="G245" i="4"/>
  <c r="F245" i="4"/>
  <c r="E245" i="4"/>
  <c r="D245" i="4"/>
  <c r="C245" i="4"/>
  <c r="B245" i="4"/>
  <c r="A245" i="4"/>
  <c r="AD245" i="4" s="1"/>
  <c r="AE245" i="4" s="1"/>
  <c r="AC244" i="4"/>
  <c r="AB244" i="4"/>
  <c r="AA244" i="4"/>
  <c r="Z244" i="4"/>
  <c r="Y244" i="4"/>
  <c r="X244" i="4"/>
  <c r="W244" i="4"/>
  <c r="V244" i="4"/>
  <c r="T244" i="4"/>
  <c r="U244" i="4" s="1"/>
  <c r="R244" i="4"/>
  <c r="S244" i="4" s="1"/>
  <c r="P244" i="4"/>
  <c r="Q244" i="4" s="1"/>
  <c r="N244" i="4"/>
  <c r="O244" i="4" s="1"/>
  <c r="M244" i="4"/>
  <c r="K244" i="4"/>
  <c r="L244" i="4" s="1"/>
  <c r="J244" i="4"/>
  <c r="H244" i="4"/>
  <c r="I244" i="4" s="1"/>
  <c r="G244" i="4"/>
  <c r="F244" i="4"/>
  <c r="E244" i="4"/>
  <c r="D244" i="4"/>
  <c r="C244" i="4"/>
  <c r="B244" i="4"/>
  <c r="A244" i="4"/>
  <c r="AC243" i="4"/>
  <c r="AB243" i="4"/>
  <c r="AA243" i="4"/>
  <c r="Z243" i="4"/>
  <c r="Y243" i="4"/>
  <c r="X243" i="4"/>
  <c r="W243" i="4"/>
  <c r="V243" i="4"/>
  <c r="T243" i="4"/>
  <c r="U243" i="4" s="1"/>
  <c r="R243" i="4"/>
  <c r="S243" i="4" s="1"/>
  <c r="P243" i="4"/>
  <c r="Q243" i="4" s="1"/>
  <c r="N243" i="4"/>
  <c r="O243" i="4" s="1"/>
  <c r="M243" i="4"/>
  <c r="K243" i="4"/>
  <c r="L243" i="4" s="1"/>
  <c r="J243" i="4"/>
  <c r="H243" i="4"/>
  <c r="I243" i="4" s="1"/>
  <c r="G243" i="4"/>
  <c r="F243" i="4"/>
  <c r="E243" i="4"/>
  <c r="D243" i="4"/>
  <c r="C243" i="4"/>
  <c r="B243" i="4"/>
  <c r="A243" i="4"/>
  <c r="AF243" i="4" s="1"/>
  <c r="AC242" i="4"/>
  <c r="AB242" i="4"/>
  <c r="AA242" i="4"/>
  <c r="Z242" i="4"/>
  <c r="Y242" i="4"/>
  <c r="X242" i="4"/>
  <c r="W242" i="4"/>
  <c r="V242" i="4"/>
  <c r="T242" i="4"/>
  <c r="U242" i="4" s="1"/>
  <c r="R242" i="4"/>
  <c r="S242" i="4" s="1"/>
  <c r="P242" i="4"/>
  <c r="Q242" i="4" s="1"/>
  <c r="N242" i="4"/>
  <c r="O242" i="4" s="1"/>
  <c r="M242" i="4"/>
  <c r="K242" i="4"/>
  <c r="L242" i="4" s="1"/>
  <c r="J242" i="4"/>
  <c r="H242" i="4"/>
  <c r="I242" i="4" s="1"/>
  <c r="G242" i="4"/>
  <c r="F242" i="4"/>
  <c r="E242" i="4"/>
  <c r="D242" i="4"/>
  <c r="C242" i="4"/>
  <c r="B242" i="4"/>
  <c r="A242" i="4"/>
  <c r="AG242" i="4" s="1"/>
  <c r="AC241" i="4"/>
  <c r="AB241" i="4"/>
  <c r="AA241" i="4"/>
  <c r="Z241" i="4"/>
  <c r="Y241" i="4"/>
  <c r="X241" i="4"/>
  <c r="W241" i="4"/>
  <c r="V241" i="4"/>
  <c r="T241" i="4"/>
  <c r="U241" i="4" s="1"/>
  <c r="R241" i="4"/>
  <c r="S241" i="4" s="1"/>
  <c r="P241" i="4"/>
  <c r="Q241" i="4" s="1"/>
  <c r="N241" i="4"/>
  <c r="O241" i="4" s="1"/>
  <c r="M241" i="4"/>
  <c r="K241" i="4"/>
  <c r="L241" i="4" s="1"/>
  <c r="J241" i="4"/>
  <c r="H241" i="4"/>
  <c r="I241" i="4" s="1"/>
  <c r="G241" i="4"/>
  <c r="F241" i="4"/>
  <c r="E241" i="4"/>
  <c r="D241" i="4"/>
  <c r="C241" i="4"/>
  <c r="B241" i="4"/>
  <c r="A241" i="4"/>
  <c r="AG241" i="4" s="1"/>
  <c r="AC240" i="4"/>
  <c r="AB240" i="4"/>
  <c r="AA240" i="4"/>
  <c r="Z240" i="4"/>
  <c r="Y240" i="4"/>
  <c r="X240" i="4"/>
  <c r="W240" i="4"/>
  <c r="V240" i="4"/>
  <c r="T240" i="4"/>
  <c r="U240" i="4" s="1"/>
  <c r="R240" i="4"/>
  <c r="S240" i="4" s="1"/>
  <c r="Q240" i="4"/>
  <c r="P240" i="4"/>
  <c r="N240" i="4"/>
  <c r="O240" i="4" s="1"/>
  <c r="M240" i="4"/>
  <c r="K240" i="4"/>
  <c r="L240" i="4" s="1"/>
  <c r="J240" i="4"/>
  <c r="H240" i="4"/>
  <c r="I240" i="4" s="1"/>
  <c r="G240" i="4"/>
  <c r="F240" i="4"/>
  <c r="E240" i="4"/>
  <c r="D240" i="4"/>
  <c r="C240" i="4"/>
  <c r="B240" i="4"/>
  <c r="A240" i="4"/>
  <c r="AC239" i="4"/>
  <c r="AB239" i="4"/>
  <c r="AA239" i="4"/>
  <c r="Z239" i="4"/>
  <c r="Y239" i="4"/>
  <c r="X239" i="4"/>
  <c r="W239" i="4"/>
  <c r="V239" i="4"/>
  <c r="T239" i="4"/>
  <c r="U239" i="4" s="1"/>
  <c r="R239" i="4"/>
  <c r="S239" i="4" s="1"/>
  <c r="P239" i="4"/>
  <c r="Q239" i="4" s="1"/>
  <c r="N239" i="4"/>
  <c r="O239" i="4" s="1"/>
  <c r="M239" i="4"/>
  <c r="K239" i="4"/>
  <c r="L239" i="4" s="1"/>
  <c r="J239" i="4"/>
  <c r="H239" i="4"/>
  <c r="I239" i="4" s="1"/>
  <c r="G239" i="4"/>
  <c r="F239" i="4"/>
  <c r="E239" i="4"/>
  <c r="D239" i="4"/>
  <c r="C239" i="4"/>
  <c r="B239" i="4"/>
  <c r="A239" i="4"/>
  <c r="AG239" i="4" s="1"/>
  <c r="AC238" i="4"/>
  <c r="AB238" i="4"/>
  <c r="AA238" i="4"/>
  <c r="Z238" i="4"/>
  <c r="Y238" i="4"/>
  <c r="X238" i="4"/>
  <c r="W238" i="4"/>
  <c r="V238" i="4"/>
  <c r="T238" i="4"/>
  <c r="U238" i="4" s="1"/>
  <c r="R238" i="4"/>
  <c r="S238" i="4" s="1"/>
  <c r="P238" i="4"/>
  <c r="Q238" i="4" s="1"/>
  <c r="N238" i="4"/>
  <c r="O238" i="4" s="1"/>
  <c r="M238" i="4"/>
  <c r="K238" i="4"/>
  <c r="L238" i="4" s="1"/>
  <c r="J238" i="4"/>
  <c r="H238" i="4"/>
  <c r="I238" i="4" s="1"/>
  <c r="G238" i="4"/>
  <c r="F238" i="4"/>
  <c r="E238" i="4"/>
  <c r="D238" i="4"/>
  <c r="C238" i="4"/>
  <c r="B238" i="4"/>
  <c r="A238" i="4"/>
  <c r="AG238" i="4" s="1"/>
  <c r="AC237" i="4"/>
  <c r="AB237" i="4"/>
  <c r="AA237" i="4"/>
  <c r="Z237" i="4"/>
  <c r="Y237" i="4"/>
  <c r="X237" i="4"/>
  <c r="W237" i="4"/>
  <c r="V237" i="4"/>
  <c r="T237" i="4"/>
  <c r="U237" i="4" s="1"/>
  <c r="R237" i="4"/>
  <c r="S237" i="4" s="1"/>
  <c r="P237" i="4"/>
  <c r="Q237" i="4" s="1"/>
  <c r="N237" i="4"/>
  <c r="O237" i="4" s="1"/>
  <c r="M237" i="4"/>
  <c r="K237" i="4"/>
  <c r="L237" i="4" s="1"/>
  <c r="J237" i="4"/>
  <c r="H237" i="4"/>
  <c r="I237" i="4" s="1"/>
  <c r="G237" i="4"/>
  <c r="F237" i="4"/>
  <c r="E237" i="4"/>
  <c r="D237" i="4"/>
  <c r="C237" i="4"/>
  <c r="B237" i="4"/>
  <c r="A237" i="4"/>
  <c r="AD237" i="4" s="1"/>
  <c r="AE237" i="4" s="1"/>
  <c r="AC236" i="4"/>
  <c r="AB236" i="4"/>
  <c r="AA236" i="4"/>
  <c r="Z236" i="4"/>
  <c r="Y236" i="4"/>
  <c r="X236" i="4"/>
  <c r="W236" i="4"/>
  <c r="V236" i="4"/>
  <c r="T236" i="4"/>
  <c r="U236" i="4" s="1"/>
  <c r="R236" i="4"/>
  <c r="S236" i="4" s="1"/>
  <c r="P236" i="4"/>
  <c r="Q236" i="4" s="1"/>
  <c r="N236" i="4"/>
  <c r="O236" i="4" s="1"/>
  <c r="M236" i="4"/>
  <c r="K236" i="4"/>
  <c r="L236" i="4" s="1"/>
  <c r="J236" i="4"/>
  <c r="H236" i="4"/>
  <c r="I236" i="4" s="1"/>
  <c r="G236" i="4"/>
  <c r="F236" i="4"/>
  <c r="E236" i="4"/>
  <c r="D236" i="4"/>
  <c r="C236" i="4"/>
  <c r="B236" i="4"/>
  <c r="A236" i="4"/>
  <c r="AD236" i="4" s="1"/>
  <c r="AE236" i="4" s="1"/>
  <c r="AC235" i="4"/>
  <c r="AB235" i="4"/>
  <c r="AA235" i="4"/>
  <c r="Z235" i="4"/>
  <c r="Y235" i="4"/>
  <c r="X235" i="4"/>
  <c r="W235" i="4"/>
  <c r="V235" i="4"/>
  <c r="T235" i="4"/>
  <c r="U235" i="4" s="1"/>
  <c r="R235" i="4"/>
  <c r="S235" i="4" s="1"/>
  <c r="P235" i="4"/>
  <c r="Q235" i="4" s="1"/>
  <c r="N235" i="4"/>
  <c r="O235" i="4" s="1"/>
  <c r="M235" i="4"/>
  <c r="K235" i="4"/>
  <c r="L235" i="4" s="1"/>
  <c r="J235" i="4"/>
  <c r="H235" i="4"/>
  <c r="I235" i="4" s="1"/>
  <c r="G235" i="4"/>
  <c r="F235" i="4"/>
  <c r="E235" i="4"/>
  <c r="D235" i="4"/>
  <c r="C235" i="4"/>
  <c r="B235" i="4"/>
  <c r="A235" i="4"/>
  <c r="AF235" i="4" s="1"/>
  <c r="AC234" i="4"/>
  <c r="AB234" i="4"/>
  <c r="AA234" i="4"/>
  <c r="Z234" i="4"/>
  <c r="Y234" i="4"/>
  <c r="X234" i="4"/>
  <c r="W234" i="4"/>
  <c r="V234" i="4"/>
  <c r="T234" i="4"/>
  <c r="U234" i="4" s="1"/>
  <c r="S234" i="4"/>
  <c r="R234" i="4"/>
  <c r="P234" i="4"/>
  <c r="Q234" i="4" s="1"/>
  <c r="N234" i="4"/>
  <c r="O234" i="4" s="1"/>
  <c r="M234" i="4"/>
  <c r="K234" i="4"/>
  <c r="L234" i="4" s="1"/>
  <c r="J234" i="4"/>
  <c r="H234" i="4"/>
  <c r="I234" i="4" s="1"/>
  <c r="G234" i="4"/>
  <c r="F234" i="4"/>
  <c r="E234" i="4"/>
  <c r="D234" i="4"/>
  <c r="C234" i="4"/>
  <c r="B234" i="4"/>
  <c r="A234" i="4"/>
  <c r="AG234" i="4" s="1"/>
  <c r="AF233" i="4"/>
  <c r="AC233" i="4"/>
  <c r="AB233" i="4"/>
  <c r="AA233" i="4"/>
  <c r="Z233" i="4"/>
  <c r="Y233" i="4"/>
  <c r="X233" i="4"/>
  <c r="W233" i="4"/>
  <c r="V233" i="4"/>
  <c r="T233" i="4"/>
  <c r="U233" i="4" s="1"/>
  <c r="R233" i="4"/>
  <c r="S233" i="4" s="1"/>
  <c r="P233" i="4"/>
  <c r="Q233" i="4" s="1"/>
  <c r="N233" i="4"/>
  <c r="O233" i="4" s="1"/>
  <c r="M233" i="4"/>
  <c r="K233" i="4"/>
  <c r="L233" i="4" s="1"/>
  <c r="J233" i="4"/>
  <c r="H233" i="4"/>
  <c r="I233" i="4" s="1"/>
  <c r="G233" i="4"/>
  <c r="F233" i="4"/>
  <c r="E233" i="4"/>
  <c r="D233" i="4"/>
  <c r="C233" i="4"/>
  <c r="B233" i="4"/>
  <c r="A233" i="4"/>
  <c r="AG233" i="4" s="1"/>
  <c r="AC232" i="4"/>
  <c r="AB232" i="4"/>
  <c r="AA232" i="4"/>
  <c r="Z232" i="4"/>
  <c r="Y232" i="4"/>
  <c r="X232" i="4"/>
  <c r="W232" i="4"/>
  <c r="V232" i="4"/>
  <c r="U232" i="4"/>
  <c r="T232" i="4"/>
  <c r="R232" i="4"/>
  <c r="S232" i="4" s="1"/>
  <c r="P232" i="4"/>
  <c r="Q232" i="4" s="1"/>
  <c r="N232" i="4"/>
  <c r="O232" i="4" s="1"/>
  <c r="M232" i="4"/>
  <c r="K232" i="4"/>
  <c r="L232" i="4" s="1"/>
  <c r="J232" i="4"/>
  <c r="H232" i="4"/>
  <c r="I232" i="4" s="1"/>
  <c r="G232" i="4"/>
  <c r="F232" i="4"/>
  <c r="E232" i="4"/>
  <c r="D232" i="4"/>
  <c r="C232" i="4"/>
  <c r="B232" i="4"/>
  <c r="A232" i="4"/>
  <c r="AF232" i="4" s="1"/>
  <c r="AC231" i="4"/>
  <c r="AB231" i="4"/>
  <c r="AA231" i="4"/>
  <c r="Z231" i="4"/>
  <c r="Y231" i="4"/>
  <c r="X231" i="4"/>
  <c r="W231" i="4"/>
  <c r="V231" i="4"/>
  <c r="U231" i="4"/>
  <c r="T231" i="4"/>
  <c r="R231" i="4"/>
  <c r="S231" i="4" s="1"/>
  <c r="P231" i="4"/>
  <c r="Q231" i="4" s="1"/>
  <c r="N231" i="4"/>
  <c r="O231" i="4" s="1"/>
  <c r="M231" i="4"/>
  <c r="K231" i="4"/>
  <c r="L231" i="4" s="1"/>
  <c r="J231" i="4"/>
  <c r="H231" i="4"/>
  <c r="I231" i="4" s="1"/>
  <c r="G231" i="4"/>
  <c r="F231" i="4"/>
  <c r="E231" i="4"/>
  <c r="D231" i="4"/>
  <c r="C231" i="4"/>
  <c r="B231" i="4"/>
  <c r="A231" i="4"/>
  <c r="AC230" i="4"/>
  <c r="AB230" i="4"/>
  <c r="AA230" i="4"/>
  <c r="Z230" i="4"/>
  <c r="Y230" i="4"/>
  <c r="X230" i="4"/>
  <c r="W230" i="4"/>
  <c r="V230" i="4"/>
  <c r="T230" i="4"/>
  <c r="U230" i="4" s="1"/>
  <c r="R230" i="4"/>
  <c r="S230" i="4" s="1"/>
  <c r="P230" i="4"/>
  <c r="Q230" i="4" s="1"/>
  <c r="N230" i="4"/>
  <c r="O230" i="4" s="1"/>
  <c r="M230" i="4"/>
  <c r="K230" i="4"/>
  <c r="L230" i="4" s="1"/>
  <c r="J230" i="4"/>
  <c r="H230" i="4"/>
  <c r="I230" i="4" s="1"/>
  <c r="G230" i="4"/>
  <c r="F230" i="4"/>
  <c r="E230" i="4"/>
  <c r="D230" i="4"/>
  <c r="C230" i="4"/>
  <c r="B230" i="4"/>
  <c r="A230" i="4"/>
  <c r="AG230" i="4" s="1"/>
  <c r="AC229" i="4"/>
  <c r="AB229" i="4"/>
  <c r="AA229" i="4"/>
  <c r="Z229" i="4"/>
  <c r="Y229" i="4"/>
  <c r="X229" i="4"/>
  <c r="W229" i="4"/>
  <c r="V229" i="4"/>
  <c r="T229" i="4"/>
  <c r="U229" i="4" s="1"/>
  <c r="R229" i="4"/>
  <c r="S229" i="4" s="1"/>
  <c r="P229" i="4"/>
  <c r="Q229" i="4" s="1"/>
  <c r="N229" i="4"/>
  <c r="O229" i="4" s="1"/>
  <c r="M229" i="4"/>
  <c r="K229" i="4"/>
  <c r="L229" i="4" s="1"/>
  <c r="J229" i="4"/>
  <c r="H229" i="4"/>
  <c r="I229" i="4" s="1"/>
  <c r="G229" i="4"/>
  <c r="F229" i="4"/>
  <c r="E229" i="4"/>
  <c r="D229" i="4"/>
  <c r="C229" i="4"/>
  <c r="B229" i="4"/>
  <c r="A229" i="4"/>
  <c r="AC228" i="4"/>
  <c r="AB228" i="4"/>
  <c r="AA228" i="4"/>
  <c r="Z228" i="4"/>
  <c r="Y228" i="4"/>
  <c r="X228" i="4"/>
  <c r="W228" i="4"/>
  <c r="V228" i="4"/>
  <c r="T228" i="4"/>
  <c r="U228" i="4" s="1"/>
  <c r="R228" i="4"/>
  <c r="S228" i="4" s="1"/>
  <c r="P228" i="4"/>
  <c r="Q228" i="4" s="1"/>
  <c r="N228" i="4"/>
  <c r="O228" i="4" s="1"/>
  <c r="M228" i="4"/>
  <c r="K228" i="4"/>
  <c r="L228" i="4" s="1"/>
  <c r="J228" i="4"/>
  <c r="H228" i="4"/>
  <c r="I228" i="4" s="1"/>
  <c r="G228" i="4"/>
  <c r="F228" i="4"/>
  <c r="E228" i="4"/>
  <c r="D228" i="4"/>
  <c r="C228" i="4"/>
  <c r="B228" i="4"/>
  <c r="A228" i="4"/>
  <c r="AC227" i="4"/>
  <c r="AB227" i="4"/>
  <c r="AA227" i="4"/>
  <c r="Z227" i="4"/>
  <c r="Y227" i="4"/>
  <c r="X227" i="4"/>
  <c r="W227" i="4"/>
  <c r="V227" i="4"/>
  <c r="T227" i="4"/>
  <c r="U227" i="4" s="1"/>
  <c r="R227" i="4"/>
  <c r="S227" i="4" s="1"/>
  <c r="P227" i="4"/>
  <c r="Q227" i="4" s="1"/>
  <c r="N227" i="4"/>
  <c r="O227" i="4" s="1"/>
  <c r="M227" i="4"/>
  <c r="K227" i="4"/>
  <c r="L227" i="4" s="1"/>
  <c r="J227" i="4"/>
  <c r="H227" i="4"/>
  <c r="I227" i="4" s="1"/>
  <c r="G227" i="4"/>
  <c r="F227" i="4"/>
  <c r="E227" i="4"/>
  <c r="D227" i="4"/>
  <c r="C227" i="4"/>
  <c r="B227" i="4"/>
  <c r="A227" i="4"/>
  <c r="AG227" i="4" s="1"/>
  <c r="AC226" i="4"/>
  <c r="AB226" i="4"/>
  <c r="AA226" i="4"/>
  <c r="Z226" i="4"/>
  <c r="Y226" i="4"/>
  <c r="X226" i="4"/>
  <c r="W226" i="4"/>
  <c r="V226" i="4"/>
  <c r="T226" i="4"/>
  <c r="U226" i="4" s="1"/>
  <c r="R226" i="4"/>
  <c r="S226" i="4" s="1"/>
  <c r="P226" i="4"/>
  <c r="Q226" i="4" s="1"/>
  <c r="N226" i="4"/>
  <c r="O226" i="4" s="1"/>
  <c r="M226" i="4"/>
  <c r="K226" i="4"/>
  <c r="L226" i="4" s="1"/>
  <c r="J226" i="4"/>
  <c r="H226" i="4"/>
  <c r="I226" i="4" s="1"/>
  <c r="G226" i="4"/>
  <c r="F226" i="4"/>
  <c r="E226" i="4"/>
  <c r="D226" i="4"/>
  <c r="C226" i="4"/>
  <c r="B226" i="4"/>
  <c r="A226" i="4"/>
  <c r="AG226" i="4" s="1"/>
  <c r="AC225" i="4"/>
  <c r="AB225" i="4"/>
  <c r="AA225" i="4"/>
  <c r="Z225" i="4"/>
  <c r="Y225" i="4"/>
  <c r="X225" i="4"/>
  <c r="W225" i="4"/>
  <c r="V225" i="4"/>
  <c r="T225" i="4"/>
  <c r="U225" i="4" s="1"/>
  <c r="S225" i="4"/>
  <c r="R225" i="4"/>
  <c r="P225" i="4"/>
  <c r="Q225" i="4" s="1"/>
  <c r="N225" i="4"/>
  <c r="O225" i="4" s="1"/>
  <c r="M225" i="4"/>
  <c r="K225" i="4"/>
  <c r="L225" i="4" s="1"/>
  <c r="J225" i="4"/>
  <c r="H225" i="4"/>
  <c r="I225" i="4" s="1"/>
  <c r="G225" i="4"/>
  <c r="F225" i="4"/>
  <c r="E225" i="4"/>
  <c r="D225" i="4"/>
  <c r="C225" i="4"/>
  <c r="B225" i="4"/>
  <c r="A225" i="4"/>
  <c r="AD225" i="4" s="1"/>
  <c r="AE225" i="4" s="1"/>
  <c r="AC224" i="4"/>
  <c r="AB224" i="4"/>
  <c r="AA224" i="4"/>
  <c r="Z224" i="4"/>
  <c r="Y224" i="4"/>
  <c r="X224" i="4"/>
  <c r="W224" i="4"/>
  <c r="V224" i="4"/>
  <c r="T224" i="4"/>
  <c r="U224" i="4" s="1"/>
  <c r="R224" i="4"/>
  <c r="S224" i="4" s="1"/>
  <c r="Q224" i="4"/>
  <c r="P224" i="4"/>
  <c r="N224" i="4"/>
  <c r="O224" i="4" s="1"/>
  <c r="M224" i="4"/>
  <c r="L224" i="4"/>
  <c r="K224" i="4"/>
  <c r="J224" i="4"/>
  <c r="I224" i="4"/>
  <c r="H224" i="4"/>
  <c r="G224" i="4"/>
  <c r="F224" i="4"/>
  <c r="E224" i="4"/>
  <c r="D224" i="4"/>
  <c r="C224" i="4"/>
  <c r="B224" i="4"/>
  <c r="A224" i="4"/>
  <c r="AC223" i="4"/>
  <c r="AB223" i="4"/>
  <c r="AA223" i="4"/>
  <c r="Z223" i="4"/>
  <c r="Y223" i="4"/>
  <c r="X223" i="4"/>
  <c r="W223" i="4"/>
  <c r="V223" i="4"/>
  <c r="T223" i="4"/>
  <c r="U223" i="4" s="1"/>
  <c r="R223" i="4"/>
  <c r="S223" i="4" s="1"/>
  <c r="P223" i="4"/>
  <c r="Q223" i="4" s="1"/>
  <c r="N223" i="4"/>
  <c r="O223" i="4" s="1"/>
  <c r="M223" i="4"/>
  <c r="K223" i="4"/>
  <c r="L223" i="4" s="1"/>
  <c r="J223" i="4"/>
  <c r="I223" i="4"/>
  <c r="H223" i="4"/>
  <c r="G223" i="4"/>
  <c r="F223" i="4"/>
  <c r="E223" i="4"/>
  <c r="D223" i="4"/>
  <c r="C223" i="4"/>
  <c r="B223" i="4"/>
  <c r="A223" i="4"/>
  <c r="AC222" i="4"/>
  <c r="AB222" i="4"/>
  <c r="AA222" i="4"/>
  <c r="Z222" i="4"/>
  <c r="Y222" i="4"/>
  <c r="X222" i="4"/>
  <c r="W222" i="4"/>
  <c r="V222" i="4"/>
  <c r="T222" i="4"/>
  <c r="U222" i="4" s="1"/>
  <c r="R222" i="4"/>
  <c r="S222" i="4" s="1"/>
  <c r="P222" i="4"/>
  <c r="Q222" i="4" s="1"/>
  <c r="N222" i="4"/>
  <c r="O222" i="4" s="1"/>
  <c r="M222" i="4"/>
  <c r="K222" i="4"/>
  <c r="L222" i="4" s="1"/>
  <c r="J222" i="4"/>
  <c r="H222" i="4"/>
  <c r="I222" i="4" s="1"/>
  <c r="G222" i="4"/>
  <c r="F222" i="4"/>
  <c r="E222" i="4"/>
  <c r="D222" i="4"/>
  <c r="C222" i="4"/>
  <c r="B222" i="4"/>
  <c r="A222" i="4"/>
  <c r="AG222" i="4" s="1"/>
  <c r="AC221" i="4"/>
  <c r="AB221" i="4"/>
  <c r="AA221" i="4"/>
  <c r="Z221" i="4"/>
  <c r="Y221" i="4"/>
  <c r="X221" i="4"/>
  <c r="W221" i="4"/>
  <c r="V221" i="4"/>
  <c r="T221" i="4"/>
  <c r="U221" i="4" s="1"/>
  <c r="R221" i="4"/>
  <c r="S221" i="4" s="1"/>
  <c r="P221" i="4"/>
  <c r="Q221" i="4" s="1"/>
  <c r="N221" i="4"/>
  <c r="O221" i="4" s="1"/>
  <c r="M221" i="4"/>
  <c r="K221" i="4"/>
  <c r="L221" i="4" s="1"/>
  <c r="J221" i="4"/>
  <c r="H221" i="4"/>
  <c r="I221" i="4" s="1"/>
  <c r="G221" i="4"/>
  <c r="F221" i="4"/>
  <c r="E221" i="4"/>
  <c r="D221" i="4"/>
  <c r="C221" i="4"/>
  <c r="B221" i="4"/>
  <c r="A221" i="4"/>
  <c r="AG221" i="4" s="1"/>
  <c r="AC220" i="4"/>
  <c r="AB220" i="4"/>
  <c r="AA220" i="4"/>
  <c r="Z220" i="4"/>
  <c r="Y220" i="4"/>
  <c r="X220" i="4"/>
  <c r="W220" i="4"/>
  <c r="V220" i="4"/>
  <c r="T220" i="4"/>
  <c r="U220" i="4" s="1"/>
  <c r="S220" i="4"/>
  <c r="R220" i="4"/>
  <c r="P220" i="4"/>
  <c r="Q220" i="4" s="1"/>
  <c r="N220" i="4"/>
  <c r="O220" i="4" s="1"/>
  <c r="M220" i="4"/>
  <c r="K220" i="4"/>
  <c r="L220" i="4" s="1"/>
  <c r="J220" i="4"/>
  <c r="H220" i="4"/>
  <c r="I220" i="4" s="1"/>
  <c r="G220" i="4"/>
  <c r="F220" i="4"/>
  <c r="E220" i="4"/>
  <c r="D220" i="4"/>
  <c r="C220" i="4"/>
  <c r="B220" i="4"/>
  <c r="A220" i="4"/>
  <c r="AG220" i="4" s="1"/>
  <c r="AC219" i="4"/>
  <c r="AB219" i="4"/>
  <c r="AA219" i="4"/>
  <c r="Z219" i="4"/>
  <c r="Y219" i="4"/>
  <c r="X219" i="4"/>
  <c r="W219" i="4"/>
  <c r="V219" i="4"/>
  <c r="T219" i="4"/>
  <c r="U219" i="4" s="1"/>
  <c r="R219" i="4"/>
  <c r="S219" i="4" s="1"/>
  <c r="P219" i="4"/>
  <c r="Q219" i="4" s="1"/>
  <c r="N219" i="4"/>
  <c r="O219" i="4" s="1"/>
  <c r="M219" i="4"/>
  <c r="K219" i="4"/>
  <c r="L219" i="4" s="1"/>
  <c r="J219" i="4"/>
  <c r="H219" i="4"/>
  <c r="I219" i="4" s="1"/>
  <c r="G219" i="4"/>
  <c r="F219" i="4"/>
  <c r="E219" i="4"/>
  <c r="D219" i="4"/>
  <c r="C219" i="4"/>
  <c r="B219" i="4"/>
  <c r="A219" i="4"/>
  <c r="AG219" i="4" s="1"/>
  <c r="AC218" i="4"/>
  <c r="AB218" i="4"/>
  <c r="AA218" i="4"/>
  <c r="Z218" i="4"/>
  <c r="Y218" i="4"/>
  <c r="X218" i="4"/>
  <c r="W218" i="4"/>
  <c r="V218" i="4"/>
  <c r="T218" i="4"/>
  <c r="U218" i="4" s="1"/>
  <c r="R218" i="4"/>
  <c r="S218" i="4" s="1"/>
  <c r="P218" i="4"/>
  <c r="Q218" i="4" s="1"/>
  <c r="N218" i="4"/>
  <c r="O218" i="4" s="1"/>
  <c r="M218" i="4"/>
  <c r="K218" i="4"/>
  <c r="L218" i="4" s="1"/>
  <c r="J218" i="4"/>
  <c r="H218" i="4"/>
  <c r="I218" i="4" s="1"/>
  <c r="G218" i="4"/>
  <c r="F218" i="4"/>
  <c r="E218" i="4"/>
  <c r="D218" i="4"/>
  <c r="C218" i="4"/>
  <c r="B218" i="4"/>
  <c r="A218" i="4"/>
  <c r="AG218" i="4" s="1"/>
  <c r="AC217" i="4"/>
  <c r="AB217" i="4"/>
  <c r="AA217" i="4"/>
  <c r="Z217" i="4"/>
  <c r="Y217" i="4"/>
  <c r="X217" i="4"/>
  <c r="W217" i="4"/>
  <c r="V217" i="4"/>
  <c r="T217" i="4"/>
  <c r="U217" i="4" s="1"/>
  <c r="R217" i="4"/>
  <c r="S217" i="4" s="1"/>
  <c r="P217" i="4"/>
  <c r="Q217" i="4" s="1"/>
  <c r="N217" i="4"/>
  <c r="O217" i="4" s="1"/>
  <c r="M217" i="4"/>
  <c r="K217" i="4"/>
  <c r="L217" i="4" s="1"/>
  <c r="J217" i="4"/>
  <c r="H217" i="4"/>
  <c r="I217" i="4" s="1"/>
  <c r="G217" i="4"/>
  <c r="F217" i="4"/>
  <c r="E217" i="4"/>
  <c r="D217" i="4"/>
  <c r="C217" i="4"/>
  <c r="B217" i="4"/>
  <c r="A217" i="4"/>
  <c r="AD217" i="4" s="1"/>
  <c r="AE217" i="4" s="1"/>
  <c r="AC216" i="4"/>
  <c r="AB216" i="4"/>
  <c r="AA216" i="4"/>
  <c r="Z216" i="4"/>
  <c r="Y216" i="4"/>
  <c r="X216" i="4"/>
  <c r="W216" i="4"/>
  <c r="V216" i="4"/>
  <c r="T216" i="4"/>
  <c r="U216" i="4" s="1"/>
  <c r="R216" i="4"/>
  <c r="S216" i="4" s="1"/>
  <c r="P216" i="4"/>
  <c r="Q216" i="4" s="1"/>
  <c r="N216" i="4"/>
  <c r="O216" i="4" s="1"/>
  <c r="M216" i="4"/>
  <c r="K216" i="4"/>
  <c r="L216" i="4" s="1"/>
  <c r="J216" i="4"/>
  <c r="H216" i="4"/>
  <c r="I216" i="4" s="1"/>
  <c r="G216" i="4"/>
  <c r="F216" i="4"/>
  <c r="E216" i="4"/>
  <c r="D216" i="4"/>
  <c r="C216" i="4"/>
  <c r="B216" i="4"/>
  <c r="A216" i="4"/>
  <c r="AD216" i="4" s="1"/>
  <c r="AE216" i="4" s="1"/>
  <c r="AC215" i="4"/>
  <c r="AB215" i="4"/>
  <c r="AA215" i="4"/>
  <c r="Z215" i="4"/>
  <c r="Y215" i="4"/>
  <c r="X215" i="4"/>
  <c r="W215" i="4"/>
  <c r="V215" i="4"/>
  <c r="T215" i="4"/>
  <c r="U215" i="4" s="1"/>
  <c r="R215" i="4"/>
  <c r="S215" i="4" s="1"/>
  <c r="P215" i="4"/>
  <c r="Q215" i="4" s="1"/>
  <c r="N215" i="4"/>
  <c r="O215" i="4" s="1"/>
  <c r="M215" i="4"/>
  <c r="K215" i="4"/>
  <c r="L215" i="4" s="1"/>
  <c r="J215" i="4"/>
  <c r="H215" i="4"/>
  <c r="I215" i="4" s="1"/>
  <c r="G215" i="4"/>
  <c r="F215" i="4"/>
  <c r="E215" i="4"/>
  <c r="D215" i="4"/>
  <c r="C215" i="4"/>
  <c r="B215" i="4"/>
  <c r="A215" i="4"/>
  <c r="AG215" i="4" s="1"/>
  <c r="AC214" i="4"/>
  <c r="AB214" i="4"/>
  <c r="AA214" i="4"/>
  <c r="Z214" i="4"/>
  <c r="Y214" i="4"/>
  <c r="X214" i="4"/>
  <c r="W214" i="4"/>
  <c r="V214" i="4"/>
  <c r="T214" i="4"/>
  <c r="U214" i="4" s="1"/>
  <c r="R214" i="4"/>
  <c r="S214" i="4" s="1"/>
  <c r="P214" i="4"/>
  <c r="Q214" i="4" s="1"/>
  <c r="N214" i="4"/>
  <c r="O214" i="4" s="1"/>
  <c r="M214" i="4"/>
  <c r="K214" i="4"/>
  <c r="L214" i="4" s="1"/>
  <c r="J214" i="4"/>
  <c r="H214" i="4"/>
  <c r="I214" i="4" s="1"/>
  <c r="G214" i="4"/>
  <c r="F214" i="4"/>
  <c r="E214" i="4"/>
  <c r="D214" i="4"/>
  <c r="C214" i="4"/>
  <c r="B214" i="4"/>
  <c r="A214" i="4"/>
  <c r="AG214" i="4" s="1"/>
  <c r="AC213" i="4"/>
  <c r="AB213" i="4"/>
  <c r="AA213" i="4"/>
  <c r="Z213" i="4"/>
  <c r="Y213" i="4"/>
  <c r="X213" i="4"/>
  <c r="W213" i="4"/>
  <c r="V213" i="4"/>
  <c r="T213" i="4"/>
  <c r="U213" i="4" s="1"/>
  <c r="R213" i="4"/>
  <c r="S213" i="4" s="1"/>
  <c r="P213" i="4"/>
  <c r="Q213" i="4" s="1"/>
  <c r="N213" i="4"/>
  <c r="O213" i="4" s="1"/>
  <c r="M213" i="4"/>
  <c r="K213" i="4"/>
  <c r="L213" i="4" s="1"/>
  <c r="J213" i="4"/>
  <c r="H213" i="4"/>
  <c r="I213" i="4" s="1"/>
  <c r="G213" i="4"/>
  <c r="F213" i="4"/>
  <c r="E213" i="4"/>
  <c r="D213" i="4"/>
  <c r="C213" i="4"/>
  <c r="B213" i="4"/>
  <c r="A213" i="4"/>
  <c r="AG213" i="4" s="1"/>
  <c r="AC212" i="4"/>
  <c r="AB212" i="4"/>
  <c r="AA212" i="4"/>
  <c r="Z212" i="4"/>
  <c r="Y212" i="4"/>
  <c r="X212" i="4"/>
  <c r="W212" i="4"/>
  <c r="V212" i="4"/>
  <c r="T212" i="4"/>
  <c r="U212" i="4" s="1"/>
  <c r="R212" i="4"/>
  <c r="S212" i="4" s="1"/>
  <c r="P212" i="4"/>
  <c r="Q212" i="4" s="1"/>
  <c r="N212" i="4"/>
  <c r="O212" i="4" s="1"/>
  <c r="M212" i="4"/>
  <c r="K212" i="4"/>
  <c r="L212" i="4" s="1"/>
  <c r="J212" i="4"/>
  <c r="H212" i="4"/>
  <c r="I212" i="4" s="1"/>
  <c r="G212" i="4"/>
  <c r="F212" i="4"/>
  <c r="E212" i="4"/>
  <c r="D212" i="4"/>
  <c r="C212" i="4"/>
  <c r="B212" i="4"/>
  <c r="A212" i="4"/>
  <c r="AG212" i="4" s="1"/>
  <c r="AC211" i="4"/>
  <c r="AB211" i="4"/>
  <c r="AA211" i="4"/>
  <c r="Z211" i="4"/>
  <c r="Y211" i="4"/>
  <c r="X211" i="4"/>
  <c r="W211" i="4"/>
  <c r="V211" i="4"/>
  <c r="T211" i="4"/>
  <c r="U211" i="4" s="1"/>
  <c r="R211" i="4"/>
  <c r="S211" i="4" s="1"/>
  <c r="P211" i="4"/>
  <c r="Q211" i="4" s="1"/>
  <c r="N211" i="4"/>
  <c r="O211" i="4" s="1"/>
  <c r="M211" i="4"/>
  <c r="K211" i="4"/>
  <c r="L211" i="4" s="1"/>
  <c r="J211" i="4"/>
  <c r="H211" i="4"/>
  <c r="I211" i="4" s="1"/>
  <c r="G211" i="4"/>
  <c r="F211" i="4"/>
  <c r="E211" i="4"/>
  <c r="D211" i="4"/>
  <c r="C211" i="4"/>
  <c r="B211" i="4"/>
  <c r="A211" i="4"/>
  <c r="AG211" i="4" s="1"/>
  <c r="AC210" i="4"/>
  <c r="AB210" i="4"/>
  <c r="AA210" i="4"/>
  <c r="Z210" i="4"/>
  <c r="Y210" i="4"/>
  <c r="X210" i="4"/>
  <c r="W210" i="4"/>
  <c r="V210" i="4"/>
  <c r="U210" i="4"/>
  <c r="T210" i="4"/>
  <c r="R210" i="4"/>
  <c r="S210" i="4" s="1"/>
  <c r="P210" i="4"/>
  <c r="Q210" i="4" s="1"/>
  <c r="N210" i="4"/>
  <c r="O210" i="4" s="1"/>
  <c r="M210" i="4"/>
  <c r="K210" i="4"/>
  <c r="L210" i="4" s="1"/>
  <c r="J210" i="4"/>
  <c r="H210" i="4"/>
  <c r="I210" i="4" s="1"/>
  <c r="G210" i="4"/>
  <c r="F210" i="4"/>
  <c r="E210" i="4"/>
  <c r="D210" i="4"/>
  <c r="C210" i="4"/>
  <c r="B210" i="4"/>
  <c r="A210" i="4"/>
  <c r="AG210" i="4" s="1"/>
  <c r="AC209" i="4"/>
  <c r="AB209" i="4"/>
  <c r="AA209" i="4"/>
  <c r="Z209" i="4"/>
  <c r="Y209" i="4"/>
  <c r="X209" i="4"/>
  <c r="W209" i="4"/>
  <c r="V209" i="4"/>
  <c r="T209" i="4"/>
  <c r="U209" i="4" s="1"/>
  <c r="R209" i="4"/>
  <c r="S209" i="4" s="1"/>
  <c r="P209" i="4"/>
  <c r="Q209" i="4" s="1"/>
  <c r="N209" i="4"/>
  <c r="O209" i="4" s="1"/>
  <c r="M209" i="4"/>
  <c r="K209" i="4"/>
  <c r="L209" i="4" s="1"/>
  <c r="J209" i="4"/>
  <c r="H209" i="4"/>
  <c r="I209" i="4" s="1"/>
  <c r="G209" i="4"/>
  <c r="F209" i="4"/>
  <c r="E209" i="4"/>
  <c r="D209" i="4"/>
  <c r="C209" i="4"/>
  <c r="B209" i="4"/>
  <c r="A209" i="4"/>
  <c r="AD209" i="4" s="1"/>
  <c r="AE209" i="4" s="1"/>
  <c r="AC208" i="4"/>
  <c r="AB208" i="4"/>
  <c r="AA208" i="4"/>
  <c r="Z208" i="4"/>
  <c r="Y208" i="4"/>
  <c r="X208" i="4"/>
  <c r="W208" i="4"/>
  <c r="V208" i="4"/>
  <c r="T208" i="4"/>
  <c r="U208" i="4" s="1"/>
  <c r="R208" i="4"/>
  <c r="S208" i="4" s="1"/>
  <c r="P208" i="4"/>
  <c r="Q208" i="4" s="1"/>
  <c r="N208" i="4"/>
  <c r="O208" i="4" s="1"/>
  <c r="M208" i="4"/>
  <c r="K208" i="4"/>
  <c r="L208" i="4" s="1"/>
  <c r="J208" i="4"/>
  <c r="H208" i="4"/>
  <c r="I208" i="4" s="1"/>
  <c r="G208" i="4"/>
  <c r="F208" i="4"/>
  <c r="E208" i="4"/>
  <c r="D208" i="4"/>
  <c r="C208" i="4"/>
  <c r="B208" i="4"/>
  <c r="A208" i="4"/>
  <c r="AD208" i="4" s="1"/>
  <c r="AE208" i="4" s="1"/>
  <c r="AC207" i="4"/>
  <c r="AB207" i="4"/>
  <c r="AA207" i="4"/>
  <c r="Z207" i="4"/>
  <c r="Y207" i="4"/>
  <c r="X207" i="4"/>
  <c r="W207" i="4"/>
  <c r="V207" i="4"/>
  <c r="U207" i="4"/>
  <c r="T207" i="4"/>
  <c r="R207" i="4"/>
  <c r="S207" i="4" s="1"/>
  <c r="P207" i="4"/>
  <c r="Q207" i="4" s="1"/>
  <c r="N207" i="4"/>
  <c r="O207" i="4" s="1"/>
  <c r="M207" i="4"/>
  <c r="K207" i="4"/>
  <c r="L207" i="4" s="1"/>
  <c r="J207" i="4"/>
  <c r="H207" i="4"/>
  <c r="I207" i="4" s="1"/>
  <c r="G207" i="4"/>
  <c r="F207" i="4"/>
  <c r="E207" i="4"/>
  <c r="D207" i="4"/>
  <c r="C207" i="4"/>
  <c r="B207" i="4"/>
  <c r="A207" i="4"/>
  <c r="AG207" i="4" s="1"/>
  <c r="AC206" i="4"/>
  <c r="AB206" i="4"/>
  <c r="AA206" i="4"/>
  <c r="Z206" i="4"/>
  <c r="Y206" i="4"/>
  <c r="X206" i="4"/>
  <c r="W206" i="4"/>
  <c r="V206" i="4"/>
  <c r="T206" i="4"/>
  <c r="U206" i="4" s="1"/>
  <c r="R206" i="4"/>
  <c r="S206" i="4" s="1"/>
  <c r="P206" i="4"/>
  <c r="Q206" i="4" s="1"/>
  <c r="N206" i="4"/>
  <c r="O206" i="4" s="1"/>
  <c r="M206" i="4"/>
  <c r="K206" i="4"/>
  <c r="L206" i="4" s="1"/>
  <c r="J206" i="4"/>
  <c r="H206" i="4"/>
  <c r="I206" i="4" s="1"/>
  <c r="G206" i="4"/>
  <c r="F206" i="4"/>
  <c r="E206" i="4"/>
  <c r="D206" i="4"/>
  <c r="C206" i="4"/>
  <c r="B206" i="4"/>
  <c r="A206" i="4"/>
  <c r="AG206" i="4" s="1"/>
  <c r="AC205" i="4"/>
  <c r="AB205" i="4"/>
  <c r="AA205" i="4"/>
  <c r="Z205" i="4"/>
  <c r="Y205" i="4"/>
  <c r="X205" i="4"/>
  <c r="W205" i="4"/>
  <c r="V205" i="4"/>
  <c r="T205" i="4"/>
  <c r="U205" i="4" s="1"/>
  <c r="R205" i="4"/>
  <c r="S205" i="4" s="1"/>
  <c r="P205" i="4"/>
  <c r="Q205" i="4" s="1"/>
  <c r="N205" i="4"/>
  <c r="O205" i="4" s="1"/>
  <c r="M205" i="4"/>
  <c r="K205" i="4"/>
  <c r="L205" i="4" s="1"/>
  <c r="J205" i="4"/>
  <c r="H205" i="4"/>
  <c r="I205" i="4" s="1"/>
  <c r="G205" i="4"/>
  <c r="F205" i="4"/>
  <c r="E205" i="4"/>
  <c r="D205" i="4"/>
  <c r="C205" i="4"/>
  <c r="B205" i="4"/>
  <c r="A205" i="4"/>
  <c r="AG205" i="4" s="1"/>
  <c r="AC204" i="4"/>
  <c r="AB204" i="4"/>
  <c r="AA204" i="4"/>
  <c r="Z204" i="4"/>
  <c r="Y204" i="4"/>
  <c r="X204" i="4"/>
  <c r="W204" i="4"/>
  <c r="V204" i="4"/>
  <c r="T204" i="4"/>
  <c r="U204" i="4" s="1"/>
  <c r="S204" i="4"/>
  <c r="R204" i="4"/>
  <c r="P204" i="4"/>
  <c r="Q204" i="4" s="1"/>
  <c r="N204" i="4"/>
  <c r="O204" i="4" s="1"/>
  <c r="M204" i="4"/>
  <c r="K204" i="4"/>
  <c r="L204" i="4" s="1"/>
  <c r="J204" i="4"/>
  <c r="H204" i="4"/>
  <c r="I204" i="4" s="1"/>
  <c r="G204" i="4"/>
  <c r="F204" i="4"/>
  <c r="E204" i="4"/>
  <c r="D204" i="4"/>
  <c r="C204" i="4"/>
  <c r="B204" i="4"/>
  <c r="A204" i="4"/>
  <c r="AG204" i="4" s="1"/>
  <c r="AC203" i="4"/>
  <c r="AB203" i="4"/>
  <c r="AA203" i="4"/>
  <c r="Z203" i="4"/>
  <c r="Y203" i="4"/>
  <c r="X203" i="4"/>
  <c r="W203" i="4"/>
  <c r="V203" i="4"/>
  <c r="T203" i="4"/>
  <c r="U203" i="4" s="1"/>
  <c r="R203" i="4"/>
  <c r="S203" i="4" s="1"/>
  <c r="P203" i="4"/>
  <c r="Q203" i="4" s="1"/>
  <c r="N203" i="4"/>
  <c r="O203" i="4" s="1"/>
  <c r="M203" i="4"/>
  <c r="K203" i="4"/>
  <c r="L203" i="4" s="1"/>
  <c r="J203" i="4"/>
  <c r="H203" i="4"/>
  <c r="I203" i="4" s="1"/>
  <c r="G203" i="4"/>
  <c r="F203" i="4"/>
  <c r="E203" i="4"/>
  <c r="D203" i="4"/>
  <c r="C203" i="4"/>
  <c r="B203" i="4"/>
  <c r="A203" i="4"/>
  <c r="AG203" i="4" s="1"/>
  <c r="AC202" i="4"/>
  <c r="AB202" i="4"/>
  <c r="AA202" i="4"/>
  <c r="Z202" i="4"/>
  <c r="Y202" i="4"/>
  <c r="X202" i="4"/>
  <c r="W202" i="4"/>
  <c r="V202" i="4"/>
  <c r="T202" i="4"/>
  <c r="U202" i="4" s="1"/>
  <c r="R202" i="4"/>
  <c r="S202" i="4" s="1"/>
  <c r="P202" i="4"/>
  <c r="Q202" i="4" s="1"/>
  <c r="N202" i="4"/>
  <c r="O202" i="4" s="1"/>
  <c r="M202" i="4"/>
  <c r="K202" i="4"/>
  <c r="L202" i="4" s="1"/>
  <c r="J202" i="4"/>
  <c r="H202" i="4"/>
  <c r="I202" i="4" s="1"/>
  <c r="G202" i="4"/>
  <c r="F202" i="4"/>
  <c r="E202" i="4"/>
  <c r="D202" i="4"/>
  <c r="C202" i="4"/>
  <c r="B202" i="4"/>
  <c r="A202" i="4"/>
  <c r="AG202" i="4" s="1"/>
  <c r="AC201" i="4"/>
  <c r="AB201" i="4"/>
  <c r="AA201" i="4"/>
  <c r="Z201" i="4"/>
  <c r="Y201" i="4"/>
  <c r="X201" i="4"/>
  <c r="W201" i="4"/>
  <c r="V201" i="4"/>
  <c r="T201" i="4"/>
  <c r="U201" i="4" s="1"/>
  <c r="R201" i="4"/>
  <c r="S201" i="4" s="1"/>
  <c r="P201" i="4"/>
  <c r="Q201" i="4" s="1"/>
  <c r="O201" i="4"/>
  <c r="N201" i="4"/>
  <c r="M201" i="4"/>
  <c r="K201" i="4"/>
  <c r="L201" i="4" s="1"/>
  <c r="J201" i="4"/>
  <c r="H201" i="4"/>
  <c r="I201" i="4" s="1"/>
  <c r="G201" i="4"/>
  <c r="F201" i="4"/>
  <c r="E201" i="4"/>
  <c r="D201" i="4"/>
  <c r="C201" i="4"/>
  <c r="B201" i="4"/>
  <c r="A201" i="4"/>
  <c r="AD201" i="4" s="1"/>
  <c r="AE201" i="4" s="1"/>
  <c r="AC200" i="4"/>
  <c r="AB200" i="4"/>
  <c r="AA200" i="4"/>
  <c r="Z200" i="4"/>
  <c r="Y200" i="4"/>
  <c r="X200" i="4"/>
  <c r="W200" i="4"/>
  <c r="V200" i="4"/>
  <c r="T200" i="4"/>
  <c r="U200" i="4" s="1"/>
  <c r="R200" i="4"/>
  <c r="S200" i="4" s="1"/>
  <c r="P200" i="4"/>
  <c r="Q200" i="4" s="1"/>
  <c r="N200" i="4"/>
  <c r="O200" i="4" s="1"/>
  <c r="M200" i="4"/>
  <c r="K200" i="4"/>
  <c r="L200" i="4" s="1"/>
  <c r="J200" i="4"/>
  <c r="H200" i="4"/>
  <c r="I200" i="4" s="1"/>
  <c r="G200" i="4"/>
  <c r="F200" i="4"/>
  <c r="E200" i="4"/>
  <c r="D200" i="4"/>
  <c r="C200" i="4"/>
  <c r="B200" i="4"/>
  <c r="A200" i="4"/>
  <c r="AD200" i="4" s="1"/>
  <c r="AE200" i="4" s="1"/>
  <c r="AC199" i="4"/>
  <c r="AB199" i="4"/>
  <c r="AA199" i="4"/>
  <c r="Z199" i="4"/>
  <c r="Y199" i="4"/>
  <c r="X199" i="4"/>
  <c r="W199" i="4"/>
  <c r="V199" i="4"/>
  <c r="T199" i="4"/>
  <c r="U199" i="4" s="1"/>
  <c r="R199" i="4"/>
  <c r="S199" i="4" s="1"/>
  <c r="P199" i="4"/>
  <c r="Q199" i="4" s="1"/>
  <c r="N199" i="4"/>
  <c r="O199" i="4" s="1"/>
  <c r="M199" i="4"/>
  <c r="K199" i="4"/>
  <c r="L199" i="4" s="1"/>
  <c r="J199" i="4"/>
  <c r="H199" i="4"/>
  <c r="I199" i="4" s="1"/>
  <c r="G199" i="4"/>
  <c r="F199" i="4"/>
  <c r="E199" i="4"/>
  <c r="D199" i="4"/>
  <c r="C199" i="4"/>
  <c r="B199" i="4"/>
  <c r="A199" i="4"/>
  <c r="AG199" i="4" s="1"/>
  <c r="AC198" i="4"/>
  <c r="AB198" i="4"/>
  <c r="AA198" i="4"/>
  <c r="Z198" i="4"/>
  <c r="Y198" i="4"/>
  <c r="X198" i="4"/>
  <c r="W198" i="4"/>
  <c r="V198" i="4"/>
  <c r="T198" i="4"/>
  <c r="U198" i="4" s="1"/>
  <c r="R198" i="4"/>
  <c r="S198" i="4" s="1"/>
  <c r="P198" i="4"/>
  <c r="Q198" i="4" s="1"/>
  <c r="N198" i="4"/>
  <c r="O198" i="4" s="1"/>
  <c r="M198" i="4"/>
  <c r="K198" i="4"/>
  <c r="L198" i="4" s="1"/>
  <c r="J198" i="4"/>
  <c r="H198" i="4"/>
  <c r="I198" i="4" s="1"/>
  <c r="G198" i="4"/>
  <c r="F198" i="4"/>
  <c r="E198" i="4"/>
  <c r="D198" i="4"/>
  <c r="C198" i="4"/>
  <c r="B198" i="4"/>
  <c r="A198" i="4"/>
  <c r="AG198" i="4" s="1"/>
  <c r="AC197" i="4"/>
  <c r="AB197" i="4"/>
  <c r="AA197" i="4"/>
  <c r="Z197" i="4"/>
  <c r="Y197" i="4"/>
  <c r="X197" i="4"/>
  <c r="W197" i="4"/>
  <c r="V197" i="4"/>
  <c r="T197" i="4"/>
  <c r="U197" i="4" s="1"/>
  <c r="R197" i="4"/>
  <c r="S197" i="4" s="1"/>
  <c r="P197" i="4"/>
  <c r="Q197" i="4" s="1"/>
  <c r="N197" i="4"/>
  <c r="O197" i="4" s="1"/>
  <c r="M197" i="4"/>
  <c r="K197" i="4"/>
  <c r="L197" i="4" s="1"/>
  <c r="J197" i="4"/>
  <c r="H197" i="4"/>
  <c r="I197" i="4" s="1"/>
  <c r="G197" i="4"/>
  <c r="F197" i="4"/>
  <c r="E197" i="4"/>
  <c r="D197" i="4"/>
  <c r="C197" i="4"/>
  <c r="B197" i="4"/>
  <c r="A197" i="4"/>
  <c r="AG197" i="4" s="1"/>
  <c r="AC196" i="4"/>
  <c r="AB196" i="4"/>
  <c r="AA196" i="4"/>
  <c r="Z196" i="4"/>
  <c r="Y196" i="4"/>
  <c r="X196" i="4"/>
  <c r="W196" i="4"/>
  <c r="V196" i="4"/>
  <c r="T196" i="4"/>
  <c r="U196" i="4" s="1"/>
  <c r="R196" i="4"/>
  <c r="S196" i="4" s="1"/>
  <c r="P196" i="4"/>
  <c r="Q196" i="4" s="1"/>
  <c r="N196" i="4"/>
  <c r="O196" i="4" s="1"/>
  <c r="M196" i="4"/>
  <c r="K196" i="4"/>
  <c r="L196" i="4" s="1"/>
  <c r="J196" i="4"/>
  <c r="H196" i="4"/>
  <c r="I196" i="4" s="1"/>
  <c r="G196" i="4"/>
  <c r="F196" i="4"/>
  <c r="E196" i="4"/>
  <c r="D196" i="4"/>
  <c r="C196" i="4"/>
  <c r="B196" i="4"/>
  <c r="A196" i="4"/>
  <c r="AG196" i="4" s="1"/>
  <c r="AC195" i="4"/>
  <c r="AB195" i="4"/>
  <c r="AA195" i="4"/>
  <c r="Z195" i="4"/>
  <c r="Y195" i="4"/>
  <c r="X195" i="4"/>
  <c r="W195" i="4"/>
  <c r="V195" i="4"/>
  <c r="T195" i="4"/>
  <c r="U195" i="4" s="1"/>
  <c r="R195" i="4"/>
  <c r="S195" i="4" s="1"/>
  <c r="P195" i="4"/>
  <c r="Q195" i="4" s="1"/>
  <c r="N195" i="4"/>
  <c r="O195" i="4" s="1"/>
  <c r="M195" i="4"/>
  <c r="K195" i="4"/>
  <c r="L195" i="4" s="1"/>
  <c r="J195" i="4"/>
  <c r="H195" i="4"/>
  <c r="I195" i="4" s="1"/>
  <c r="G195" i="4"/>
  <c r="F195" i="4"/>
  <c r="E195" i="4"/>
  <c r="D195" i="4"/>
  <c r="C195" i="4"/>
  <c r="B195" i="4"/>
  <c r="A195" i="4"/>
  <c r="AG195" i="4" s="1"/>
  <c r="AC194" i="4"/>
  <c r="AB194" i="4"/>
  <c r="AA194" i="4"/>
  <c r="Z194" i="4"/>
  <c r="Y194" i="4"/>
  <c r="X194" i="4"/>
  <c r="W194" i="4"/>
  <c r="V194" i="4"/>
  <c r="T194" i="4"/>
  <c r="U194" i="4" s="1"/>
  <c r="R194" i="4"/>
  <c r="S194" i="4" s="1"/>
  <c r="P194" i="4"/>
  <c r="Q194" i="4" s="1"/>
  <c r="N194" i="4"/>
  <c r="O194" i="4" s="1"/>
  <c r="M194" i="4"/>
  <c r="K194" i="4"/>
  <c r="L194" i="4" s="1"/>
  <c r="J194" i="4"/>
  <c r="H194" i="4"/>
  <c r="I194" i="4" s="1"/>
  <c r="G194" i="4"/>
  <c r="F194" i="4"/>
  <c r="E194" i="4"/>
  <c r="D194" i="4"/>
  <c r="C194" i="4"/>
  <c r="B194" i="4"/>
  <c r="A194" i="4"/>
  <c r="AC193" i="4"/>
  <c r="AB193" i="4"/>
  <c r="AA193" i="4"/>
  <c r="Z193" i="4"/>
  <c r="Y193" i="4"/>
  <c r="X193" i="4"/>
  <c r="W193" i="4"/>
  <c r="V193" i="4"/>
  <c r="T193" i="4"/>
  <c r="U193" i="4" s="1"/>
  <c r="R193" i="4"/>
  <c r="S193" i="4" s="1"/>
  <c r="P193" i="4"/>
  <c r="Q193" i="4" s="1"/>
  <c r="N193" i="4"/>
  <c r="O193" i="4" s="1"/>
  <c r="M193" i="4"/>
  <c r="K193" i="4"/>
  <c r="L193" i="4" s="1"/>
  <c r="J193" i="4"/>
  <c r="H193" i="4"/>
  <c r="I193" i="4" s="1"/>
  <c r="G193" i="4"/>
  <c r="F193" i="4"/>
  <c r="E193" i="4"/>
  <c r="D193" i="4"/>
  <c r="C193" i="4"/>
  <c r="B193" i="4"/>
  <c r="A193" i="4"/>
  <c r="AD193" i="4" s="1"/>
  <c r="AE193" i="4" s="1"/>
  <c r="AC192" i="4"/>
  <c r="AB192" i="4"/>
  <c r="AA192" i="4"/>
  <c r="Z192" i="4"/>
  <c r="Y192" i="4"/>
  <c r="X192" i="4"/>
  <c r="W192" i="4"/>
  <c r="V192" i="4"/>
  <c r="T192" i="4"/>
  <c r="U192" i="4" s="1"/>
  <c r="R192" i="4"/>
  <c r="S192" i="4" s="1"/>
  <c r="P192" i="4"/>
  <c r="Q192" i="4" s="1"/>
  <c r="N192" i="4"/>
  <c r="O192" i="4" s="1"/>
  <c r="M192" i="4"/>
  <c r="K192" i="4"/>
  <c r="L192" i="4" s="1"/>
  <c r="J192" i="4"/>
  <c r="I192" i="4"/>
  <c r="H192" i="4"/>
  <c r="G192" i="4"/>
  <c r="F192" i="4"/>
  <c r="E192" i="4"/>
  <c r="D192" i="4"/>
  <c r="C192" i="4"/>
  <c r="B192" i="4"/>
  <c r="A192" i="4"/>
  <c r="AD192" i="4" s="1"/>
  <c r="AE192" i="4" s="1"/>
  <c r="AC191" i="4"/>
  <c r="AB191" i="4"/>
  <c r="AA191" i="4"/>
  <c r="Z191" i="4"/>
  <c r="Y191" i="4"/>
  <c r="X191" i="4"/>
  <c r="W191" i="4"/>
  <c r="V191" i="4"/>
  <c r="T191" i="4"/>
  <c r="U191" i="4" s="1"/>
  <c r="R191" i="4"/>
  <c r="S191" i="4" s="1"/>
  <c r="P191" i="4"/>
  <c r="Q191" i="4" s="1"/>
  <c r="N191" i="4"/>
  <c r="O191" i="4" s="1"/>
  <c r="M191" i="4"/>
  <c r="K191" i="4"/>
  <c r="L191" i="4" s="1"/>
  <c r="J191" i="4"/>
  <c r="H191" i="4"/>
  <c r="I191" i="4" s="1"/>
  <c r="G191" i="4"/>
  <c r="F191" i="4"/>
  <c r="E191" i="4"/>
  <c r="D191" i="4"/>
  <c r="C191" i="4"/>
  <c r="B191" i="4"/>
  <c r="A191" i="4"/>
  <c r="AC190" i="4"/>
  <c r="AB190" i="4"/>
  <c r="AA190" i="4"/>
  <c r="Z190" i="4"/>
  <c r="Y190" i="4"/>
  <c r="X190" i="4"/>
  <c r="W190" i="4"/>
  <c r="V190" i="4"/>
  <c r="T190" i="4"/>
  <c r="U190" i="4" s="1"/>
  <c r="R190" i="4"/>
  <c r="S190" i="4" s="1"/>
  <c r="P190" i="4"/>
  <c r="Q190" i="4" s="1"/>
  <c r="N190" i="4"/>
  <c r="O190" i="4" s="1"/>
  <c r="M190" i="4"/>
  <c r="K190" i="4"/>
  <c r="L190" i="4" s="1"/>
  <c r="J190" i="4"/>
  <c r="H190" i="4"/>
  <c r="I190" i="4" s="1"/>
  <c r="G190" i="4"/>
  <c r="F190" i="4"/>
  <c r="E190" i="4"/>
  <c r="D190" i="4"/>
  <c r="C190" i="4"/>
  <c r="B190" i="4"/>
  <c r="A190" i="4"/>
  <c r="AG190" i="4" s="1"/>
  <c r="AC189" i="4"/>
  <c r="AB189" i="4"/>
  <c r="AA189" i="4"/>
  <c r="Z189" i="4"/>
  <c r="Y189" i="4"/>
  <c r="X189" i="4"/>
  <c r="W189" i="4"/>
  <c r="V189" i="4"/>
  <c r="T189" i="4"/>
  <c r="U189" i="4" s="1"/>
  <c r="R189" i="4"/>
  <c r="S189" i="4" s="1"/>
  <c r="P189" i="4"/>
  <c r="Q189" i="4" s="1"/>
  <c r="N189" i="4"/>
  <c r="O189" i="4" s="1"/>
  <c r="M189" i="4"/>
  <c r="K189" i="4"/>
  <c r="L189" i="4" s="1"/>
  <c r="J189" i="4"/>
  <c r="H189" i="4"/>
  <c r="I189" i="4" s="1"/>
  <c r="G189" i="4"/>
  <c r="F189" i="4"/>
  <c r="E189" i="4"/>
  <c r="D189" i="4"/>
  <c r="C189" i="4"/>
  <c r="B189" i="4"/>
  <c r="A189" i="4"/>
  <c r="AG189" i="4" s="1"/>
  <c r="AC188" i="4"/>
  <c r="AB188" i="4"/>
  <c r="AA188" i="4"/>
  <c r="Z188" i="4"/>
  <c r="Y188" i="4"/>
  <c r="X188" i="4"/>
  <c r="W188" i="4"/>
  <c r="V188" i="4"/>
  <c r="T188" i="4"/>
  <c r="U188" i="4" s="1"/>
  <c r="S188" i="4"/>
  <c r="R188" i="4"/>
  <c r="P188" i="4"/>
  <c r="Q188" i="4" s="1"/>
  <c r="N188" i="4"/>
  <c r="O188" i="4" s="1"/>
  <c r="M188" i="4"/>
  <c r="K188" i="4"/>
  <c r="L188" i="4" s="1"/>
  <c r="J188" i="4"/>
  <c r="H188" i="4"/>
  <c r="I188" i="4" s="1"/>
  <c r="G188" i="4"/>
  <c r="F188" i="4"/>
  <c r="E188" i="4"/>
  <c r="D188" i="4"/>
  <c r="C188" i="4"/>
  <c r="B188" i="4"/>
  <c r="A188" i="4"/>
  <c r="AG188" i="4" s="1"/>
  <c r="AC187" i="4"/>
  <c r="AB187" i="4"/>
  <c r="AA187" i="4"/>
  <c r="Z187" i="4"/>
  <c r="Y187" i="4"/>
  <c r="X187" i="4"/>
  <c r="W187" i="4"/>
  <c r="V187" i="4"/>
  <c r="T187" i="4"/>
  <c r="U187" i="4" s="1"/>
  <c r="R187" i="4"/>
  <c r="S187" i="4" s="1"/>
  <c r="P187" i="4"/>
  <c r="Q187" i="4" s="1"/>
  <c r="N187" i="4"/>
  <c r="O187" i="4" s="1"/>
  <c r="M187" i="4"/>
  <c r="K187" i="4"/>
  <c r="L187" i="4" s="1"/>
  <c r="J187" i="4"/>
  <c r="H187" i="4"/>
  <c r="I187" i="4" s="1"/>
  <c r="G187" i="4"/>
  <c r="F187" i="4"/>
  <c r="E187" i="4"/>
  <c r="D187" i="4"/>
  <c r="C187" i="4"/>
  <c r="B187" i="4"/>
  <c r="A187" i="4"/>
  <c r="AG187" i="4" s="1"/>
  <c r="AC186" i="4"/>
  <c r="AB186" i="4"/>
  <c r="AA186" i="4"/>
  <c r="Z186" i="4"/>
  <c r="Y186" i="4"/>
  <c r="X186" i="4"/>
  <c r="W186" i="4"/>
  <c r="V186" i="4"/>
  <c r="T186" i="4"/>
  <c r="U186" i="4" s="1"/>
  <c r="R186" i="4"/>
  <c r="S186" i="4" s="1"/>
  <c r="P186" i="4"/>
  <c r="Q186" i="4" s="1"/>
  <c r="N186" i="4"/>
  <c r="O186" i="4" s="1"/>
  <c r="M186" i="4"/>
  <c r="K186" i="4"/>
  <c r="L186" i="4" s="1"/>
  <c r="J186" i="4"/>
  <c r="H186" i="4"/>
  <c r="I186" i="4" s="1"/>
  <c r="G186" i="4"/>
  <c r="F186" i="4"/>
  <c r="E186" i="4"/>
  <c r="D186" i="4"/>
  <c r="C186" i="4"/>
  <c r="B186" i="4"/>
  <c r="A186" i="4"/>
  <c r="AG186" i="4" s="1"/>
  <c r="AC185" i="4"/>
  <c r="AB185" i="4"/>
  <c r="AA185" i="4"/>
  <c r="Z185" i="4"/>
  <c r="Y185" i="4"/>
  <c r="X185" i="4"/>
  <c r="W185" i="4"/>
  <c r="V185" i="4"/>
  <c r="T185" i="4"/>
  <c r="U185" i="4" s="1"/>
  <c r="R185" i="4"/>
  <c r="S185" i="4" s="1"/>
  <c r="P185" i="4"/>
  <c r="Q185" i="4" s="1"/>
  <c r="N185" i="4"/>
  <c r="O185" i="4" s="1"/>
  <c r="M185" i="4"/>
  <c r="K185" i="4"/>
  <c r="L185" i="4" s="1"/>
  <c r="J185" i="4"/>
  <c r="H185" i="4"/>
  <c r="I185" i="4" s="1"/>
  <c r="G185" i="4"/>
  <c r="F185" i="4"/>
  <c r="E185" i="4"/>
  <c r="D185" i="4"/>
  <c r="C185" i="4"/>
  <c r="B185" i="4"/>
  <c r="A185" i="4"/>
  <c r="AC184" i="4"/>
  <c r="AB184" i="4"/>
  <c r="AA184" i="4"/>
  <c r="Z184" i="4"/>
  <c r="Y184" i="4"/>
  <c r="X184" i="4"/>
  <c r="W184" i="4"/>
  <c r="V184" i="4"/>
  <c r="T184" i="4"/>
  <c r="U184" i="4" s="1"/>
  <c r="R184" i="4"/>
  <c r="S184" i="4" s="1"/>
  <c r="P184" i="4"/>
  <c r="Q184" i="4" s="1"/>
  <c r="N184" i="4"/>
  <c r="O184" i="4" s="1"/>
  <c r="M184" i="4"/>
  <c r="K184" i="4"/>
  <c r="L184" i="4" s="1"/>
  <c r="J184" i="4"/>
  <c r="H184" i="4"/>
  <c r="I184" i="4" s="1"/>
  <c r="G184" i="4"/>
  <c r="F184" i="4"/>
  <c r="E184" i="4"/>
  <c r="D184" i="4"/>
  <c r="C184" i="4"/>
  <c r="B184" i="4"/>
  <c r="A184" i="4"/>
  <c r="AD184" i="4" s="1"/>
  <c r="AE184" i="4" s="1"/>
  <c r="AC183" i="4"/>
  <c r="AB183" i="4"/>
  <c r="AA183" i="4"/>
  <c r="Z183" i="4"/>
  <c r="Y183" i="4"/>
  <c r="X183" i="4"/>
  <c r="W183" i="4"/>
  <c r="V183" i="4"/>
  <c r="T183" i="4"/>
  <c r="U183" i="4" s="1"/>
  <c r="R183" i="4"/>
  <c r="S183" i="4" s="1"/>
  <c r="P183" i="4"/>
  <c r="Q183" i="4" s="1"/>
  <c r="N183" i="4"/>
  <c r="O183" i="4" s="1"/>
  <c r="M183" i="4"/>
  <c r="K183" i="4"/>
  <c r="L183" i="4" s="1"/>
  <c r="J183" i="4"/>
  <c r="H183" i="4"/>
  <c r="I183" i="4" s="1"/>
  <c r="G183" i="4"/>
  <c r="F183" i="4"/>
  <c r="E183" i="4"/>
  <c r="D183" i="4"/>
  <c r="C183" i="4"/>
  <c r="B183" i="4"/>
  <c r="A183" i="4"/>
  <c r="AG183" i="4" s="1"/>
  <c r="AC182" i="4"/>
  <c r="AB182" i="4"/>
  <c r="AA182" i="4"/>
  <c r="Z182" i="4"/>
  <c r="Y182" i="4"/>
  <c r="X182" i="4"/>
  <c r="W182" i="4"/>
  <c r="V182" i="4"/>
  <c r="T182" i="4"/>
  <c r="U182" i="4" s="1"/>
  <c r="R182" i="4"/>
  <c r="S182" i="4" s="1"/>
  <c r="P182" i="4"/>
  <c r="Q182" i="4" s="1"/>
  <c r="N182" i="4"/>
  <c r="O182" i="4" s="1"/>
  <c r="M182" i="4"/>
  <c r="K182" i="4"/>
  <c r="L182" i="4" s="1"/>
  <c r="J182" i="4"/>
  <c r="H182" i="4"/>
  <c r="I182" i="4" s="1"/>
  <c r="G182" i="4"/>
  <c r="F182" i="4"/>
  <c r="E182" i="4"/>
  <c r="D182" i="4"/>
  <c r="C182" i="4"/>
  <c r="B182" i="4"/>
  <c r="A182" i="4"/>
  <c r="AG182" i="4" s="1"/>
  <c r="AC181" i="4"/>
  <c r="AB181" i="4"/>
  <c r="AA181" i="4"/>
  <c r="Z181" i="4"/>
  <c r="Y181" i="4"/>
  <c r="X181" i="4"/>
  <c r="W181" i="4"/>
  <c r="V181" i="4"/>
  <c r="T181" i="4"/>
  <c r="U181" i="4" s="1"/>
  <c r="R181" i="4"/>
  <c r="S181" i="4" s="1"/>
  <c r="P181" i="4"/>
  <c r="Q181" i="4" s="1"/>
  <c r="N181" i="4"/>
  <c r="O181" i="4" s="1"/>
  <c r="M181" i="4"/>
  <c r="K181" i="4"/>
  <c r="L181" i="4" s="1"/>
  <c r="J181" i="4"/>
  <c r="H181" i="4"/>
  <c r="I181" i="4" s="1"/>
  <c r="G181" i="4"/>
  <c r="F181" i="4"/>
  <c r="E181" i="4"/>
  <c r="D181" i="4"/>
  <c r="C181" i="4"/>
  <c r="B181" i="4"/>
  <c r="A181" i="4"/>
  <c r="AG181" i="4" s="1"/>
  <c r="AC180" i="4"/>
  <c r="AB180" i="4"/>
  <c r="AA180" i="4"/>
  <c r="Z180" i="4"/>
  <c r="Y180" i="4"/>
  <c r="X180" i="4"/>
  <c r="W180" i="4"/>
  <c r="V180" i="4"/>
  <c r="T180" i="4"/>
  <c r="U180" i="4" s="1"/>
  <c r="R180" i="4"/>
  <c r="S180" i="4" s="1"/>
  <c r="P180" i="4"/>
  <c r="Q180" i="4" s="1"/>
  <c r="N180" i="4"/>
  <c r="O180" i="4" s="1"/>
  <c r="M180" i="4"/>
  <c r="K180" i="4"/>
  <c r="L180" i="4" s="1"/>
  <c r="J180" i="4"/>
  <c r="H180" i="4"/>
  <c r="I180" i="4" s="1"/>
  <c r="G180" i="4"/>
  <c r="F180" i="4"/>
  <c r="E180" i="4"/>
  <c r="D180" i="4"/>
  <c r="C180" i="4"/>
  <c r="B180" i="4"/>
  <c r="A180" i="4"/>
  <c r="AG180" i="4" s="1"/>
  <c r="AC179" i="4"/>
  <c r="AB179" i="4"/>
  <c r="AA179" i="4"/>
  <c r="Z179" i="4"/>
  <c r="Y179" i="4"/>
  <c r="X179" i="4"/>
  <c r="W179" i="4"/>
  <c r="V179" i="4"/>
  <c r="T179" i="4"/>
  <c r="U179" i="4" s="1"/>
  <c r="R179" i="4"/>
  <c r="S179" i="4" s="1"/>
  <c r="P179" i="4"/>
  <c r="Q179" i="4" s="1"/>
  <c r="N179" i="4"/>
  <c r="O179" i="4" s="1"/>
  <c r="M179" i="4"/>
  <c r="L179" i="4"/>
  <c r="K179" i="4"/>
  <c r="J179" i="4"/>
  <c r="H179" i="4"/>
  <c r="I179" i="4" s="1"/>
  <c r="G179" i="4"/>
  <c r="F179" i="4"/>
  <c r="E179" i="4"/>
  <c r="D179" i="4"/>
  <c r="C179" i="4"/>
  <c r="B179" i="4"/>
  <c r="A179" i="4"/>
  <c r="AG179" i="4" s="1"/>
  <c r="AC178" i="4"/>
  <c r="AB178" i="4"/>
  <c r="AA178" i="4"/>
  <c r="Z178" i="4"/>
  <c r="Y178" i="4"/>
  <c r="X178" i="4"/>
  <c r="W178" i="4"/>
  <c r="V178" i="4"/>
  <c r="U178" i="4"/>
  <c r="T178" i="4"/>
  <c r="R178" i="4"/>
  <c r="S178" i="4" s="1"/>
  <c r="P178" i="4"/>
  <c r="Q178" i="4" s="1"/>
  <c r="O178" i="4"/>
  <c r="N178" i="4"/>
  <c r="M178" i="4"/>
  <c r="K178" i="4"/>
  <c r="L178" i="4" s="1"/>
  <c r="J178" i="4"/>
  <c r="H178" i="4"/>
  <c r="I178" i="4" s="1"/>
  <c r="G178" i="4"/>
  <c r="F178" i="4"/>
  <c r="E178" i="4"/>
  <c r="D178" i="4"/>
  <c r="C178" i="4"/>
  <c r="B178" i="4"/>
  <c r="A178" i="4"/>
  <c r="AG178" i="4" s="1"/>
  <c r="AC177" i="4"/>
  <c r="AB177" i="4"/>
  <c r="AA177" i="4"/>
  <c r="Z177" i="4"/>
  <c r="Y177" i="4"/>
  <c r="X177" i="4"/>
  <c r="W177" i="4"/>
  <c r="V177" i="4"/>
  <c r="T177" i="4"/>
  <c r="U177" i="4" s="1"/>
  <c r="R177" i="4"/>
  <c r="S177" i="4" s="1"/>
  <c r="P177" i="4"/>
  <c r="Q177" i="4" s="1"/>
  <c r="N177" i="4"/>
  <c r="O177" i="4" s="1"/>
  <c r="M177" i="4"/>
  <c r="K177" i="4"/>
  <c r="L177" i="4" s="1"/>
  <c r="J177" i="4"/>
  <c r="H177" i="4"/>
  <c r="I177" i="4" s="1"/>
  <c r="G177" i="4"/>
  <c r="F177" i="4"/>
  <c r="E177" i="4"/>
  <c r="D177" i="4"/>
  <c r="C177" i="4"/>
  <c r="B177" i="4"/>
  <c r="A177" i="4"/>
  <c r="AD177" i="4" s="1"/>
  <c r="AE177" i="4" s="1"/>
  <c r="AC176" i="4"/>
  <c r="AB176" i="4"/>
  <c r="AA176" i="4"/>
  <c r="Z176" i="4"/>
  <c r="Y176" i="4"/>
  <c r="X176" i="4"/>
  <c r="W176" i="4"/>
  <c r="V176" i="4"/>
  <c r="T176" i="4"/>
  <c r="U176" i="4" s="1"/>
  <c r="R176" i="4"/>
  <c r="S176" i="4" s="1"/>
  <c r="P176" i="4"/>
  <c r="Q176" i="4" s="1"/>
  <c r="N176" i="4"/>
  <c r="O176" i="4" s="1"/>
  <c r="M176" i="4"/>
  <c r="K176" i="4"/>
  <c r="L176" i="4" s="1"/>
  <c r="J176" i="4"/>
  <c r="H176" i="4"/>
  <c r="I176" i="4" s="1"/>
  <c r="G176" i="4"/>
  <c r="F176" i="4"/>
  <c r="E176" i="4"/>
  <c r="D176" i="4"/>
  <c r="C176" i="4"/>
  <c r="B176" i="4"/>
  <c r="A176" i="4"/>
  <c r="AD176" i="4" s="1"/>
  <c r="AE176" i="4" s="1"/>
  <c r="AC175" i="4"/>
  <c r="AB175" i="4"/>
  <c r="AA175" i="4"/>
  <c r="Z175" i="4"/>
  <c r="Y175" i="4"/>
  <c r="X175" i="4"/>
  <c r="W175" i="4"/>
  <c r="V175" i="4"/>
  <c r="T175" i="4"/>
  <c r="U175" i="4" s="1"/>
  <c r="R175" i="4"/>
  <c r="S175" i="4" s="1"/>
  <c r="P175" i="4"/>
  <c r="Q175" i="4" s="1"/>
  <c r="N175" i="4"/>
  <c r="O175" i="4" s="1"/>
  <c r="M175" i="4"/>
  <c r="K175" i="4"/>
  <c r="L175" i="4" s="1"/>
  <c r="J175" i="4"/>
  <c r="H175" i="4"/>
  <c r="I175" i="4" s="1"/>
  <c r="G175" i="4"/>
  <c r="F175" i="4"/>
  <c r="E175" i="4"/>
  <c r="D175" i="4"/>
  <c r="C175" i="4"/>
  <c r="B175" i="4"/>
  <c r="A175" i="4"/>
  <c r="AC174" i="4"/>
  <c r="AB174" i="4"/>
  <c r="AA174" i="4"/>
  <c r="Z174" i="4"/>
  <c r="Y174" i="4"/>
  <c r="X174" i="4"/>
  <c r="W174" i="4"/>
  <c r="V174" i="4"/>
  <c r="T174" i="4"/>
  <c r="U174" i="4" s="1"/>
  <c r="R174" i="4"/>
  <c r="S174" i="4" s="1"/>
  <c r="P174" i="4"/>
  <c r="Q174" i="4" s="1"/>
  <c r="N174" i="4"/>
  <c r="O174" i="4" s="1"/>
  <c r="M174" i="4"/>
  <c r="K174" i="4"/>
  <c r="L174" i="4" s="1"/>
  <c r="J174" i="4"/>
  <c r="H174" i="4"/>
  <c r="I174" i="4" s="1"/>
  <c r="G174" i="4"/>
  <c r="F174" i="4"/>
  <c r="E174" i="4"/>
  <c r="D174" i="4"/>
  <c r="C174" i="4"/>
  <c r="B174" i="4"/>
  <c r="A174" i="4"/>
  <c r="AC173" i="4"/>
  <c r="AB173" i="4"/>
  <c r="AA173" i="4"/>
  <c r="Z173" i="4"/>
  <c r="Y173" i="4"/>
  <c r="X173" i="4"/>
  <c r="W173" i="4"/>
  <c r="V173" i="4"/>
  <c r="T173" i="4"/>
  <c r="U173" i="4" s="1"/>
  <c r="R173" i="4"/>
  <c r="S173" i="4" s="1"/>
  <c r="P173" i="4"/>
  <c r="Q173" i="4" s="1"/>
  <c r="O173" i="4"/>
  <c r="N173" i="4"/>
  <c r="M173" i="4"/>
  <c r="K173" i="4"/>
  <c r="L173" i="4" s="1"/>
  <c r="J173" i="4"/>
  <c r="H173" i="4"/>
  <c r="I173" i="4" s="1"/>
  <c r="G173" i="4"/>
  <c r="F173" i="4"/>
  <c r="E173" i="4"/>
  <c r="D173" i="4"/>
  <c r="C173" i="4"/>
  <c r="B173" i="4"/>
  <c r="A173" i="4"/>
  <c r="AG173" i="4" s="1"/>
  <c r="AC172" i="4"/>
  <c r="AB172" i="4"/>
  <c r="AA172" i="4"/>
  <c r="Z172" i="4"/>
  <c r="Y172" i="4"/>
  <c r="X172" i="4"/>
  <c r="W172" i="4"/>
  <c r="V172" i="4"/>
  <c r="T172" i="4"/>
  <c r="U172" i="4" s="1"/>
  <c r="R172" i="4"/>
  <c r="S172" i="4" s="1"/>
  <c r="P172" i="4"/>
  <c r="Q172" i="4" s="1"/>
  <c r="N172" i="4"/>
  <c r="O172" i="4" s="1"/>
  <c r="M172" i="4"/>
  <c r="K172" i="4"/>
  <c r="L172" i="4" s="1"/>
  <c r="J172" i="4"/>
  <c r="H172" i="4"/>
  <c r="I172" i="4" s="1"/>
  <c r="G172" i="4"/>
  <c r="F172" i="4"/>
  <c r="E172" i="4"/>
  <c r="D172" i="4"/>
  <c r="C172" i="4"/>
  <c r="B172" i="4"/>
  <c r="A172" i="4"/>
  <c r="AG172" i="4" s="1"/>
  <c r="AC171" i="4"/>
  <c r="AB171" i="4"/>
  <c r="AA171" i="4"/>
  <c r="Z171" i="4"/>
  <c r="Y171" i="4"/>
  <c r="X171" i="4"/>
  <c r="W171" i="4"/>
  <c r="V171" i="4"/>
  <c r="T171" i="4"/>
  <c r="U171" i="4" s="1"/>
  <c r="R171" i="4"/>
  <c r="S171" i="4" s="1"/>
  <c r="Q171" i="4"/>
  <c r="P171" i="4"/>
  <c r="N171" i="4"/>
  <c r="O171" i="4" s="1"/>
  <c r="M171" i="4"/>
  <c r="K171" i="4"/>
  <c r="L171" i="4" s="1"/>
  <c r="J171" i="4"/>
  <c r="H171" i="4"/>
  <c r="I171" i="4" s="1"/>
  <c r="G171" i="4"/>
  <c r="F171" i="4"/>
  <c r="E171" i="4"/>
  <c r="D171" i="4"/>
  <c r="C171" i="4"/>
  <c r="B171" i="4"/>
  <c r="A171" i="4"/>
  <c r="AG171" i="4" s="1"/>
  <c r="AC170" i="4"/>
  <c r="AB170" i="4"/>
  <c r="AA170" i="4"/>
  <c r="Z170" i="4"/>
  <c r="Y170" i="4"/>
  <c r="X170" i="4"/>
  <c r="W170" i="4"/>
  <c r="V170" i="4"/>
  <c r="T170" i="4"/>
  <c r="U170" i="4" s="1"/>
  <c r="R170" i="4"/>
  <c r="S170" i="4" s="1"/>
  <c r="P170" i="4"/>
  <c r="Q170" i="4" s="1"/>
  <c r="N170" i="4"/>
  <c r="O170" i="4" s="1"/>
  <c r="M170" i="4"/>
  <c r="K170" i="4"/>
  <c r="L170" i="4" s="1"/>
  <c r="J170" i="4"/>
  <c r="H170" i="4"/>
  <c r="I170" i="4" s="1"/>
  <c r="G170" i="4"/>
  <c r="F170" i="4"/>
  <c r="E170" i="4"/>
  <c r="D170" i="4"/>
  <c r="C170" i="4"/>
  <c r="B170" i="4"/>
  <c r="A170" i="4"/>
  <c r="AD170" i="4" s="1"/>
  <c r="AE170" i="4" s="1"/>
  <c r="AC169" i="4"/>
  <c r="AB169" i="4"/>
  <c r="AA169" i="4"/>
  <c r="Z169" i="4"/>
  <c r="Y169" i="4"/>
  <c r="X169" i="4"/>
  <c r="W169" i="4"/>
  <c r="V169" i="4"/>
  <c r="T169" i="4"/>
  <c r="U169" i="4" s="1"/>
  <c r="R169" i="4"/>
  <c r="S169" i="4" s="1"/>
  <c r="P169" i="4"/>
  <c r="Q169" i="4" s="1"/>
  <c r="N169" i="4"/>
  <c r="O169" i="4" s="1"/>
  <c r="M169" i="4"/>
  <c r="K169" i="4"/>
  <c r="L169" i="4" s="1"/>
  <c r="J169" i="4"/>
  <c r="H169" i="4"/>
  <c r="I169" i="4" s="1"/>
  <c r="G169" i="4"/>
  <c r="F169" i="4"/>
  <c r="E169" i="4"/>
  <c r="D169" i="4"/>
  <c r="C169" i="4"/>
  <c r="B169" i="4"/>
  <c r="A169" i="4"/>
  <c r="AD169" i="4" s="1"/>
  <c r="AE169" i="4" s="1"/>
  <c r="AC168" i="4"/>
  <c r="AB168" i="4"/>
  <c r="AA168" i="4"/>
  <c r="Z168" i="4"/>
  <c r="Y168" i="4"/>
  <c r="X168" i="4"/>
  <c r="W168" i="4"/>
  <c r="V168" i="4"/>
  <c r="T168" i="4"/>
  <c r="U168" i="4" s="1"/>
  <c r="R168" i="4"/>
  <c r="S168" i="4" s="1"/>
  <c r="P168" i="4"/>
  <c r="Q168" i="4" s="1"/>
  <c r="N168" i="4"/>
  <c r="O168" i="4" s="1"/>
  <c r="M168" i="4"/>
  <c r="K168" i="4"/>
  <c r="L168" i="4" s="1"/>
  <c r="J168" i="4"/>
  <c r="H168" i="4"/>
  <c r="I168" i="4" s="1"/>
  <c r="G168" i="4"/>
  <c r="F168" i="4"/>
  <c r="E168" i="4"/>
  <c r="D168" i="4"/>
  <c r="C168" i="4"/>
  <c r="B168" i="4"/>
  <c r="A168" i="4"/>
  <c r="AD168" i="4" s="1"/>
  <c r="AE168" i="4" s="1"/>
  <c r="AC167" i="4"/>
  <c r="AB167" i="4"/>
  <c r="AA167" i="4"/>
  <c r="Z167" i="4"/>
  <c r="Y167" i="4"/>
  <c r="X167" i="4"/>
  <c r="W167" i="4"/>
  <c r="V167" i="4"/>
  <c r="T167" i="4"/>
  <c r="U167" i="4" s="1"/>
  <c r="R167" i="4"/>
  <c r="S167" i="4" s="1"/>
  <c r="P167" i="4"/>
  <c r="Q167" i="4" s="1"/>
  <c r="N167" i="4"/>
  <c r="O167" i="4" s="1"/>
  <c r="M167" i="4"/>
  <c r="K167" i="4"/>
  <c r="L167" i="4" s="1"/>
  <c r="J167" i="4"/>
  <c r="H167" i="4"/>
  <c r="I167" i="4" s="1"/>
  <c r="G167" i="4"/>
  <c r="F167" i="4"/>
  <c r="E167" i="4"/>
  <c r="D167" i="4"/>
  <c r="C167" i="4"/>
  <c r="B167" i="4"/>
  <c r="A167" i="4"/>
  <c r="AG167" i="4" s="1"/>
  <c r="AC166" i="4"/>
  <c r="AB166" i="4"/>
  <c r="AA166" i="4"/>
  <c r="Z166" i="4"/>
  <c r="Y166" i="4"/>
  <c r="X166" i="4"/>
  <c r="W166" i="4"/>
  <c r="V166" i="4"/>
  <c r="T166" i="4"/>
  <c r="U166" i="4" s="1"/>
  <c r="R166" i="4"/>
  <c r="S166" i="4" s="1"/>
  <c r="P166" i="4"/>
  <c r="Q166" i="4" s="1"/>
  <c r="N166" i="4"/>
  <c r="O166" i="4" s="1"/>
  <c r="M166" i="4"/>
  <c r="K166" i="4"/>
  <c r="L166" i="4" s="1"/>
  <c r="J166" i="4"/>
  <c r="H166" i="4"/>
  <c r="I166" i="4" s="1"/>
  <c r="G166" i="4"/>
  <c r="F166" i="4"/>
  <c r="E166" i="4"/>
  <c r="D166" i="4"/>
  <c r="C166" i="4"/>
  <c r="B166" i="4"/>
  <c r="A166" i="4"/>
  <c r="AG166" i="4" s="1"/>
  <c r="AC165" i="4"/>
  <c r="AB165" i="4"/>
  <c r="AA165" i="4"/>
  <c r="Z165" i="4"/>
  <c r="Y165" i="4"/>
  <c r="X165" i="4"/>
  <c r="W165" i="4"/>
  <c r="V165" i="4"/>
  <c r="T165" i="4"/>
  <c r="U165" i="4" s="1"/>
  <c r="R165" i="4"/>
  <c r="S165" i="4" s="1"/>
  <c r="P165" i="4"/>
  <c r="Q165" i="4" s="1"/>
  <c r="O165" i="4"/>
  <c r="N165" i="4"/>
  <c r="M165" i="4"/>
  <c r="K165" i="4"/>
  <c r="L165" i="4" s="1"/>
  <c r="J165" i="4"/>
  <c r="H165" i="4"/>
  <c r="I165" i="4" s="1"/>
  <c r="G165" i="4"/>
  <c r="F165" i="4"/>
  <c r="E165" i="4"/>
  <c r="D165" i="4"/>
  <c r="C165" i="4"/>
  <c r="B165" i="4"/>
  <c r="A165" i="4"/>
  <c r="AG165" i="4" s="1"/>
  <c r="AC164" i="4"/>
  <c r="AB164" i="4"/>
  <c r="AA164" i="4"/>
  <c r="Z164" i="4"/>
  <c r="Y164" i="4"/>
  <c r="X164" i="4"/>
  <c r="W164" i="4"/>
  <c r="V164" i="4"/>
  <c r="T164" i="4"/>
  <c r="U164" i="4" s="1"/>
  <c r="R164" i="4"/>
  <c r="S164" i="4" s="1"/>
  <c r="P164" i="4"/>
  <c r="Q164" i="4" s="1"/>
  <c r="N164" i="4"/>
  <c r="O164" i="4" s="1"/>
  <c r="M164" i="4"/>
  <c r="K164" i="4"/>
  <c r="L164" i="4" s="1"/>
  <c r="J164" i="4"/>
  <c r="H164" i="4"/>
  <c r="I164" i="4" s="1"/>
  <c r="G164" i="4"/>
  <c r="F164" i="4"/>
  <c r="E164" i="4"/>
  <c r="D164" i="4"/>
  <c r="C164" i="4"/>
  <c r="B164" i="4"/>
  <c r="A164" i="4"/>
  <c r="AG164" i="4" s="1"/>
  <c r="AC163" i="4"/>
  <c r="AB163" i="4"/>
  <c r="AA163" i="4"/>
  <c r="Z163" i="4"/>
  <c r="Y163" i="4"/>
  <c r="X163" i="4"/>
  <c r="W163" i="4"/>
  <c r="V163" i="4"/>
  <c r="T163" i="4"/>
  <c r="U163" i="4" s="1"/>
  <c r="R163" i="4"/>
  <c r="S163" i="4" s="1"/>
  <c r="P163" i="4"/>
  <c r="Q163" i="4" s="1"/>
  <c r="N163" i="4"/>
  <c r="O163" i="4" s="1"/>
  <c r="M163" i="4"/>
  <c r="K163" i="4"/>
  <c r="L163" i="4" s="1"/>
  <c r="J163" i="4"/>
  <c r="H163" i="4"/>
  <c r="I163" i="4" s="1"/>
  <c r="G163" i="4"/>
  <c r="F163" i="4"/>
  <c r="E163" i="4"/>
  <c r="D163" i="4"/>
  <c r="C163" i="4"/>
  <c r="B163" i="4"/>
  <c r="A163" i="4"/>
  <c r="AC162" i="4"/>
  <c r="AB162" i="4"/>
  <c r="AA162" i="4"/>
  <c r="Z162" i="4"/>
  <c r="Y162" i="4"/>
  <c r="X162" i="4"/>
  <c r="W162" i="4"/>
  <c r="V162" i="4"/>
  <c r="T162" i="4"/>
  <c r="U162" i="4" s="1"/>
  <c r="R162" i="4"/>
  <c r="S162" i="4" s="1"/>
  <c r="P162" i="4"/>
  <c r="Q162" i="4" s="1"/>
  <c r="N162" i="4"/>
  <c r="O162" i="4" s="1"/>
  <c r="M162" i="4"/>
  <c r="K162" i="4"/>
  <c r="L162" i="4" s="1"/>
  <c r="J162" i="4"/>
  <c r="H162" i="4"/>
  <c r="I162" i="4" s="1"/>
  <c r="G162" i="4"/>
  <c r="F162" i="4"/>
  <c r="E162" i="4"/>
  <c r="D162" i="4"/>
  <c r="C162" i="4"/>
  <c r="B162" i="4"/>
  <c r="A162" i="4"/>
  <c r="AG162" i="4" s="1"/>
  <c r="AC161" i="4"/>
  <c r="AB161" i="4"/>
  <c r="AA161" i="4"/>
  <c r="Z161" i="4"/>
  <c r="Y161" i="4"/>
  <c r="X161" i="4"/>
  <c r="W161" i="4"/>
  <c r="V161" i="4"/>
  <c r="T161" i="4"/>
  <c r="U161" i="4" s="1"/>
  <c r="R161" i="4"/>
  <c r="S161" i="4" s="1"/>
  <c r="P161" i="4"/>
  <c r="Q161" i="4" s="1"/>
  <c r="N161" i="4"/>
  <c r="O161" i="4" s="1"/>
  <c r="M161" i="4"/>
  <c r="K161" i="4"/>
  <c r="L161" i="4" s="1"/>
  <c r="J161" i="4"/>
  <c r="H161" i="4"/>
  <c r="I161" i="4" s="1"/>
  <c r="G161" i="4"/>
  <c r="F161" i="4"/>
  <c r="E161" i="4"/>
  <c r="D161" i="4"/>
  <c r="C161" i="4"/>
  <c r="B161" i="4"/>
  <c r="A161" i="4"/>
  <c r="AD161" i="4" s="1"/>
  <c r="AE161" i="4" s="1"/>
  <c r="AC160" i="4"/>
  <c r="AB160" i="4"/>
  <c r="AA160" i="4"/>
  <c r="Z160" i="4"/>
  <c r="Y160" i="4"/>
  <c r="X160" i="4"/>
  <c r="W160" i="4"/>
  <c r="V160" i="4"/>
  <c r="T160" i="4"/>
  <c r="U160" i="4" s="1"/>
  <c r="R160" i="4"/>
  <c r="S160" i="4" s="1"/>
  <c r="P160" i="4"/>
  <c r="Q160" i="4" s="1"/>
  <c r="N160" i="4"/>
  <c r="O160" i="4" s="1"/>
  <c r="M160" i="4"/>
  <c r="K160" i="4"/>
  <c r="L160" i="4" s="1"/>
  <c r="J160" i="4"/>
  <c r="H160" i="4"/>
  <c r="I160" i="4" s="1"/>
  <c r="G160" i="4"/>
  <c r="F160" i="4"/>
  <c r="E160" i="4"/>
  <c r="D160" i="4"/>
  <c r="C160" i="4"/>
  <c r="B160" i="4"/>
  <c r="A160" i="4"/>
  <c r="AC159" i="4"/>
  <c r="AB159" i="4"/>
  <c r="AA159" i="4"/>
  <c r="Z159" i="4"/>
  <c r="Y159" i="4"/>
  <c r="X159" i="4"/>
  <c r="W159" i="4"/>
  <c r="V159" i="4"/>
  <c r="T159" i="4"/>
  <c r="U159" i="4" s="1"/>
  <c r="R159" i="4"/>
  <c r="S159" i="4" s="1"/>
  <c r="P159" i="4"/>
  <c r="Q159" i="4" s="1"/>
  <c r="N159" i="4"/>
  <c r="O159" i="4" s="1"/>
  <c r="M159" i="4"/>
  <c r="K159" i="4"/>
  <c r="L159" i="4" s="1"/>
  <c r="J159" i="4"/>
  <c r="H159" i="4"/>
  <c r="I159" i="4" s="1"/>
  <c r="G159" i="4"/>
  <c r="F159" i="4"/>
  <c r="E159" i="4"/>
  <c r="D159" i="4"/>
  <c r="C159" i="4"/>
  <c r="B159" i="4"/>
  <c r="A159" i="4"/>
  <c r="AG159" i="4" s="1"/>
  <c r="AC158" i="4"/>
  <c r="AB158" i="4"/>
  <c r="AA158" i="4"/>
  <c r="Z158" i="4"/>
  <c r="Y158" i="4"/>
  <c r="X158" i="4"/>
  <c r="W158" i="4"/>
  <c r="V158" i="4"/>
  <c r="T158" i="4"/>
  <c r="U158" i="4" s="1"/>
  <c r="R158" i="4"/>
  <c r="S158" i="4" s="1"/>
  <c r="P158" i="4"/>
  <c r="Q158" i="4" s="1"/>
  <c r="N158" i="4"/>
  <c r="O158" i="4" s="1"/>
  <c r="M158" i="4"/>
  <c r="K158" i="4"/>
  <c r="L158" i="4" s="1"/>
  <c r="J158" i="4"/>
  <c r="H158" i="4"/>
  <c r="I158" i="4" s="1"/>
  <c r="G158" i="4"/>
  <c r="F158" i="4"/>
  <c r="E158" i="4"/>
  <c r="D158" i="4"/>
  <c r="C158" i="4"/>
  <c r="B158" i="4"/>
  <c r="A158" i="4"/>
  <c r="AC157" i="4"/>
  <c r="AB157" i="4"/>
  <c r="AA157" i="4"/>
  <c r="Z157" i="4"/>
  <c r="Y157" i="4"/>
  <c r="X157" i="4"/>
  <c r="W157" i="4"/>
  <c r="V157" i="4"/>
  <c r="T157" i="4"/>
  <c r="U157" i="4" s="1"/>
  <c r="R157" i="4"/>
  <c r="S157" i="4" s="1"/>
  <c r="P157" i="4"/>
  <c r="Q157" i="4" s="1"/>
  <c r="N157" i="4"/>
  <c r="O157" i="4" s="1"/>
  <c r="M157" i="4"/>
  <c r="L157" i="4"/>
  <c r="K157" i="4"/>
  <c r="J157" i="4"/>
  <c r="H157" i="4"/>
  <c r="I157" i="4" s="1"/>
  <c r="G157" i="4"/>
  <c r="F157" i="4"/>
  <c r="E157" i="4"/>
  <c r="D157" i="4"/>
  <c r="C157" i="4"/>
  <c r="B157" i="4"/>
  <c r="A157" i="4"/>
  <c r="AG157" i="4" s="1"/>
  <c r="AC156" i="4"/>
  <c r="AB156" i="4"/>
  <c r="AA156" i="4"/>
  <c r="Z156" i="4"/>
  <c r="Y156" i="4"/>
  <c r="X156" i="4"/>
  <c r="W156" i="4"/>
  <c r="V156" i="4"/>
  <c r="T156" i="4"/>
  <c r="U156" i="4" s="1"/>
  <c r="R156" i="4"/>
  <c r="S156" i="4" s="1"/>
  <c r="P156" i="4"/>
  <c r="Q156" i="4" s="1"/>
  <c r="N156" i="4"/>
  <c r="O156" i="4" s="1"/>
  <c r="M156" i="4"/>
  <c r="L156" i="4"/>
  <c r="K156" i="4"/>
  <c r="J156" i="4"/>
  <c r="H156" i="4"/>
  <c r="I156" i="4" s="1"/>
  <c r="G156" i="4"/>
  <c r="F156" i="4"/>
  <c r="E156" i="4"/>
  <c r="D156" i="4"/>
  <c r="C156" i="4"/>
  <c r="B156" i="4"/>
  <c r="A156" i="4"/>
  <c r="AC155" i="4"/>
  <c r="AB155" i="4"/>
  <c r="AA155" i="4"/>
  <c r="Z155" i="4"/>
  <c r="Y155" i="4"/>
  <c r="X155" i="4"/>
  <c r="W155" i="4"/>
  <c r="V155" i="4"/>
  <c r="T155" i="4"/>
  <c r="U155" i="4" s="1"/>
  <c r="R155" i="4"/>
  <c r="S155" i="4" s="1"/>
  <c r="P155" i="4"/>
  <c r="Q155" i="4" s="1"/>
  <c r="N155" i="4"/>
  <c r="O155" i="4" s="1"/>
  <c r="M155" i="4"/>
  <c r="K155" i="4"/>
  <c r="L155" i="4" s="1"/>
  <c r="J155" i="4"/>
  <c r="H155" i="4"/>
  <c r="I155" i="4" s="1"/>
  <c r="G155" i="4"/>
  <c r="F155" i="4"/>
  <c r="E155" i="4"/>
  <c r="D155" i="4"/>
  <c r="C155" i="4"/>
  <c r="B155" i="4"/>
  <c r="A155" i="4"/>
  <c r="AC154" i="4"/>
  <c r="AB154" i="4"/>
  <c r="AA154" i="4"/>
  <c r="Z154" i="4"/>
  <c r="Y154" i="4"/>
  <c r="X154" i="4"/>
  <c r="W154" i="4"/>
  <c r="V154" i="4"/>
  <c r="T154" i="4"/>
  <c r="U154" i="4" s="1"/>
  <c r="R154" i="4"/>
  <c r="S154" i="4" s="1"/>
  <c r="P154" i="4"/>
  <c r="Q154" i="4" s="1"/>
  <c r="N154" i="4"/>
  <c r="O154" i="4" s="1"/>
  <c r="M154" i="4"/>
  <c r="K154" i="4"/>
  <c r="L154" i="4" s="1"/>
  <c r="J154" i="4"/>
  <c r="H154" i="4"/>
  <c r="I154" i="4" s="1"/>
  <c r="G154" i="4"/>
  <c r="F154" i="4"/>
  <c r="E154" i="4"/>
  <c r="D154" i="4"/>
  <c r="C154" i="4"/>
  <c r="B154" i="4"/>
  <c r="A154" i="4"/>
  <c r="AC153" i="4"/>
  <c r="AB153" i="4"/>
  <c r="AA153" i="4"/>
  <c r="Z153" i="4"/>
  <c r="Y153" i="4"/>
  <c r="X153" i="4"/>
  <c r="W153" i="4"/>
  <c r="V153" i="4"/>
  <c r="T153" i="4"/>
  <c r="U153" i="4" s="1"/>
  <c r="R153" i="4"/>
  <c r="S153" i="4" s="1"/>
  <c r="P153" i="4"/>
  <c r="Q153" i="4" s="1"/>
  <c r="N153" i="4"/>
  <c r="O153" i="4" s="1"/>
  <c r="M153" i="4"/>
  <c r="K153" i="4"/>
  <c r="L153" i="4" s="1"/>
  <c r="J153" i="4"/>
  <c r="H153" i="4"/>
  <c r="I153" i="4" s="1"/>
  <c r="G153" i="4"/>
  <c r="F153" i="4"/>
  <c r="E153" i="4"/>
  <c r="D153" i="4"/>
  <c r="C153" i="4"/>
  <c r="B153" i="4"/>
  <c r="A153" i="4"/>
  <c r="AD153" i="4" s="1"/>
  <c r="AE153" i="4" s="1"/>
  <c r="AC152" i="4"/>
  <c r="AB152" i="4"/>
  <c r="AA152" i="4"/>
  <c r="Z152" i="4"/>
  <c r="Y152" i="4"/>
  <c r="X152" i="4"/>
  <c r="W152" i="4"/>
  <c r="V152" i="4"/>
  <c r="T152" i="4"/>
  <c r="U152" i="4" s="1"/>
  <c r="R152" i="4"/>
  <c r="S152" i="4" s="1"/>
  <c r="P152" i="4"/>
  <c r="Q152" i="4" s="1"/>
  <c r="O152" i="4"/>
  <c r="N152" i="4"/>
  <c r="M152" i="4"/>
  <c r="K152" i="4"/>
  <c r="L152" i="4" s="1"/>
  <c r="J152" i="4"/>
  <c r="H152" i="4"/>
  <c r="I152" i="4" s="1"/>
  <c r="G152" i="4"/>
  <c r="F152" i="4"/>
  <c r="E152" i="4"/>
  <c r="D152" i="4"/>
  <c r="C152" i="4"/>
  <c r="B152" i="4"/>
  <c r="A152" i="4"/>
  <c r="AC151" i="4"/>
  <c r="AB151" i="4"/>
  <c r="AA151" i="4"/>
  <c r="Z151" i="4"/>
  <c r="Y151" i="4"/>
  <c r="X151" i="4"/>
  <c r="W151" i="4"/>
  <c r="V151" i="4"/>
  <c r="T151" i="4"/>
  <c r="U151" i="4" s="1"/>
  <c r="R151" i="4"/>
  <c r="S151" i="4" s="1"/>
  <c r="P151" i="4"/>
  <c r="Q151" i="4" s="1"/>
  <c r="N151" i="4"/>
  <c r="O151" i="4" s="1"/>
  <c r="M151" i="4"/>
  <c r="K151" i="4"/>
  <c r="L151" i="4" s="1"/>
  <c r="J151" i="4"/>
  <c r="H151" i="4"/>
  <c r="I151" i="4" s="1"/>
  <c r="G151" i="4"/>
  <c r="F151" i="4"/>
  <c r="E151" i="4"/>
  <c r="D151" i="4"/>
  <c r="C151" i="4"/>
  <c r="B151" i="4"/>
  <c r="A151" i="4"/>
  <c r="AG151" i="4" s="1"/>
  <c r="AC150" i="4"/>
  <c r="AB150" i="4"/>
  <c r="AA150" i="4"/>
  <c r="Z150" i="4"/>
  <c r="Y150" i="4"/>
  <c r="X150" i="4"/>
  <c r="W150" i="4"/>
  <c r="V150" i="4"/>
  <c r="T150" i="4"/>
  <c r="U150" i="4" s="1"/>
  <c r="R150" i="4"/>
  <c r="S150" i="4" s="1"/>
  <c r="P150" i="4"/>
  <c r="Q150" i="4" s="1"/>
  <c r="N150" i="4"/>
  <c r="O150" i="4" s="1"/>
  <c r="M150" i="4"/>
  <c r="K150" i="4"/>
  <c r="L150" i="4" s="1"/>
  <c r="J150" i="4"/>
  <c r="H150" i="4"/>
  <c r="I150" i="4" s="1"/>
  <c r="G150" i="4"/>
  <c r="F150" i="4"/>
  <c r="E150" i="4"/>
  <c r="D150" i="4"/>
  <c r="C150" i="4"/>
  <c r="B150" i="4"/>
  <c r="A150" i="4"/>
  <c r="AG150" i="4" s="1"/>
  <c r="AC149" i="4"/>
  <c r="AB149" i="4"/>
  <c r="AA149" i="4"/>
  <c r="Z149" i="4"/>
  <c r="Y149" i="4"/>
  <c r="X149" i="4"/>
  <c r="W149" i="4"/>
  <c r="V149" i="4"/>
  <c r="T149" i="4"/>
  <c r="U149" i="4" s="1"/>
  <c r="S149" i="4"/>
  <c r="R149" i="4"/>
  <c r="P149" i="4"/>
  <c r="Q149" i="4" s="1"/>
  <c r="N149" i="4"/>
  <c r="O149" i="4" s="1"/>
  <c r="M149" i="4"/>
  <c r="K149" i="4"/>
  <c r="L149" i="4" s="1"/>
  <c r="J149" i="4"/>
  <c r="H149" i="4"/>
  <c r="I149" i="4" s="1"/>
  <c r="G149" i="4"/>
  <c r="F149" i="4"/>
  <c r="E149" i="4"/>
  <c r="D149" i="4"/>
  <c r="C149" i="4"/>
  <c r="B149" i="4"/>
  <c r="A149" i="4"/>
  <c r="AG149" i="4" s="1"/>
  <c r="AC148" i="4"/>
  <c r="AB148" i="4"/>
  <c r="AA148" i="4"/>
  <c r="Z148" i="4"/>
  <c r="Y148" i="4"/>
  <c r="X148" i="4"/>
  <c r="W148" i="4"/>
  <c r="V148" i="4"/>
  <c r="T148" i="4"/>
  <c r="U148" i="4" s="1"/>
  <c r="R148" i="4"/>
  <c r="S148" i="4" s="1"/>
  <c r="P148" i="4"/>
  <c r="Q148" i="4" s="1"/>
  <c r="N148" i="4"/>
  <c r="O148" i="4" s="1"/>
  <c r="M148" i="4"/>
  <c r="K148" i="4"/>
  <c r="L148" i="4" s="1"/>
  <c r="J148" i="4"/>
  <c r="H148" i="4"/>
  <c r="I148" i="4" s="1"/>
  <c r="G148" i="4"/>
  <c r="F148" i="4"/>
  <c r="E148" i="4"/>
  <c r="D148" i="4"/>
  <c r="C148" i="4"/>
  <c r="B148" i="4"/>
  <c r="A148" i="4"/>
  <c r="AG148" i="4" s="1"/>
  <c r="AC147" i="4"/>
  <c r="AB147" i="4"/>
  <c r="AA147" i="4"/>
  <c r="Z147" i="4"/>
  <c r="Y147" i="4"/>
  <c r="X147" i="4"/>
  <c r="W147" i="4"/>
  <c r="V147" i="4"/>
  <c r="T147" i="4"/>
  <c r="U147" i="4" s="1"/>
  <c r="R147" i="4"/>
  <c r="S147" i="4" s="1"/>
  <c r="P147" i="4"/>
  <c r="Q147" i="4" s="1"/>
  <c r="N147" i="4"/>
  <c r="O147" i="4" s="1"/>
  <c r="M147" i="4"/>
  <c r="K147" i="4"/>
  <c r="L147" i="4" s="1"/>
  <c r="J147" i="4"/>
  <c r="H147" i="4"/>
  <c r="I147" i="4" s="1"/>
  <c r="G147" i="4"/>
  <c r="F147" i="4"/>
  <c r="E147" i="4"/>
  <c r="D147" i="4"/>
  <c r="C147" i="4"/>
  <c r="B147" i="4"/>
  <c r="A147" i="4"/>
  <c r="AF147" i="4" s="1"/>
  <c r="AC146" i="4"/>
  <c r="AB146" i="4"/>
  <c r="AA146" i="4"/>
  <c r="Z146" i="4"/>
  <c r="Y146" i="4"/>
  <c r="X146" i="4"/>
  <c r="W146" i="4"/>
  <c r="V146" i="4"/>
  <c r="T146" i="4"/>
  <c r="U146" i="4" s="1"/>
  <c r="R146" i="4"/>
  <c r="S146" i="4" s="1"/>
  <c r="P146" i="4"/>
  <c r="Q146" i="4" s="1"/>
  <c r="N146" i="4"/>
  <c r="O146" i="4" s="1"/>
  <c r="M146" i="4"/>
  <c r="K146" i="4"/>
  <c r="L146" i="4" s="1"/>
  <c r="J146" i="4"/>
  <c r="H146" i="4"/>
  <c r="I146" i="4" s="1"/>
  <c r="G146" i="4"/>
  <c r="F146" i="4"/>
  <c r="E146" i="4"/>
  <c r="D146" i="4"/>
  <c r="C146" i="4"/>
  <c r="B146" i="4"/>
  <c r="A146" i="4"/>
  <c r="AG146" i="4" s="1"/>
  <c r="AC145" i="4"/>
  <c r="AB145" i="4"/>
  <c r="AA145" i="4"/>
  <c r="Z145" i="4"/>
  <c r="Y145" i="4"/>
  <c r="X145" i="4"/>
  <c r="W145" i="4"/>
  <c r="V145" i="4"/>
  <c r="T145" i="4"/>
  <c r="U145" i="4" s="1"/>
  <c r="R145" i="4"/>
  <c r="S145" i="4" s="1"/>
  <c r="P145" i="4"/>
  <c r="Q145" i="4" s="1"/>
  <c r="N145" i="4"/>
  <c r="O145" i="4" s="1"/>
  <c r="M145" i="4"/>
  <c r="K145" i="4"/>
  <c r="L145" i="4" s="1"/>
  <c r="J145" i="4"/>
  <c r="H145" i="4"/>
  <c r="I145" i="4" s="1"/>
  <c r="G145" i="4"/>
  <c r="F145" i="4"/>
  <c r="E145" i="4"/>
  <c r="D145" i="4"/>
  <c r="C145" i="4"/>
  <c r="B145" i="4"/>
  <c r="A145" i="4"/>
  <c r="AC144" i="4"/>
  <c r="AB144" i="4"/>
  <c r="AA144" i="4"/>
  <c r="Z144" i="4"/>
  <c r="Y144" i="4"/>
  <c r="X144" i="4"/>
  <c r="W144" i="4"/>
  <c r="V144" i="4"/>
  <c r="T144" i="4"/>
  <c r="U144" i="4" s="1"/>
  <c r="R144" i="4"/>
  <c r="S144" i="4" s="1"/>
  <c r="Q144" i="4"/>
  <c r="P144" i="4"/>
  <c r="O144" i="4"/>
  <c r="N144" i="4"/>
  <c r="M144" i="4"/>
  <c r="K144" i="4"/>
  <c r="L144" i="4" s="1"/>
  <c r="J144" i="4"/>
  <c r="H144" i="4"/>
  <c r="I144" i="4" s="1"/>
  <c r="G144" i="4"/>
  <c r="F144" i="4"/>
  <c r="E144" i="4"/>
  <c r="D144" i="4"/>
  <c r="C144" i="4"/>
  <c r="B144" i="4"/>
  <c r="A144" i="4"/>
  <c r="AD144" i="4" s="1"/>
  <c r="AE144" i="4" s="1"/>
  <c r="AC143" i="4"/>
  <c r="AB143" i="4"/>
  <c r="AA143" i="4"/>
  <c r="Z143" i="4"/>
  <c r="Y143" i="4"/>
  <c r="X143" i="4"/>
  <c r="W143" i="4"/>
  <c r="V143" i="4"/>
  <c r="T143" i="4"/>
  <c r="U143" i="4" s="1"/>
  <c r="R143" i="4"/>
  <c r="S143" i="4" s="1"/>
  <c r="P143" i="4"/>
  <c r="Q143" i="4" s="1"/>
  <c r="N143" i="4"/>
  <c r="O143" i="4" s="1"/>
  <c r="M143" i="4"/>
  <c r="K143" i="4"/>
  <c r="L143" i="4" s="1"/>
  <c r="J143" i="4"/>
  <c r="H143" i="4"/>
  <c r="I143" i="4" s="1"/>
  <c r="G143" i="4"/>
  <c r="F143" i="4"/>
  <c r="E143" i="4"/>
  <c r="D143" i="4"/>
  <c r="C143" i="4"/>
  <c r="B143" i="4"/>
  <c r="A143" i="4"/>
  <c r="AD143" i="4" s="1"/>
  <c r="AE143" i="4" s="1"/>
  <c r="AC142" i="4"/>
  <c r="AB142" i="4"/>
  <c r="AA142" i="4"/>
  <c r="Z142" i="4"/>
  <c r="Y142" i="4"/>
  <c r="X142" i="4"/>
  <c r="W142" i="4"/>
  <c r="V142" i="4"/>
  <c r="T142" i="4"/>
  <c r="U142" i="4" s="1"/>
  <c r="R142" i="4"/>
  <c r="S142" i="4" s="1"/>
  <c r="P142" i="4"/>
  <c r="Q142" i="4" s="1"/>
  <c r="N142" i="4"/>
  <c r="O142" i="4" s="1"/>
  <c r="M142" i="4"/>
  <c r="K142" i="4"/>
  <c r="L142" i="4" s="1"/>
  <c r="J142" i="4"/>
  <c r="H142" i="4"/>
  <c r="I142" i="4" s="1"/>
  <c r="G142" i="4"/>
  <c r="F142" i="4"/>
  <c r="E142" i="4"/>
  <c r="D142" i="4"/>
  <c r="C142" i="4"/>
  <c r="B142" i="4"/>
  <c r="A142" i="4"/>
  <c r="AF142" i="4" s="1"/>
  <c r="AC141" i="4"/>
  <c r="AB141" i="4"/>
  <c r="AA141" i="4"/>
  <c r="Z141" i="4"/>
  <c r="Y141" i="4"/>
  <c r="X141" i="4"/>
  <c r="W141" i="4"/>
  <c r="V141" i="4"/>
  <c r="T141" i="4"/>
  <c r="U141" i="4" s="1"/>
  <c r="R141" i="4"/>
  <c r="S141" i="4" s="1"/>
  <c r="P141" i="4"/>
  <c r="Q141" i="4" s="1"/>
  <c r="N141" i="4"/>
  <c r="O141" i="4" s="1"/>
  <c r="M141" i="4"/>
  <c r="K141" i="4"/>
  <c r="L141" i="4" s="1"/>
  <c r="J141" i="4"/>
  <c r="H141" i="4"/>
  <c r="I141" i="4" s="1"/>
  <c r="G141" i="4"/>
  <c r="F141" i="4"/>
  <c r="E141" i="4"/>
  <c r="D141" i="4"/>
  <c r="C141" i="4"/>
  <c r="B141" i="4"/>
  <c r="A141" i="4"/>
  <c r="AC140" i="4"/>
  <c r="AB140" i="4"/>
  <c r="AA140" i="4"/>
  <c r="Z140" i="4"/>
  <c r="Y140" i="4"/>
  <c r="X140" i="4"/>
  <c r="W140" i="4"/>
  <c r="V140" i="4"/>
  <c r="T140" i="4"/>
  <c r="U140" i="4" s="1"/>
  <c r="R140" i="4"/>
  <c r="S140" i="4" s="1"/>
  <c r="P140" i="4"/>
  <c r="Q140" i="4" s="1"/>
  <c r="N140" i="4"/>
  <c r="O140" i="4" s="1"/>
  <c r="M140" i="4"/>
  <c r="K140" i="4"/>
  <c r="L140" i="4" s="1"/>
  <c r="J140" i="4"/>
  <c r="H140" i="4"/>
  <c r="I140" i="4" s="1"/>
  <c r="G140" i="4"/>
  <c r="F140" i="4"/>
  <c r="E140" i="4"/>
  <c r="D140" i="4"/>
  <c r="C140" i="4"/>
  <c r="B140" i="4"/>
  <c r="A140" i="4"/>
  <c r="AG140" i="4" s="1"/>
  <c r="AC139" i="4"/>
  <c r="AB139" i="4"/>
  <c r="AA139" i="4"/>
  <c r="Z139" i="4"/>
  <c r="Y139" i="4"/>
  <c r="X139" i="4"/>
  <c r="W139" i="4"/>
  <c r="V139" i="4"/>
  <c r="T139" i="4"/>
  <c r="U139" i="4" s="1"/>
  <c r="R139" i="4"/>
  <c r="S139" i="4" s="1"/>
  <c r="P139" i="4"/>
  <c r="Q139" i="4" s="1"/>
  <c r="O139" i="4"/>
  <c r="N139" i="4"/>
  <c r="M139" i="4"/>
  <c r="K139" i="4"/>
  <c r="L139" i="4" s="1"/>
  <c r="J139" i="4"/>
  <c r="H139" i="4"/>
  <c r="I139" i="4" s="1"/>
  <c r="G139" i="4"/>
  <c r="F139" i="4"/>
  <c r="E139" i="4"/>
  <c r="D139" i="4"/>
  <c r="C139" i="4"/>
  <c r="B139" i="4"/>
  <c r="A139" i="4"/>
  <c r="AF139" i="4" s="1"/>
  <c r="AC138" i="4"/>
  <c r="AB138" i="4"/>
  <c r="AA138" i="4"/>
  <c r="Z138" i="4"/>
  <c r="Y138" i="4"/>
  <c r="X138" i="4"/>
  <c r="W138" i="4"/>
  <c r="V138" i="4"/>
  <c r="T138" i="4"/>
  <c r="U138" i="4" s="1"/>
  <c r="R138" i="4"/>
  <c r="S138" i="4" s="1"/>
  <c r="P138" i="4"/>
  <c r="Q138" i="4" s="1"/>
  <c r="N138" i="4"/>
  <c r="O138" i="4" s="1"/>
  <c r="M138" i="4"/>
  <c r="K138" i="4"/>
  <c r="L138" i="4" s="1"/>
  <c r="J138" i="4"/>
  <c r="H138" i="4"/>
  <c r="I138" i="4" s="1"/>
  <c r="G138" i="4"/>
  <c r="F138" i="4"/>
  <c r="E138" i="4"/>
  <c r="D138" i="4"/>
  <c r="C138" i="4"/>
  <c r="B138" i="4"/>
  <c r="A138" i="4"/>
  <c r="AG138" i="4" s="1"/>
  <c r="AC137" i="4"/>
  <c r="AB137" i="4"/>
  <c r="AA137" i="4"/>
  <c r="Z137" i="4"/>
  <c r="Y137" i="4"/>
  <c r="X137" i="4"/>
  <c r="W137" i="4"/>
  <c r="V137" i="4"/>
  <c r="T137" i="4"/>
  <c r="U137" i="4" s="1"/>
  <c r="R137" i="4"/>
  <c r="S137" i="4" s="1"/>
  <c r="P137" i="4"/>
  <c r="Q137" i="4" s="1"/>
  <c r="N137" i="4"/>
  <c r="O137" i="4" s="1"/>
  <c r="M137" i="4"/>
  <c r="K137" i="4"/>
  <c r="L137" i="4" s="1"/>
  <c r="J137" i="4"/>
  <c r="H137" i="4"/>
  <c r="I137" i="4" s="1"/>
  <c r="G137" i="4"/>
  <c r="F137" i="4"/>
  <c r="E137" i="4"/>
  <c r="D137" i="4"/>
  <c r="C137" i="4"/>
  <c r="B137" i="4"/>
  <c r="A137" i="4"/>
  <c r="AD137" i="4" s="1"/>
  <c r="AE137" i="4" s="1"/>
  <c r="AC136" i="4"/>
  <c r="AB136" i="4"/>
  <c r="AA136" i="4"/>
  <c r="Z136" i="4"/>
  <c r="Y136" i="4"/>
  <c r="X136" i="4"/>
  <c r="W136" i="4"/>
  <c r="V136" i="4"/>
  <c r="T136" i="4"/>
  <c r="U136" i="4" s="1"/>
  <c r="R136" i="4"/>
  <c r="S136" i="4" s="1"/>
  <c r="P136" i="4"/>
  <c r="Q136" i="4" s="1"/>
  <c r="N136" i="4"/>
  <c r="O136" i="4" s="1"/>
  <c r="M136" i="4"/>
  <c r="K136" i="4"/>
  <c r="L136" i="4" s="1"/>
  <c r="J136" i="4"/>
  <c r="H136" i="4"/>
  <c r="I136" i="4" s="1"/>
  <c r="G136" i="4"/>
  <c r="F136" i="4"/>
  <c r="E136" i="4"/>
  <c r="D136" i="4"/>
  <c r="C136" i="4"/>
  <c r="B136" i="4"/>
  <c r="A136" i="4"/>
  <c r="AD136" i="4" s="1"/>
  <c r="AE136" i="4" s="1"/>
  <c r="AC135" i="4"/>
  <c r="AB135" i="4"/>
  <c r="AA135" i="4"/>
  <c r="Z135" i="4"/>
  <c r="Y135" i="4"/>
  <c r="X135" i="4"/>
  <c r="W135" i="4"/>
  <c r="V135" i="4"/>
  <c r="T135" i="4"/>
  <c r="U135" i="4" s="1"/>
  <c r="R135" i="4"/>
  <c r="S135" i="4" s="1"/>
  <c r="P135" i="4"/>
  <c r="Q135" i="4" s="1"/>
  <c r="N135" i="4"/>
  <c r="O135" i="4" s="1"/>
  <c r="M135" i="4"/>
  <c r="K135" i="4"/>
  <c r="L135" i="4" s="1"/>
  <c r="J135" i="4"/>
  <c r="H135" i="4"/>
  <c r="I135" i="4" s="1"/>
  <c r="G135" i="4"/>
  <c r="F135" i="4"/>
  <c r="E135" i="4"/>
  <c r="D135" i="4"/>
  <c r="C135" i="4"/>
  <c r="B135" i="4"/>
  <c r="A135" i="4"/>
  <c r="AC134" i="4"/>
  <c r="AB134" i="4"/>
  <c r="AA134" i="4"/>
  <c r="Z134" i="4"/>
  <c r="Y134" i="4"/>
  <c r="X134" i="4"/>
  <c r="W134" i="4"/>
  <c r="V134" i="4"/>
  <c r="T134" i="4"/>
  <c r="U134" i="4" s="1"/>
  <c r="R134" i="4"/>
  <c r="S134" i="4" s="1"/>
  <c r="P134" i="4"/>
  <c r="Q134" i="4" s="1"/>
  <c r="N134" i="4"/>
  <c r="O134" i="4" s="1"/>
  <c r="M134" i="4"/>
  <c r="K134" i="4"/>
  <c r="L134" i="4" s="1"/>
  <c r="J134" i="4"/>
  <c r="H134" i="4"/>
  <c r="I134" i="4" s="1"/>
  <c r="G134" i="4"/>
  <c r="F134" i="4"/>
  <c r="E134" i="4"/>
  <c r="D134" i="4"/>
  <c r="C134" i="4"/>
  <c r="B134" i="4"/>
  <c r="A134" i="4"/>
  <c r="AF134" i="4" s="1"/>
  <c r="AC133" i="4"/>
  <c r="AB133" i="4"/>
  <c r="AA133" i="4"/>
  <c r="Z133" i="4"/>
  <c r="Y133" i="4"/>
  <c r="X133" i="4"/>
  <c r="W133" i="4"/>
  <c r="V133" i="4"/>
  <c r="T133" i="4"/>
  <c r="U133" i="4" s="1"/>
  <c r="R133" i="4"/>
  <c r="S133" i="4" s="1"/>
  <c r="P133" i="4"/>
  <c r="Q133" i="4" s="1"/>
  <c r="N133" i="4"/>
  <c r="O133" i="4" s="1"/>
  <c r="M133" i="4"/>
  <c r="K133" i="4"/>
  <c r="L133" i="4" s="1"/>
  <c r="J133" i="4"/>
  <c r="H133" i="4"/>
  <c r="I133" i="4" s="1"/>
  <c r="G133" i="4"/>
  <c r="F133" i="4"/>
  <c r="E133" i="4"/>
  <c r="D133" i="4"/>
  <c r="C133" i="4"/>
  <c r="B133" i="4"/>
  <c r="A133" i="4"/>
  <c r="AG133" i="4" s="1"/>
  <c r="AC132" i="4"/>
  <c r="AB132" i="4"/>
  <c r="AA132" i="4"/>
  <c r="Z132" i="4"/>
  <c r="Y132" i="4"/>
  <c r="X132" i="4"/>
  <c r="W132" i="4"/>
  <c r="V132" i="4"/>
  <c r="T132" i="4"/>
  <c r="U132" i="4" s="1"/>
  <c r="R132" i="4"/>
  <c r="S132" i="4" s="1"/>
  <c r="P132" i="4"/>
  <c r="Q132" i="4" s="1"/>
  <c r="N132" i="4"/>
  <c r="O132" i="4" s="1"/>
  <c r="M132" i="4"/>
  <c r="K132" i="4"/>
  <c r="L132" i="4" s="1"/>
  <c r="J132" i="4"/>
  <c r="H132" i="4"/>
  <c r="I132" i="4" s="1"/>
  <c r="G132" i="4"/>
  <c r="F132" i="4"/>
  <c r="E132" i="4"/>
  <c r="D132" i="4"/>
  <c r="C132" i="4"/>
  <c r="B132" i="4"/>
  <c r="A132" i="4"/>
  <c r="AD132" i="4" s="1"/>
  <c r="AE132" i="4" s="1"/>
  <c r="AC131" i="4"/>
  <c r="AB131" i="4"/>
  <c r="AA131" i="4"/>
  <c r="Z131" i="4"/>
  <c r="Y131" i="4"/>
  <c r="X131" i="4"/>
  <c r="W131" i="4"/>
  <c r="V131" i="4"/>
  <c r="T131" i="4"/>
  <c r="U131" i="4" s="1"/>
  <c r="R131" i="4"/>
  <c r="S131" i="4" s="1"/>
  <c r="P131" i="4"/>
  <c r="Q131" i="4" s="1"/>
  <c r="N131" i="4"/>
  <c r="O131" i="4" s="1"/>
  <c r="M131" i="4"/>
  <c r="K131" i="4"/>
  <c r="L131" i="4" s="1"/>
  <c r="J131" i="4"/>
  <c r="H131" i="4"/>
  <c r="I131" i="4" s="1"/>
  <c r="G131" i="4"/>
  <c r="F131" i="4"/>
  <c r="E131" i="4"/>
  <c r="D131" i="4"/>
  <c r="C131" i="4"/>
  <c r="B131" i="4"/>
  <c r="A131" i="4"/>
  <c r="AF131" i="4" s="1"/>
  <c r="AC130" i="4"/>
  <c r="AB130" i="4"/>
  <c r="AA130" i="4"/>
  <c r="Z130" i="4"/>
  <c r="Y130" i="4"/>
  <c r="X130" i="4"/>
  <c r="W130" i="4"/>
  <c r="V130" i="4"/>
  <c r="T130" i="4"/>
  <c r="U130" i="4" s="1"/>
  <c r="R130" i="4"/>
  <c r="S130" i="4" s="1"/>
  <c r="P130" i="4"/>
  <c r="Q130" i="4" s="1"/>
  <c r="N130" i="4"/>
  <c r="O130" i="4" s="1"/>
  <c r="M130" i="4"/>
  <c r="K130" i="4"/>
  <c r="L130" i="4" s="1"/>
  <c r="J130" i="4"/>
  <c r="H130" i="4"/>
  <c r="I130" i="4" s="1"/>
  <c r="G130" i="4"/>
  <c r="F130" i="4"/>
  <c r="E130" i="4"/>
  <c r="D130" i="4"/>
  <c r="C130" i="4"/>
  <c r="B130" i="4"/>
  <c r="A130" i="4"/>
  <c r="AC129" i="4"/>
  <c r="AB129" i="4"/>
  <c r="AA129" i="4"/>
  <c r="Z129" i="4"/>
  <c r="Y129" i="4"/>
  <c r="X129" i="4"/>
  <c r="W129" i="4"/>
  <c r="V129" i="4"/>
  <c r="T129" i="4"/>
  <c r="U129" i="4" s="1"/>
  <c r="R129" i="4"/>
  <c r="S129" i="4" s="1"/>
  <c r="P129" i="4"/>
  <c r="Q129" i="4" s="1"/>
  <c r="O129" i="4"/>
  <c r="N129" i="4"/>
  <c r="M129" i="4"/>
  <c r="K129" i="4"/>
  <c r="L129" i="4" s="1"/>
  <c r="J129" i="4"/>
  <c r="H129" i="4"/>
  <c r="I129" i="4" s="1"/>
  <c r="G129" i="4"/>
  <c r="F129" i="4"/>
  <c r="E129" i="4"/>
  <c r="D129" i="4"/>
  <c r="C129" i="4"/>
  <c r="B129" i="4"/>
  <c r="A129" i="4"/>
  <c r="AD129" i="4" s="1"/>
  <c r="AE129" i="4" s="1"/>
  <c r="AC128" i="4"/>
  <c r="AB128" i="4"/>
  <c r="AA128" i="4"/>
  <c r="Z128" i="4"/>
  <c r="Y128" i="4"/>
  <c r="X128" i="4"/>
  <c r="W128" i="4"/>
  <c r="V128" i="4"/>
  <c r="T128" i="4"/>
  <c r="U128" i="4" s="1"/>
  <c r="R128" i="4"/>
  <c r="S128" i="4" s="1"/>
  <c r="P128" i="4"/>
  <c r="Q128" i="4" s="1"/>
  <c r="O128" i="4"/>
  <c r="N128" i="4"/>
  <c r="M128" i="4"/>
  <c r="K128" i="4"/>
  <c r="L128" i="4" s="1"/>
  <c r="J128" i="4"/>
  <c r="H128" i="4"/>
  <c r="I128" i="4" s="1"/>
  <c r="G128" i="4"/>
  <c r="F128" i="4"/>
  <c r="E128" i="4"/>
  <c r="D128" i="4"/>
  <c r="C128" i="4"/>
  <c r="B128" i="4"/>
  <c r="A128" i="4"/>
  <c r="AD128" i="4" s="1"/>
  <c r="AE128" i="4" s="1"/>
  <c r="AC127" i="4"/>
  <c r="AB127" i="4"/>
  <c r="AA127" i="4"/>
  <c r="Z127" i="4"/>
  <c r="Y127" i="4"/>
  <c r="X127" i="4"/>
  <c r="W127" i="4"/>
  <c r="V127" i="4"/>
  <c r="T127" i="4"/>
  <c r="U127" i="4" s="1"/>
  <c r="R127" i="4"/>
  <c r="S127" i="4" s="1"/>
  <c r="P127" i="4"/>
  <c r="Q127" i="4" s="1"/>
  <c r="N127" i="4"/>
  <c r="O127" i="4" s="1"/>
  <c r="M127" i="4"/>
  <c r="K127" i="4"/>
  <c r="L127" i="4" s="1"/>
  <c r="J127" i="4"/>
  <c r="H127" i="4"/>
  <c r="I127" i="4" s="1"/>
  <c r="G127" i="4"/>
  <c r="F127" i="4"/>
  <c r="E127" i="4"/>
  <c r="D127" i="4"/>
  <c r="C127" i="4"/>
  <c r="B127" i="4"/>
  <c r="A127" i="4"/>
  <c r="AC126" i="4"/>
  <c r="AB126" i="4"/>
  <c r="AA126" i="4"/>
  <c r="Z126" i="4"/>
  <c r="Y126" i="4"/>
  <c r="X126" i="4"/>
  <c r="W126" i="4"/>
  <c r="V126" i="4"/>
  <c r="T126" i="4"/>
  <c r="U126" i="4" s="1"/>
  <c r="R126" i="4"/>
  <c r="S126" i="4" s="1"/>
  <c r="P126" i="4"/>
  <c r="Q126" i="4" s="1"/>
  <c r="N126" i="4"/>
  <c r="O126" i="4" s="1"/>
  <c r="M126" i="4"/>
  <c r="K126" i="4"/>
  <c r="L126" i="4" s="1"/>
  <c r="J126" i="4"/>
  <c r="H126" i="4"/>
  <c r="I126" i="4" s="1"/>
  <c r="G126" i="4"/>
  <c r="F126" i="4"/>
  <c r="E126" i="4"/>
  <c r="D126" i="4"/>
  <c r="C126" i="4"/>
  <c r="B126" i="4"/>
  <c r="A126" i="4"/>
  <c r="AC125" i="4"/>
  <c r="AB125" i="4"/>
  <c r="AA125" i="4"/>
  <c r="Z125" i="4"/>
  <c r="Y125" i="4"/>
  <c r="X125" i="4"/>
  <c r="W125" i="4"/>
  <c r="V125" i="4"/>
  <c r="T125" i="4"/>
  <c r="U125" i="4" s="1"/>
  <c r="R125" i="4"/>
  <c r="S125" i="4" s="1"/>
  <c r="P125" i="4"/>
  <c r="Q125" i="4" s="1"/>
  <c r="N125" i="4"/>
  <c r="O125" i="4" s="1"/>
  <c r="M125" i="4"/>
  <c r="K125" i="4"/>
  <c r="L125" i="4" s="1"/>
  <c r="J125" i="4"/>
  <c r="H125" i="4"/>
  <c r="I125" i="4" s="1"/>
  <c r="G125" i="4"/>
  <c r="F125" i="4"/>
  <c r="E125" i="4"/>
  <c r="D125" i="4"/>
  <c r="C125" i="4"/>
  <c r="B125" i="4"/>
  <c r="A125" i="4"/>
  <c r="AG125" i="4" s="1"/>
  <c r="AC124" i="4"/>
  <c r="AB124" i="4"/>
  <c r="AA124" i="4"/>
  <c r="Z124" i="4"/>
  <c r="Y124" i="4"/>
  <c r="X124" i="4"/>
  <c r="W124" i="4"/>
  <c r="V124" i="4"/>
  <c r="T124" i="4"/>
  <c r="U124" i="4" s="1"/>
  <c r="R124" i="4"/>
  <c r="S124" i="4" s="1"/>
  <c r="P124" i="4"/>
  <c r="Q124" i="4" s="1"/>
  <c r="N124" i="4"/>
  <c r="O124" i="4" s="1"/>
  <c r="M124" i="4"/>
  <c r="K124" i="4"/>
  <c r="L124" i="4" s="1"/>
  <c r="J124" i="4"/>
  <c r="H124" i="4"/>
  <c r="I124" i="4" s="1"/>
  <c r="G124" i="4"/>
  <c r="F124" i="4"/>
  <c r="E124" i="4"/>
  <c r="D124" i="4"/>
  <c r="C124" i="4"/>
  <c r="B124" i="4"/>
  <c r="A124" i="4"/>
  <c r="AF124" i="4" s="1"/>
  <c r="AC123" i="4"/>
  <c r="AB123" i="4"/>
  <c r="AA123" i="4"/>
  <c r="Z123" i="4"/>
  <c r="Y123" i="4"/>
  <c r="X123" i="4"/>
  <c r="W123" i="4"/>
  <c r="V123" i="4"/>
  <c r="T123" i="4"/>
  <c r="U123" i="4" s="1"/>
  <c r="R123" i="4"/>
  <c r="S123" i="4" s="1"/>
  <c r="P123" i="4"/>
  <c r="Q123" i="4" s="1"/>
  <c r="N123" i="4"/>
  <c r="O123" i="4" s="1"/>
  <c r="M123" i="4"/>
  <c r="K123" i="4"/>
  <c r="L123" i="4" s="1"/>
  <c r="J123" i="4"/>
  <c r="H123" i="4"/>
  <c r="I123" i="4" s="1"/>
  <c r="G123" i="4"/>
  <c r="F123" i="4"/>
  <c r="E123" i="4"/>
  <c r="D123" i="4"/>
  <c r="C123" i="4"/>
  <c r="B123" i="4"/>
  <c r="A123" i="4"/>
  <c r="AF123" i="4" s="1"/>
  <c r="AC122" i="4"/>
  <c r="AB122" i="4"/>
  <c r="AA122" i="4"/>
  <c r="Z122" i="4"/>
  <c r="Y122" i="4"/>
  <c r="X122" i="4"/>
  <c r="W122" i="4"/>
  <c r="V122" i="4"/>
  <c r="T122" i="4"/>
  <c r="U122" i="4" s="1"/>
  <c r="R122" i="4"/>
  <c r="S122" i="4" s="1"/>
  <c r="P122" i="4"/>
  <c r="Q122" i="4" s="1"/>
  <c r="N122" i="4"/>
  <c r="O122" i="4" s="1"/>
  <c r="M122" i="4"/>
  <c r="K122" i="4"/>
  <c r="L122" i="4" s="1"/>
  <c r="J122" i="4"/>
  <c r="H122" i="4"/>
  <c r="I122" i="4" s="1"/>
  <c r="G122" i="4"/>
  <c r="F122" i="4"/>
  <c r="E122" i="4"/>
  <c r="D122" i="4"/>
  <c r="C122" i="4"/>
  <c r="B122" i="4"/>
  <c r="A122" i="4"/>
  <c r="AG122" i="4" s="1"/>
  <c r="AC121" i="4"/>
  <c r="AB121" i="4"/>
  <c r="AA121" i="4"/>
  <c r="Z121" i="4"/>
  <c r="Y121" i="4"/>
  <c r="X121" i="4"/>
  <c r="W121" i="4"/>
  <c r="V121" i="4"/>
  <c r="T121" i="4"/>
  <c r="U121" i="4" s="1"/>
  <c r="R121" i="4"/>
  <c r="S121" i="4" s="1"/>
  <c r="P121" i="4"/>
  <c r="Q121" i="4" s="1"/>
  <c r="N121" i="4"/>
  <c r="O121" i="4" s="1"/>
  <c r="M121" i="4"/>
  <c r="K121" i="4"/>
  <c r="L121" i="4" s="1"/>
  <c r="J121" i="4"/>
  <c r="H121" i="4"/>
  <c r="I121" i="4" s="1"/>
  <c r="G121" i="4"/>
  <c r="F121" i="4"/>
  <c r="E121" i="4"/>
  <c r="D121" i="4"/>
  <c r="C121" i="4"/>
  <c r="B121" i="4"/>
  <c r="A121" i="4"/>
  <c r="AG120" i="4"/>
  <c r="AC120" i="4"/>
  <c r="AB120" i="4"/>
  <c r="AA120" i="4"/>
  <c r="Z120" i="4"/>
  <c r="Y120" i="4"/>
  <c r="X120" i="4"/>
  <c r="W120" i="4"/>
  <c r="V120" i="4"/>
  <c r="T120" i="4"/>
  <c r="U120" i="4" s="1"/>
  <c r="R120" i="4"/>
  <c r="S120" i="4" s="1"/>
  <c r="P120" i="4"/>
  <c r="Q120" i="4" s="1"/>
  <c r="N120" i="4"/>
  <c r="O120" i="4" s="1"/>
  <c r="M120" i="4"/>
  <c r="K120" i="4"/>
  <c r="L120" i="4" s="1"/>
  <c r="J120" i="4"/>
  <c r="H120" i="4"/>
  <c r="I120" i="4" s="1"/>
  <c r="G120" i="4"/>
  <c r="F120" i="4"/>
  <c r="E120" i="4"/>
  <c r="D120" i="4"/>
  <c r="C120" i="4"/>
  <c r="B120" i="4"/>
  <c r="A120" i="4"/>
  <c r="AD120" i="4" s="1"/>
  <c r="AE120" i="4" s="1"/>
  <c r="AD119" i="4"/>
  <c r="AE119" i="4" s="1"/>
  <c r="AC119" i="4"/>
  <c r="AB119" i="4"/>
  <c r="AA119" i="4"/>
  <c r="Z119" i="4"/>
  <c r="Y119" i="4"/>
  <c r="X119" i="4"/>
  <c r="W119" i="4"/>
  <c r="V119" i="4"/>
  <c r="T119" i="4"/>
  <c r="U119" i="4" s="1"/>
  <c r="R119" i="4"/>
  <c r="S119" i="4" s="1"/>
  <c r="P119" i="4"/>
  <c r="Q119" i="4" s="1"/>
  <c r="N119" i="4"/>
  <c r="O119" i="4" s="1"/>
  <c r="M119" i="4"/>
  <c r="K119" i="4"/>
  <c r="L119" i="4" s="1"/>
  <c r="J119" i="4"/>
  <c r="H119" i="4"/>
  <c r="I119" i="4" s="1"/>
  <c r="G119" i="4"/>
  <c r="F119" i="4"/>
  <c r="E119" i="4"/>
  <c r="D119" i="4"/>
  <c r="C119" i="4"/>
  <c r="B119" i="4"/>
  <c r="A119" i="4"/>
  <c r="AG119" i="4" s="1"/>
  <c r="AC118" i="4"/>
  <c r="AB118" i="4"/>
  <c r="AA118" i="4"/>
  <c r="Z118" i="4"/>
  <c r="Y118" i="4"/>
  <c r="X118" i="4"/>
  <c r="W118" i="4"/>
  <c r="V118" i="4"/>
  <c r="T118" i="4"/>
  <c r="U118" i="4" s="1"/>
  <c r="R118" i="4"/>
  <c r="S118" i="4" s="1"/>
  <c r="P118" i="4"/>
  <c r="Q118" i="4" s="1"/>
  <c r="N118" i="4"/>
  <c r="O118" i="4" s="1"/>
  <c r="M118" i="4"/>
  <c r="K118" i="4"/>
  <c r="L118" i="4" s="1"/>
  <c r="J118" i="4"/>
  <c r="H118" i="4"/>
  <c r="I118" i="4" s="1"/>
  <c r="G118" i="4"/>
  <c r="F118" i="4"/>
  <c r="E118" i="4"/>
  <c r="D118" i="4"/>
  <c r="C118" i="4"/>
  <c r="B118" i="4"/>
  <c r="A118" i="4"/>
  <c r="AF118" i="4" s="1"/>
  <c r="AC117" i="4"/>
  <c r="AB117" i="4"/>
  <c r="AA117" i="4"/>
  <c r="Z117" i="4"/>
  <c r="Y117" i="4"/>
  <c r="X117" i="4"/>
  <c r="W117" i="4"/>
  <c r="V117" i="4"/>
  <c r="T117" i="4"/>
  <c r="U117" i="4" s="1"/>
  <c r="R117" i="4"/>
  <c r="S117" i="4" s="1"/>
  <c r="P117" i="4"/>
  <c r="Q117" i="4" s="1"/>
  <c r="N117" i="4"/>
  <c r="O117" i="4" s="1"/>
  <c r="M117" i="4"/>
  <c r="K117" i="4"/>
  <c r="L117" i="4" s="1"/>
  <c r="J117" i="4"/>
  <c r="H117" i="4"/>
  <c r="I117" i="4" s="1"/>
  <c r="G117" i="4"/>
  <c r="F117" i="4"/>
  <c r="E117" i="4"/>
  <c r="D117" i="4"/>
  <c r="C117" i="4"/>
  <c r="B117" i="4"/>
  <c r="A117" i="4"/>
  <c r="AC116" i="4"/>
  <c r="AB116" i="4"/>
  <c r="AA116" i="4"/>
  <c r="Z116" i="4"/>
  <c r="Y116" i="4"/>
  <c r="X116" i="4"/>
  <c r="W116" i="4"/>
  <c r="V116" i="4"/>
  <c r="T116" i="4"/>
  <c r="U116" i="4" s="1"/>
  <c r="R116" i="4"/>
  <c r="S116" i="4" s="1"/>
  <c r="P116" i="4"/>
  <c r="Q116" i="4" s="1"/>
  <c r="N116" i="4"/>
  <c r="O116" i="4" s="1"/>
  <c r="M116" i="4"/>
  <c r="K116" i="4"/>
  <c r="L116" i="4" s="1"/>
  <c r="J116" i="4"/>
  <c r="H116" i="4"/>
  <c r="I116" i="4" s="1"/>
  <c r="G116" i="4"/>
  <c r="F116" i="4"/>
  <c r="E116" i="4"/>
  <c r="D116" i="4"/>
  <c r="C116" i="4"/>
  <c r="B116" i="4"/>
  <c r="A116" i="4"/>
  <c r="AF116" i="4" s="1"/>
  <c r="AC115" i="4"/>
  <c r="AB115" i="4"/>
  <c r="AA115" i="4"/>
  <c r="Z115" i="4"/>
  <c r="Y115" i="4"/>
  <c r="X115" i="4"/>
  <c r="W115" i="4"/>
  <c r="V115" i="4"/>
  <c r="T115" i="4"/>
  <c r="U115" i="4" s="1"/>
  <c r="R115" i="4"/>
  <c r="S115" i="4" s="1"/>
  <c r="P115" i="4"/>
  <c r="Q115" i="4" s="1"/>
  <c r="N115" i="4"/>
  <c r="O115" i="4" s="1"/>
  <c r="M115" i="4"/>
  <c r="K115" i="4"/>
  <c r="L115" i="4" s="1"/>
  <c r="J115" i="4"/>
  <c r="H115" i="4"/>
  <c r="I115" i="4" s="1"/>
  <c r="G115" i="4"/>
  <c r="F115" i="4"/>
  <c r="E115" i="4"/>
  <c r="D115" i="4"/>
  <c r="C115" i="4"/>
  <c r="B115" i="4"/>
  <c r="A115" i="4"/>
  <c r="AF115" i="4" s="1"/>
  <c r="AC114" i="4"/>
  <c r="AB114" i="4"/>
  <c r="AA114" i="4"/>
  <c r="Z114" i="4"/>
  <c r="Y114" i="4"/>
  <c r="X114" i="4"/>
  <c r="W114" i="4"/>
  <c r="V114" i="4"/>
  <c r="T114" i="4"/>
  <c r="U114" i="4" s="1"/>
  <c r="R114" i="4"/>
  <c r="S114" i="4" s="1"/>
  <c r="P114" i="4"/>
  <c r="Q114" i="4" s="1"/>
  <c r="N114" i="4"/>
  <c r="O114" i="4" s="1"/>
  <c r="M114" i="4"/>
  <c r="K114" i="4"/>
  <c r="L114" i="4" s="1"/>
  <c r="J114" i="4"/>
  <c r="H114" i="4"/>
  <c r="I114" i="4" s="1"/>
  <c r="G114" i="4"/>
  <c r="F114" i="4"/>
  <c r="E114" i="4"/>
  <c r="D114" i="4"/>
  <c r="C114" i="4"/>
  <c r="B114" i="4"/>
  <c r="A114" i="4"/>
  <c r="AG114" i="4" s="1"/>
  <c r="AC113" i="4"/>
  <c r="AB113" i="4"/>
  <c r="AA113" i="4"/>
  <c r="Z113" i="4"/>
  <c r="Y113" i="4"/>
  <c r="X113" i="4"/>
  <c r="W113" i="4"/>
  <c r="V113" i="4"/>
  <c r="T113" i="4"/>
  <c r="U113" i="4" s="1"/>
  <c r="R113" i="4"/>
  <c r="S113" i="4" s="1"/>
  <c r="P113" i="4"/>
  <c r="Q113" i="4" s="1"/>
  <c r="N113" i="4"/>
  <c r="O113" i="4" s="1"/>
  <c r="M113" i="4"/>
  <c r="K113" i="4"/>
  <c r="L113" i="4" s="1"/>
  <c r="J113" i="4"/>
  <c r="H113" i="4"/>
  <c r="I113" i="4" s="1"/>
  <c r="G113" i="4"/>
  <c r="F113" i="4"/>
  <c r="E113" i="4"/>
  <c r="D113" i="4"/>
  <c r="C113" i="4"/>
  <c r="B113" i="4"/>
  <c r="A113" i="4"/>
  <c r="AC112" i="4"/>
  <c r="AB112" i="4"/>
  <c r="AA112" i="4"/>
  <c r="Z112" i="4"/>
  <c r="Y112" i="4"/>
  <c r="X112" i="4"/>
  <c r="W112" i="4"/>
  <c r="V112" i="4"/>
  <c r="T112" i="4"/>
  <c r="U112" i="4" s="1"/>
  <c r="R112" i="4"/>
  <c r="S112" i="4" s="1"/>
  <c r="P112" i="4"/>
  <c r="Q112" i="4" s="1"/>
  <c r="N112" i="4"/>
  <c r="O112" i="4" s="1"/>
  <c r="M112" i="4"/>
  <c r="K112" i="4"/>
  <c r="L112" i="4" s="1"/>
  <c r="J112" i="4"/>
  <c r="H112" i="4"/>
  <c r="I112" i="4" s="1"/>
  <c r="G112" i="4"/>
  <c r="F112" i="4"/>
  <c r="E112" i="4"/>
  <c r="D112" i="4"/>
  <c r="C112" i="4"/>
  <c r="B112" i="4"/>
  <c r="A112" i="4"/>
  <c r="AD112" i="4" s="1"/>
  <c r="AE112" i="4" s="1"/>
  <c r="AC111" i="4"/>
  <c r="AB111" i="4"/>
  <c r="AA111" i="4"/>
  <c r="Z111" i="4"/>
  <c r="Y111" i="4"/>
  <c r="X111" i="4"/>
  <c r="W111" i="4"/>
  <c r="V111" i="4"/>
  <c r="T111" i="4"/>
  <c r="U111" i="4" s="1"/>
  <c r="R111" i="4"/>
  <c r="S111" i="4" s="1"/>
  <c r="P111" i="4"/>
  <c r="Q111" i="4" s="1"/>
  <c r="N111" i="4"/>
  <c r="O111" i="4" s="1"/>
  <c r="M111" i="4"/>
  <c r="K111" i="4"/>
  <c r="L111" i="4" s="1"/>
  <c r="J111" i="4"/>
  <c r="H111" i="4"/>
  <c r="I111" i="4" s="1"/>
  <c r="G111" i="4"/>
  <c r="F111" i="4"/>
  <c r="E111" i="4"/>
  <c r="D111" i="4"/>
  <c r="C111" i="4"/>
  <c r="B111" i="4"/>
  <c r="A111" i="4"/>
  <c r="AG111" i="4" s="1"/>
  <c r="AC110" i="4"/>
  <c r="AB110" i="4"/>
  <c r="AA110" i="4"/>
  <c r="Z110" i="4"/>
  <c r="Y110" i="4"/>
  <c r="X110" i="4"/>
  <c r="W110" i="4"/>
  <c r="V110" i="4"/>
  <c r="T110" i="4"/>
  <c r="U110" i="4" s="1"/>
  <c r="R110" i="4"/>
  <c r="S110" i="4" s="1"/>
  <c r="P110" i="4"/>
  <c r="Q110" i="4" s="1"/>
  <c r="N110" i="4"/>
  <c r="O110" i="4" s="1"/>
  <c r="M110" i="4"/>
  <c r="K110" i="4"/>
  <c r="L110" i="4" s="1"/>
  <c r="J110" i="4"/>
  <c r="H110" i="4"/>
  <c r="I110" i="4" s="1"/>
  <c r="G110" i="4"/>
  <c r="F110" i="4"/>
  <c r="E110" i="4"/>
  <c r="D110" i="4"/>
  <c r="C110" i="4"/>
  <c r="B110" i="4"/>
  <c r="A110" i="4"/>
  <c r="AF110" i="4" s="1"/>
  <c r="AC109" i="4"/>
  <c r="AB109" i="4"/>
  <c r="AA109" i="4"/>
  <c r="Z109" i="4"/>
  <c r="Y109" i="4"/>
  <c r="X109" i="4"/>
  <c r="W109" i="4"/>
  <c r="V109" i="4"/>
  <c r="T109" i="4"/>
  <c r="U109" i="4" s="1"/>
  <c r="R109" i="4"/>
  <c r="S109" i="4" s="1"/>
  <c r="P109" i="4"/>
  <c r="Q109" i="4" s="1"/>
  <c r="N109" i="4"/>
  <c r="O109" i="4" s="1"/>
  <c r="M109" i="4"/>
  <c r="K109" i="4"/>
  <c r="L109" i="4" s="1"/>
  <c r="J109" i="4"/>
  <c r="H109" i="4"/>
  <c r="I109" i="4" s="1"/>
  <c r="G109" i="4"/>
  <c r="F109" i="4"/>
  <c r="E109" i="4"/>
  <c r="D109" i="4"/>
  <c r="C109" i="4"/>
  <c r="B109" i="4"/>
  <c r="A109" i="4"/>
  <c r="AF109" i="4" s="1"/>
  <c r="AC108" i="4"/>
  <c r="AB108" i="4"/>
  <c r="AA108" i="4"/>
  <c r="Z108" i="4"/>
  <c r="Y108" i="4"/>
  <c r="X108" i="4"/>
  <c r="W108" i="4"/>
  <c r="V108" i="4"/>
  <c r="T108" i="4"/>
  <c r="U108" i="4" s="1"/>
  <c r="R108" i="4"/>
  <c r="S108" i="4" s="1"/>
  <c r="Q108" i="4"/>
  <c r="P108" i="4"/>
  <c r="N108" i="4"/>
  <c r="O108" i="4" s="1"/>
  <c r="M108" i="4"/>
  <c r="K108" i="4"/>
  <c r="L108" i="4" s="1"/>
  <c r="J108" i="4"/>
  <c r="H108" i="4"/>
  <c r="I108" i="4" s="1"/>
  <c r="G108" i="4"/>
  <c r="F108" i="4"/>
  <c r="E108" i="4"/>
  <c r="D108" i="4"/>
  <c r="C108" i="4"/>
  <c r="B108" i="4"/>
  <c r="A108" i="4"/>
  <c r="AG108" i="4" s="1"/>
  <c r="AC107" i="4"/>
  <c r="AB107" i="4"/>
  <c r="AA107" i="4"/>
  <c r="Z107" i="4"/>
  <c r="Y107" i="4"/>
  <c r="X107" i="4"/>
  <c r="W107" i="4"/>
  <c r="V107" i="4"/>
  <c r="T107" i="4"/>
  <c r="U107" i="4" s="1"/>
  <c r="R107" i="4"/>
  <c r="S107" i="4" s="1"/>
  <c r="P107" i="4"/>
  <c r="Q107" i="4" s="1"/>
  <c r="N107" i="4"/>
  <c r="O107" i="4" s="1"/>
  <c r="M107" i="4"/>
  <c r="K107" i="4"/>
  <c r="L107" i="4" s="1"/>
  <c r="J107" i="4"/>
  <c r="H107" i="4"/>
  <c r="I107" i="4" s="1"/>
  <c r="G107" i="4"/>
  <c r="F107" i="4"/>
  <c r="E107" i="4"/>
  <c r="D107" i="4"/>
  <c r="C107" i="4"/>
  <c r="B107" i="4"/>
  <c r="A107" i="4"/>
  <c r="AG107" i="4" s="1"/>
  <c r="AC106" i="4"/>
  <c r="AB106" i="4"/>
  <c r="AA106" i="4"/>
  <c r="Z106" i="4"/>
  <c r="Y106" i="4"/>
  <c r="X106" i="4"/>
  <c r="W106" i="4"/>
  <c r="V106" i="4"/>
  <c r="T106" i="4"/>
  <c r="U106" i="4" s="1"/>
  <c r="R106" i="4"/>
  <c r="S106" i="4" s="1"/>
  <c r="P106" i="4"/>
  <c r="Q106" i="4" s="1"/>
  <c r="N106" i="4"/>
  <c r="O106" i="4" s="1"/>
  <c r="M106" i="4"/>
  <c r="K106" i="4"/>
  <c r="L106" i="4" s="1"/>
  <c r="J106" i="4"/>
  <c r="H106" i="4"/>
  <c r="I106" i="4" s="1"/>
  <c r="G106" i="4"/>
  <c r="F106" i="4"/>
  <c r="E106" i="4"/>
  <c r="D106" i="4"/>
  <c r="C106" i="4"/>
  <c r="B106" i="4"/>
  <c r="A106" i="4"/>
  <c r="AG106" i="4" s="1"/>
  <c r="AC105" i="4"/>
  <c r="AB105" i="4"/>
  <c r="AA105" i="4"/>
  <c r="Z105" i="4"/>
  <c r="Y105" i="4"/>
  <c r="X105" i="4"/>
  <c r="W105" i="4"/>
  <c r="V105" i="4"/>
  <c r="T105" i="4"/>
  <c r="U105" i="4" s="1"/>
  <c r="R105" i="4"/>
  <c r="S105" i="4" s="1"/>
  <c r="P105" i="4"/>
  <c r="Q105" i="4" s="1"/>
  <c r="N105" i="4"/>
  <c r="O105" i="4" s="1"/>
  <c r="M105" i="4"/>
  <c r="K105" i="4"/>
  <c r="L105" i="4" s="1"/>
  <c r="J105" i="4"/>
  <c r="H105" i="4"/>
  <c r="I105" i="4" s="1"/>
  <c r="G105" i="4"/>
  <c r="F105" i="4"/>
  <c r="E105" i="4"/>
  <c r="D105" i="4"/>
  <c r="C105" i="4"/>
  <c r="B105" i="4"/>
  <c r="A105" i="4"/>
  <c r="AD105" i="4" s="1"/>
  <c r="AE105" i="4" s="1"/>
  <c r="AC104" i="4"/>
  <c r="AB104" i="4"/>
  <c r="AA104" i="4"/>
  <c r="Z104" i="4"/>
  <c r="Y104" i="4"/>
  <c r="X104" i="4"/>
  <c r="W104" i="4"/>
  <c r="V104" i="4"/>
  <c r="T104" i="4"/>
  <c r="U104" i="4" s="1"/>
  <c r="R104" i="4"/>
  <c r="S104" i="4" s="1"/>
  <c r="P104" i="4"/>
  <c r="Q104" i="4" s="1"/>
  <c r="N104" i="4"/>
  <c r="O104" i="4" s="1"/>
  <c r="M104" i="4"/>
  <c r="K104" i="4"/>
  <c r="L104" i="4" s="1"/>
  <c r="J104" i="4"/>
  <c r="H104" i="4"/>
  <c r="I104" i="4" s="1"/>
  <c r="G104" i="4"/>
  <c r="F104" i="4"/>
  <c r="E104" i="4"/>
  <c r="D104" i="4"/>
  <c r="C104" i="4"/>
  <c r="B104" i="4"/>
  <c r="A104" i="4"/>
  <c r="AG104" i="4" s="1"/>
  <c r="AC103" i="4"/>
  <c r="AB103" i="4"/>
  <c r="AA103" i="4"/>
  <c r="Z103" i="4"/>
  <c r="Y103" i="4"/>
  <c r="X103" i="4"/>
  <c r="W103" i="4"/>
  <c r="V103" i="4"/>
  <c r="T103" i="4"/>
  <c r="U103" i="4" s="1"/>
  <c r="R103" i="4"/>
  <c r="S103" i="4" s="1"/>
  <c r="P103" i="4"/>
  <c r="Q103" i="4" s="1"/>
  <c r="N103" i="4"/>
  <c r="O103" i="4" s="1"/>
  <c r="M103" i="4"/>
  <c r="K103" i="4"/>
  <c r="L103" i="4" s="1"/>
  <c r="J103" i="4"/>
  <c r="H103" i="4"/>
  <c r="I103" i="4" s="1"/>
  <c r="G103" i="4"/>
  <c r="F103" i="4"/>
  <c r="E103" i="4"/>
  <c r="D103" i="4"/>
  <c r="C103" i="4"/>
  <c r="B103" i="4"/>
  <c r="A103" i="4"/>
  <c r="AG103" i="4" s="1"/>
  <c r="AC102" i="4"/>
  <c r="AB102" i="4"/>
  <c r="AA102" i="4"/>
  <c r="Z102" i="4"/>
  <c r="Y102" i="4"/>
  <c r="X102" i="4"/>
  <c r="W102" i="4"/>
  <c r="V102" i="4"/>
  <c r="T102" i="4"/>
  <c r="U102" i="4" s="1"/>
  <c r="R102" i="4"/>
  <c r="S102" i="4" s="1"/>
  <c r="P102" i="4"/>
  <c r="Q102" i="4" s="1"/>
  <c r="N102" i="4"/>
  <c r="O102" i="4" s="1"/>
  <c r="M102" i="4"/>
  <c r="K102" i="4"/>
  <c r="L102" i="4" s="1"/>
  <c r="J102" i="4"/>
  <c r="H102" i="4"/>
  <c r="I102" i="4" s="1"/>
  <c r="G102" i="4"/>
  <c r="F102" i="4"/>
  <c r="E102" i="4"/>
  <c r="D102" i="4"/>
  <c r="C102" i="4"/>
  <c r="B102" i="4"/>
  <c r="A102" i="4"/>
  <c r="AD102" i="4" s="1"/>
  <c r="AE102" i="4" s="1"/>
  <c r="AC101" i="4"/>
  <c r="AB101" i="4"/>
  <c r="AA101" i="4"/>
  <c r="Z101" i="4"/>
  <c r="Y101" i="4"/>
  <c r="X101" i="4"/>
  <c r="W101" i="4"/>
  <c r="V101" i="4"/>
  <c r="T101" i="4"/>
  <c r="U101" i="4" s="1"/>
  <c r="R101" i="4"/>
  <c r="S101" i="4" s="1"/>
  <c r="P101" i="4"/>
  <c r="Q101" i="4" s="1"/>
  <c r="N101" i="4"/>
  <c r="O101" i="4" s="1"/>
  <c r="M101" i="4"/>
  <c r="K101" i="4"/>
  <c r="L101" i="4" s="1"/>
  <c r="J101" i="4"/>
  <c r="H101" i="4"/>
  <c r="I101" i="4" s="1"/>
  <c r="G101" i="4"/>
  <c r="F101" i="4"/>
  <c r="E101" i="4"/>
  <c r="D101" i="4"/>
  <c r="C101" i="4"/>
  <c r="B101" i="4"/>
  <c r="A101" i="4"/>
  <c r="AG101" i="4" s="1"/>
  <c r="AC100" i="4"/>
  <c r="AB100" i="4"/>
  <c r="AA100" i="4"/>
  <c r="Z100" i="4"/>
  <c r="Y100" i="4"/>
  <c r="X100" i="4"/>
  <c r="W100" i="4"/>
  <c r="V100" i="4"/>
  <c r="U100" i="4"/>
  <c r="T100" i="4"/>
  <c r="R100" i="4"/>
  <c r="S100" i="4" s="1"/>
  <c r="Q100" i="4"/>
  <c r="P100" i="4"/>
  <c r="N100" i="4"/>
  <c r="O100" i="4" s="1"/>
  <c r="M100" i="4"/>
  <c r="K100" i="4"/>
  <c r="L100" i="4" s="1"/>
  <c r="J100" i="4"/>
  <c r="H100" i="4"/>
  <c r="I100" i="4" s="1"/>
  <c r="G100" i="4"/>
  <c r="F100" i="4"/>
  <c r="E100" i="4"/>
  <c r="D100" i="4"/>
  <c r="C100" i="4"/>
  <c r="B100" i="4"/>
  <c r="A100" i="4"/>
  <c r="AG100" i="4" s="1"/>
  <c r="AC99" i="4"/>
  <c r="AB99" i="4"/>
  <c r="AA99" i="4"/>
  <c r="Z99" i="4"/>
  <c r="Y99" i="4"/>
  <c r="X99" i="4"/>
  <c r="W99" i="4"/>
  <c r="V99" i="4"/>
  <c r="T99" i="4"/>
  <c r="U99" i="4" s="1"/>
  <c r="R99" i="4"/>
  <c r="S99" i="4" s="1"/>
  <c r="P99" i="4"/>
  <c r="Q99" i="4" s="1"/>
  <c r="N99" i="4"/>
  <c r="O99" i="4" s="1"/>
  <c r="M99" i="4"/>
  <c r="K99" i="4"/>
  <c r="L99" i="4" s="1"/>
  <c r="J99" i="4"/>
  <c r="H99" i="4"/>
  <c r="I99" i="4" s="1"/>
  <c r="G99" i="4"/>
  <c r="F99" i="4"/>
  <c r="E99" i="4"/>
  <c r="D99" i="4"/>
  <c r="C99" i="4"/>
  <c r="B99" i="4"/>
  <c r="A99" i="4"/>
  <c r="AG99" i="4" s="1"/>
  <c r="AC98" i="4"/>
  <c r="AB98" i="4"/>
  <c r="AA98" i="4"/>
  <c r="Z98" i="4"/>
  <c r="Y98" i="4"/>
  <c r="X98" i="4"/>
  <c r="W98" i="4"/>
  <c r="V98" i="4"/>
  <c r="T98" i="4"/>
  <c r="U98" i="4" s="1"/>
  <c r="R98" i="4"/>
  <c r="S98" i="4" s="1"/>
  <c r="P98" i="4"/>
  <c r="Q98" i="4" s="1"/>
  <c r="N98" i="4"/>
  <c r="O98" i="4" s="1"/>
  <c r="M98" i="4"/>
  <c r="K98" i="4"/>
  <c r="L98" i="4" s="1"/>
  <c r="J98" i="4"/>
  <c r="H98" i="4"/>
  <c r="I98" i="4" s="1"/>
  <c r="G98" i="4"/>
  <c r="F98" i="4"/>
  <c r="E98" i="4"/>
  <c r="D98" i="4"/>
  <c r="C98" i="4"/>
  <c r="B98" i="4"/>
  <c r="A98" i="4"/>
  <c r="AG98" i="4" s="1"/>
  <c r="AC97" i="4"/>
  <c r="AB97" i="4"/>
  <c r="AA97" i="4"/>
  <c r="Z97" i="4"/>
  <c r="Y97" i="4"/>
  <c r="X97" i="4"/>
  <c r="W97" i="4"/>
  <c r="V97" i="4"/>
  <c r="T97" i="4"/>
  <c r="U97" i="4" s="1"/>
  <c r="R97" i="4"/>
  <c r="S97" i="4" s="1"/>
  <c r="P97" i="4"/>
  <c r="Q97" i="4" s="1"/>
  <c r="N97" i="4"/>
  <c r="O97" i="4" s="1"/>
  <c r="M97" i="4"/>
  <c r="K97" i="4"/>
  <c r="L97" i="4" s="1"/>
  <c r="J97" i="4"/>
  <c r="H97" i="4"/>
  <c r="I97" i="4" s="1"/>
  <c r="G97" i="4"/>
  <c r="F97" i="4"/>
  <c r="E97" i="4"/>
  <c r="D97" i="4"/>
  <c r="C97" i="4"/>
  <c r="B97" i="4"/>
  <c r="A97" i="4"/>
  <c r="AD97" i="4" s="1"/>
  <c r="AE97" i="4" s="1"/>
  <c r="AC96" i="4"/>
  <c r="AB96" i="4"/>
  <c r="AA96" i="4"/>
  <c r="Z96" i="4"/>
  <c r="Y96" i="4"/>
  <c r="X96" i="4"/>
  <c r="W96" i="4"/>
  <c r="V96" i="4"/>
  <c r="T96" i="4"/>
  <c r="U96" i="4" s="1"/>
  <c r="R96" i="4"/>
  <c r="S96" i="4" s="1"/>
  <c r="Q96" i="4"/>
  <c r="P96" i="4"/>
  <c r="N96" i="4"/>
  <c r="O96" i="4" s="1"/>
  <c r="M96" i="4"/>
  <c r="K96" i="4"/>
  <c r="L96" i="4" s="1"/>
  <c r="J96" i="4"/>
  <c r="H96" i="4"/>
  <c r="I96" i="4" s="1"/>
  <c r="G96" i="4"/>
  <c r="F96" i="4"/>
  <c r="E96" i="4"/>
  <c r="D96" i="4"/>
  <c r="C96" i="4"/>
  <c r="B96" i="4"/>
  <c r="A96" i="4"/>
  <c r="AG96" i="4" s="1"/>
  <c r="AC95" i="4"/>
  <c r="AB95" i="4"/>
  <c r="AA95" i="4"/>
  <c r="Z95" i="4"/>
  <c r="Y95" i="4"/>
  <c r="X95" i="4"/>
  <c r="W95" i="4"/>
  <c r="V95" i="4"/>
  <c r="T95" i="4"/>
  <c r="U95" i="4" s="1"/>
  <c r="R95" i="4"/>
  <c r="S95" i="4" s="1"/>
  <c r="P95" i="4"/>
  <c r="Q95" i="4" s="1"/>
  <c r="N95" i="4"/>
  <c r="O95" i="4" s="1"/>
  <c r="M95" i="4"/>
  <c r="K95" i="4"/>
  <c r="L95" i="4" s="1"/>
  <c r="J95" i="4"/>
  <c r="H95" i="4"/>
  <c r="I95" i="4" s="1"/>
  <c r="G95" i="4"/>
  <c r="F95" i="4"/>
  <c r="E95" i="4"/>
  <c r="D95" i="4"/>
  <c r="C95" i="4"/>
  <c r="B95" i="4"/>
  <c r="A95" i="4"/>
  <c r="AG95" i="4" s="1"/>
  <c r="AC94" i="4"/>
  <c r="AB94" i="4"/>
  <c r="AA94" i="4"/>
  <c r="Z94" i="4"/>
  <c r="Y94" i="4"/>
  <c r="X94" i="4"/>
  <c r="W94" i="4"/>
  <c r="V94" i="4"/>
  <c r="T94" i="4"/>
  <c r="U94" i="4" s="1"/>
  <c r="R94" i="4"/>
  <c r="S94" i="4" s="1"/>
  <c r="P94" i="4"/>
  <c r="Q94" i="4" s="1"/>
  <c r="N94" i="4"/>
  <c r="O94" i="4" s="1"/>
  <c r="M94" i="4"/>
  <c r="K94" i="4"/>
  <c r="L94" i="4" s="1"/>
  <c r="J94" i="4"/>
  <c r="H94" i="4"/>
  <c r="I94" i="4" s="1"/>
  <c r="G94" i="4"/>
  <c r="F94" i="4"/>
  <c r="E94" i="4"/>
  <c r="D94" i="4"/>
  <c r="C94" i="4"/>
  <c r="B94" i="4"/>
  <c r="A94" i="4"/>
  <c r="AC93" i="4"/>
  <c r="AB93" i="4"/>
  <c r="AA93" i="4"/>
  <c r="Z93" i="4"/>
  <c r="Y93" i="4"/>
  <c r="X93" i="4"/>
  <c r="W93" i="4"/>
  <c r="V93" i="4"/>
  <c r="T93" i="4"/>
  <c r="U93" i="4" s="1"/>
  <c r="R93" i="4"/>
  <c r="S93" i="4" s="1"/>
  <c r="P93" i="4"/>
  <c r="Q93" i="4" s="1"/>
  <c r="N93" i="4"/>
  <c r="O93" i="4" s="1"/>
  <c r="M93" i="4"/>
  <c r="K93" i="4"/>
  <c r="L93" i="4" s="1"/>
  <c r="J93" i="4"/>
  <c r="H93" i="4"/>
  <c r="I93" i="4" s="1"/>
  <c r="G93" i="4"/>
  <c r="F93" i="4"/>
  <c r="E93" i="4"/>
  <c r="D93" i="4"/>
  <c r="C93" i="4"/>
  <c r="B93" i="4"/>
  <c r="A93" i="4"/>
  <c r="AG93" i="4" s="1"/>
  <c r="AC92" i="4"/>
  <c r="AB92" i="4"/>
  <c r="AA92" i="4"/>
  <c r="Z92" i="4"/>
  <c r="Y92" i="4"/>
  <c r="X92" i="4"/>
  <c r="W92" i="4"/>
  <c r="V92" i="4"/>
  <c r="T92" i="4"/>
  <c r="U92" i="4" s="1"/>
  <c r="R92" i="4"/>
  <c r="S92" i="4" s="1"/>
  <c r="P92" i="4"/>
  <c r="Q92" i="4" s="1"/>
  <c r="N92" i="4"/>
  <c r="O92" i="4" s="1"/>
  <c r="M92" i="4"/>
  <c r="K92" i="4"/>
  <c r="L92" i="4" s="1"/>
  <c r="J92" i="4"/>
  <c r="H92" i="4"/>
  <c r="I92" i="4" s="1"/>
  <c r="G92" i="4"/>
  <c r="F92" i="4"/>
  <c r="E92" i="4"/>
  <c r="D92" i="4"/>
  <c r="C92" i="4"/>
  <c r="B92" i="4"/>
  <c r="A92" i="4"/>
  <c r="AG92" i="4" s="1"/>
  <c r="AC91" i="4"/>
  <c r="AB91" i="4"/>
  <c r="AA91" i="4"/>
  <c r="Z91" i="4"/>
  <c r="Y91" i="4"/>
  <c r="X91" i="4"/>
  <c r="W91" i="4"/>
  <c r="V91" i="4"/>
  <c r="T91" i="4"/>
  <c r="U91" i="4" s="1"/>
  <c r="R91" i="4"/>
  <c r="S91" i="4" s="1"/>
  <c r="P91" i="4"/>
  <c r="Q91" i="4" s="1"/>
  <c r="N91" i="4"/>
  <c r="O91" i="4" s="1"/>
  <c r="M91" i="4"/>
  <c r="K91" i="4"/>
  <c r="L91" i="4" s="1"/>
  <c r="J91" i="4"/>
  <c r="H91" i="4"/>
  <c r="I91" i="4" s="1"/>
  <c r="G91" i="4"/>
  <c r="F91" i="4"/>
  <c r="E91" i="4"/>
  <c r="D91" i="4"/>
  <c r="C91" i="4"/>
  <c r="B91" i="4"/>
  <c r="A91" i="4"/>
  <c r="AG91" i="4" s="1"/>
  <c r="AC90" i="4"/>
  <c r="AB90" i="4"/>
  <c r="AA90" i="4"/>
  <c r="Z90" i="4"/>
  <c r="Y90" i="4"/>
  <c r="X90" i="4"/>
  <c r="W90" i="4"/>
  <c r="V90" i="4"/>
  <c r="T90" i="4"/>
  <c r="U90" i="4" s="1"/>
  <c r="R90" i="4"/>
  <c r="S90" i="4" s="1"/>
  <c r="P90" i="4"/>
  <c r="Q90" i="4" s="1"/>
  <c r="N90" i="4"/>
  <c r="O90" i="4" s="1"/>
  <c r="M90" i="4"/>
  <c r="K90" i="4"/>
  <c r="L90" i="4" s="1"/>
  <c r="J90" i="4"/>
  <c r="H90" i="4"/>
  <c r="I90" i="4" s="1"/>
  <c r="G90" i="4"/>
  <c r="F90" i="4"/>
  <c r="E90" i="4"/>
  <c r="D90" i="4"/>
  <c r="C90" i="4"/>
  <c r="B90" i="4"/>
  <c r="A90" i="4"/>
  <c r="AG90" i="4" s="1"/>
  <c r="AC89" i="4"/>
  <c r="AB89" i="4"/>
  <c r="AA89" i="4"/>
  <c r="Z89" i="4"/>
  <c r="Y89" i="4"/>
  <c r="X89" i="4"/>
  <c r="W89" i="4"/>
  <c r="V89" i="4"/>
  <c r="T89" i="4"/>
  <c r="U89" i="4" s="1"/>
  <c r="R89" i="4"/>
  <c r="S89" i="4" s="1"/>
  <c r="P89" i="4"/>
  <c r="Q89" i="4" s="1"/>
  <c r="N89" i="4"/>
  <c r="O89" i="4" s="1"/>
  <c r="M89" i="4"/>
  <c r="K89" i="4"/>
  <c r="L89" i="4" s="1"/>
  <c r="J89" i="4"/>
  <c r="H89" i="4"/>
  <c r="I89" i="4" s="1"/>
  <c r="G89" i="4"/>
  <c r="F89" i="4"/>
  <c r="E89" i="4"/>
  <c r="D89" i="4"/>
  <c r="C89" i="4"/>
  <c r="B89" i="4"/>
  <c r="A89" i="4"/>
  <c r="AC88" i="4"/>
  <c r="AB88" i="4"/>
  <c r="AA88" i="4"/>
  <c r="Z88" i="4"/>
  <c r="Y88" i="4"/>
  <c r="X88" i="4"/>
  <c r="W88" i="4"/>
  <c r="V88" i="4"/>
  <c r="T88" i="4"/>
  <c r="U88" i="4" s="1"/>
  <c r="R88" i="4"/>
  <c r="S88" i="4" s="1"/>
  <c r="P88" i="4"/>
  <c r="Q88" i="4" s="1"/>
  <c r="N88" i="4"/>
  <c r="O88" i="4" s="1"/>
  <c r="M88" i="4"/>
  <c r="K88" i="4"/>
  <c r="L88" i="4" s="1"/>
  <c r="J88" i="4"/>
  <c r="H88" i="4"/>
  <c r="I88" i="4" s="1"/>
  <c r="G88" i="4"/>
  <c r="F88" i="4"/>
  <c r="E88" i="4"/>
  <c r="D88" i="4"/>
  <c r="C88" i="4"/>
  <c r="B88" i="4"/>
  <c r="A88" i="4"/>
  <c r="AG88" i="4" s="1"/>
  <c r="AC87" i="4"/>
  <c r="AB87" i="4"/>
  <c r="AA87" i="4"/>
  <c r="Z87" i="4"/>
  <c r="Y87" i="4"/>
  <c r="X87" i="4"/>
  <c r="W87" i="4"/>
  <c r="V87" i="4"/>
  <c r="T87" i="4"/>
  <c r="U87" i="4" s="1"/>
  <c r="R87" i="4"/>
  <c r="S87" i="4" s="1"/>
  <c r="P87" i="4"/>
  <c r="Q87" i="4" s="1"/>
  <c r="N87" i="4"/>
  <c r="O87" i="4" s="1"/>
  <c r="M87" i="4"/>
  <c r="K87" i="4"/>
  <c r="L87" i="4" s="1"/>
  <c r="J87" i="4"/>
  <c r="H87" i="4"/>
  <c r="I87" i="4" s="1"/>
  <c r="G87" i="4"/>
  <c r="F87" i="4"/>
  <c r="E87" i="4"/>
  <c r="D87" i="4"/>
  <c r="C87" i="4"/>
  <c r="B87" i="4"/>
  <c r="A87" i="4"/>
  <c r="AG87" i="4" s="1"/>
  <c r="AC86" i="4"/>
  <c r="AB86" i="4"/>
  <c r="AA86" i="4"/>
  <c r="Z86" i="4"/>
  <c r="Y86" i="4"/>
  <c r="X86" i="4"/>
  <c r="W86" i="4"/>
  <c r="V86" i="4"/>
  <c r="T86" i="4"/>
  <c r="U86" i="4" s="1"/>
  <c r="R86" i="4"/>
  <c r="S86" i="4" s="1"/>
  <c r="P86" i="4"/>
  <c r="Q86" i="4" s="1"/>
  <c r="N86" i="4"/>
  <c r="O86" i="4" s="1"/>
  <c r="M86" i="4"/>
  <c r="K86" i="4"/>
  <c r="L86" i="4" s="1"/>
  <c r="J86" i="4"/>
  <c r="H86" i="4"/>
  <c r="I86" i="4" s="1"/>
  <c r="G86" i="4"/>
  <c r="F86" i="4"/>
  <c r="E86" i="4"/>
  <c r="D86" i="4"/>
  <c r="C86" i="4"/>
  <c r="B86" i="4"/>
  <c r="A86" i="4"/>
  <c r="AC85" i="4"/>
  <c r="AB85" i="4"/>
  <c r="AA85" i="4"/>
  <c r="Z85" i="4"/>
  <c r="Y85" i="4"/>
  <c r="X85" i="4"/>
  <c r="W85" i="4"/>
  <c r="V85" i="4"/>
  <c r="T85" i="4"/>
  <c r="U85" i="4" s="1"/>
  <c r="R85" i="4"/>
  <c r="S85" i="4" s="1"/>
  <c r="P85" i="4"/>
  <c r="Q85" i="4" s="1"/>
  <c r="N85" i="4"/>
  <c r="O85" i="4" s="1"/>
  <c r="M85" i="4"/>
  <c r="K85" i="4"/>
  <c r="L85" i="4" s="1"/>
  <c r="J85" i="4"/>
  <c r="H85" i="4"/>
  <c r="I85" i="4" s="1"/>
  <c r="G85" i="4"/>
  <c r="F85" i="4"/>
  <c r="E85" i="4"/>
  <c r="D85" i="4"/>
  <c r="C85" i="4"/>
  <c r="B85" i="4"/>
  <c r="A85" i="4"/>
  <c r="AG85" i="4" s="1"/>
  <c r="AC84" i="4"/>
  <c r="AB84" i="4"/>
  <c r="AA84" i="4"/>
  <c r="Z84" i="4"/>
  <c r="Y84" i="4"/>
  <c r="X84" i="4"/>
  <c r="W84" i="4"/>
  <c r="V84" i="4"/>
  <c r="T84" i="4"/>
  <c r="U84" i="4" s="1"/>
  <c r="R84" i="4"/>
  <c r="S84" i="4" s="1"/>
  <c r="P84" i="4"/>
  <c r="Q84" i="4" s="1"/>
  <c r="N84" i="4"/>
  <c r="O84" i="4" s="1"/>
  <c r="M84" i="4"/>
  <c r="K84" i="4"/>
  <c r="L84" i="4" s="1"/>
  <c r="J84" i="4"/>
  <c r="H84" i="4"/>
  <c r="I84" i="4" s="1"/>
  <c r="G84" i="4"/>
  <c r="F84" i="4"/>
  <c r="E84" i="4"/>
  <c r="D84" i="4"/>
  <c r="C84" i="4"/>
  <c r="B84" i="4"/>
  <c r="A84" i="4"/>
  <c r="AG84" i="4" s="1"/>
  <c r="AC83" i="4"/>
  <c r="AB83" i="4"/>
  <c r="AA83" i="4"/>
  <c r="Z83" i="4"/>
  <c r="Y83" i="4"/>
  <c r="X83" i="4"/>
  <c r="W83" i="4"/>
  <c r="V83" i="4"/>
  <c r="T83" i="4"/>
  <c r="U83" i="4" s="1"/>
  <c r="R83" i="4"/>
  <c r="S83" i="4" s="1"/>
  <c r="P83" i="4"/>
  <c r="Q83" i="4" s="1"/>
  <c r="N83" i="4"/>
  <c r="O83" i="4" s="1"/>
  <c r="M83" i="4"/>
  <c r="K83" i="4"/>
  <c r="L83" i="4" s="1"/>
  <c r="J83" i="4"/>
  <c r="H83" i="4"/>
  <c r="I83" i="4" s="1"/>
  <c r="G83" i="4"/>
  <c r="F83" i="4"/>
  <c r="E83" i="4"/>
  <c r="D83" i="4"/>
  <c r="C83" i="4"/>
  <c r="B83" i="4"/>
  <c r="A83" i="4"/>
  <c r="AC82" i="4"/>
  <c r="AB82" i="4"/>
  <c r="AA82" i="4"/>
  <c r="Z82" i="4"/>
  <c r="Y82" i="4"/>
  <c r="X82" i="4"/>
  <c r="W82" i="4"/>
  <c r="V82" i="4"/>
  <c r="T82" i="4"/>
  <c r="U82" i="4" s="1"/>
  <c r="R82" i="4"/>
  <c r="S82" i="4" s="1"/>
  <c r="P82" i="4"/>
  <c r="Q82" i="4" s="1"/>
  <c r="N82" i="4"/>
  <c r="O82" i="4" s="1"/>
  <c r="M82" i="4"/>
  <c r="K82" i="4"/>
  <c r="L82" i="4" s="1"/>
  <c r="J82" i="4"/>
  <c r="H82" i="4"/>
  <c r="I82" i="4" s="1"/>
  <c r="G82" i="4"/>
  <c r="F82" i="4"/>
  <c r="E82" i="4"/>
  <c r="D82" i="4"/>
  <c r="C82" i="4"/>
  <c r="B82" i="4"/>
  <c r="A82" i="4"/>
  <c r="AG82" i="4" s="1"/>
  <c r="AC81" i="4"/>
  <c r="AB81" i="4"/>
  <c r="AA81" i="4"/>
  <c r="Z81" i="4"/>
  <c r="Y81" i="4"/>
  <c r="X81" i="4"/>
  <c r="W81" i="4"/>
  <c r="V81" i="4"/>
  <c r="T81" i="4"/>
  <c r="U81" i="4" s="1"/>
  <c r="R81" i="4"/>
  <c r="S81" i="4" s="1"/>
  <c r="P81" i="4"/>
  <c r="Q81" i="4" s="1"/>
  <c r="N81" i="4"/>
  <c r="O81" i="4" s="1"/>
  <c r="M81" i="4"/>
  <c r="K81" i="4"/>
  <c r="L81" i="4" s="1"/>
  <c r="J81" i="4"/>
  <c r="H81" i="4"/>
  <c r="I81" i="4" s="1"/>
  <c r="G81" i="4"/>
  <c r="F81" i="4"/>
  <c r="E81" i="4"/>
  <c r="D81" i="4"/>
  <c r="C81" i="4"/>
  <c r="B81" i="4"/>
  <c r="A81" i="4"/>
  <c r="AD81" i="4" s="1"/>
  <c r="AE81" i="4" s="1"/>
  <c r="AC80" i="4"/>
  <c r="AB80" i="4"/>
  <c r="AA80" i="4"/>
  <c r="Z80" i="4"/>
  <c r="Y80" i="4"/>
  <c r="X80" i="4"/>
  <c r="W80" i="4"/>
  <c r="V80" i="4"/>
  <c r="T80" i="4"/>
  <c r="U80" i="4" s="1"/>
  <c r="R80" i="4"/>
  <c r="S80" i="4" s="1"/>
  <c r="Q80" i="4"/>
  <c r="P80" i="4"/>
  <c r="N80" i="4"/>
  <c r="O80" i="4" s="1"/>
  <c r="M80" i="4"/>
  <c r="K80" i="4"/>
  <c r="L80" i="4" s="1"/>
  <c r="J80" i="4"/>
  <c r="H80" i="4"/>
  <c r="I80" i="4" s="1"/>
  <c r="G80" i="4"/>
  <c r="F80" i="4"/>
  <c r="E80" i="4"/>
  <c r="D80" i="4"/>
  <c r="C80" i="4"/>
  <c r="B80" i="4"/>
  <c r="A80" i="4"/>
  <c r="AG80" i="4" s="1"/>
  <c r="AC79" i="4"/>
  <c r="AB79" i="4"/>
  <c r="AA79" i="4"/>
  <c r="Z79" i="4"/>
  <c r="Y79" i="4"/>
  <c r="X79" i="4"/>
  <c r="W79" i="4"/>
  <c r="V79" i="4"/>
  <c r="T79" i="4"/>
  <c r="U79" i="4" s="1"/>
  <c r="R79" i="4"/>
  <c r="S79" i="4" s="1"/>
  <c r="P79" i="4"/>
  <c r="Q79" i="4" s="1"/>
  <c r="N79" i="4"/>
  <c r="O79" i="4" s="1"/>
  <c r="M79" i="4"/>
  <c r="K79" i="4"/>
  <c r="L79" i="4" s="1"/>
  <c r="J79" i="4"/>
  <c r="H79" i="4"/>
  <c r="I79" i="4" s="1"/>
  <c r="G79" i="4"/>
  <c r="F79" i="4"/>
  <c r="E79" i="4"/>
  <c r="D79" i="4"/>
  <c r="C79" i="4"/>
  <c r="B79" i="4"/>
  <c r="A79" i="4"/>
  <c r="AC78" i="4"/>
  <c r="AB78" i="4"/>
  <c r="AA78" i="4"/>
  <c r="Z78" i="4"/>
  <c r="Y78" i="4"/>
  <c r="X78" i="4"/>
  <c r="W78" i="4"/>
  <c r="V78" i="4"/>
  <c r="T78" i="4"/>
  <c r="U78" i="4" s="1"/>
  <c r="R78" i="4"/>
  <c r="S78" i="4" s="1"/>
  <c r="P78" i="4"/>
  <c r="Q78" i="4" s="1"/>
  <c r="O78" i="4"/>
  <c r="N78" i="4"/>
  <c r="M78" i="4"/>
  <c r="K78" i="4"/>
  <c r="L78" i="4" s="1"/>
  <c r="J78" i="4"/>
  <c r="H78" i="4"/>
  <c r="I78" i="4" s="1"/>
  <c r="G78" i="4"/>
  <c r="F78" i="4"/>
  <c r="E78" i="4"/>
  <c r="D78" i="4"/>
  <c r="C78" i="4"/>
  <c r="B78" i="4"/>
  <c r="A78" i="4"/>
  <c r="AG78" i="4" s="1"/>
  <c r="AC77" i="4"/>
  <c r="AB77" i="4"/>
  <c r="AA77" i="4"/>
  <c r="Z77" i="4"/>
  <c r="Y77" i="4"/>
  <c r="X77" i="4"/>
  <c r="W77" i="4"/>
  <c r="V77" i="4"/>
  <c r="T77" i="4"/>
  <c r="U77" i="4" s="1"/>
  <c r="R77" i="4"/>
  <c r="S77" i="4" s="1"/>
  <c r="P77" i="4"/>
  <c r="Q77" i="4" s="1"/>
  <c r="N77" i="4"/>
  <c r="O77" i="4" s="1"/>
  <c r="M77" i="4"/>
  <c r="K77" i="4"/>
  <c r="L77" i="4" s="1"/>
  <c r="J77" i="4"/>
  <c r="H77" i="4"/>
  <c r="I77" i="4" s="1"/>
  <c r="G77" i="4"/>
  <c r="F77" i="4"/>
  <c r="E77" i="4"/>
  <c r="D77" i="4"/>
  <c r="C77" i="4"/>
  <c r="B77" i="4"/>
  <c r="A77" i="4"/>
  <c r="AG77" i="4" s="1"/>
  <c r="AC76" i="4"/>
  <c r="AB76" i="4"/>
  <c r="AA76" i="4"/>
  <c r="Z76" i="4"/>
  <c r="Y76" i="4"/>
  <c r="X76" i="4"/>
  <c r="W76" i="4"/>
  <c r="V76" i="4"/>
  <c r="U76" i="4"/>
  <c r="T76" i="4"/>
  <c r="R76" i="4"/>
  <c r="S76" i="4" s="1"/>
  <c r="P76" i="4"/>
  <c r="Q76" i="4" s="1"/>
  <c r="N76" i="4"/>
  <c r="O76" i="4" s="1"/>
  <c r="M76" i="4"/>
  <c r="K76" i="4"/>
  <c r="L76" i="4" s="1"/>
  <c r="J76" i="4"/>
  <c r="H76" i="4"/>
  <c r="I76" i="4" s="1"/>
  <c r="G76" i="4"/>
  <c r="F76" i="4"/>
  <c r="E76" i="4"/>
  <c r="D76" i="4"/>
  <c r="C76" i="4"/>
  <c r="B76" i="4"/>
  <c r="A76" i="4"/>
  <c r="AG76" i="4" s="1"/>
  <c r="AC75" i="4"/>
  <c r="AB75" i="4"/>
  <c r="AA75" i="4"/>
  <c r="Z75" i="4"/>
  <c r="Y75" i="4"/>
  <c r="X75" i="4"/>
  <c r="W75" i="4"/>
  <c r="V75" i="4"/>
  <c r="T75" i="4"/>
  <c r="U75" i="4" s="1"/>
  <c r="R75" i="4"/>
  <c r="S75" i="4" s="1"/>
  <c r="P75" i="4"/>
  <c r="Q75" i="4" s="1"/>
  <c r="N75" i="4"/>
  <c r="O75" i="4" s="1"/>
  <c r="M75" i="4"/>
  <c r="K75" i="4"/>
  <c r="L75" i="4" s="1"/>
  <c r="J75" i="4"/>
  <c r="H75" i="4"/>
  <c r="I75" i="4" s="1"/>
  <c r="G75" i="4"/>
  <c r="F75" i="4"/>
  <c r="E75" i="4"/>
  <c r="D75" i="4"/>
  <c r="C75" i="4"/>
  <c r="B75" i="4"/>
  <c r="A75" i="4"/>
  <c r="AG75" i="4" s="1"/>
  <c r="AC74" i="4"/>
  <c r="AB74" i="4"/>
  <c r="AA74" i="4"/>
  <c r="Z74" i="4"/>
  <c r="Y74" i="4"/>
  <c r="X74" i="4"/>
  <c r="W74" i="4"/>
  <c r="V74" i="4"/>
  <c r="T74" i="4"/>
  <c r="U74" i="4" s="1"/>
  <c r="R74" i="4"/>
  <c r="S74" i="4" s="1"/>
  <c r="P74" i="4"/>
  <c r="Q74" i="4" s="1"/>
  <c r="N74" i="4"/>
  <c r="O74" i="4" s="1"/>
  <c r="M74" i="4"/>
  <c r="K74" i="4"/>
  <c r="L74" i="4" s="1"/>
  <c r="J74" i="4"/>
  <c r="H74" i="4"/>
  <c r="I74" i="4" s="1"/>
  <c r="G74" i="4"/>
  <c r="F74" i="4"/>
  <c r="E74" i="4"/>
  <c r="D74" i="4"/>
  <c r="C74" i="4"/>
  <c r="B74" i="4"/>
  <c r="A74" i="4"/>
  <c r="AG74" i="4" s="1"/>
  <c r="AC73" i="4"/>
  <c r="AB73" i="4"/>
  <c r="AA73" i="4"/>
  <c r="Z73" i="4"/>
  <c r="Y73" i="4"/>
  <c r="X73" i="4"/>
  <c r="W73" i="4"/>
  <c r="V73" i="4"/>
  <c r="T73" i="4"/>
  <c r="U73" i="4" s="1"/>
  <c r="R73" i="4"/>
  <c r="S73" i="4" s="1"/>
  <c r="P73" i="4"/>
  <c r="Q73" i="4" s="1"/>
  <c r="N73" i="4"/>
  <c r="O73" i="4" s="1"/>
  <c r="M73" i="4"/>
  <c r="K73" i="4"/>
  <c r="L73" i="4" s="1"/>
  <c r="J73" i="4"/>
  <c r="H73" i="4"/>
  <c r="I73" i="4" s="1"/>
  <c r="G73" i="4"/>
  <c r="F73" i="4"/>
  <c r="E73" i="4"/>
  <c r="D73" i="4"/>
  <c r="C73" i="4"/>
  <c r="B73" i="4"/>
  <c r="A73" i="4"/>
  <c r="AD73" i="4" s="1"/>
  <c r="AE73" i="4" s="1"/>
  <c r="AC72" i="4"/>
  <c r="AB72" i="4"/>
  <c r="AA72" i="4"/>
  <c r="Z72" i="4"/>
  <c r="Y72" i="4"/>
  <c r="X72" i="4"/>
  <c r="W72" i="4"/>
  <c r="V72" i="4"/>
  <c r="T72" i="4"/>
  <c r="U72" i="4" s="1"/>
  <c r="R72" i="4"/>
  <c r="S72" i="4" s="1"/>
  <c r="P72" i="4"/>
  <c r="Q72" i="4" s="1"/>
  <c r="N72" i="4"/>
  <c r="O72" i="4" s="1"/>
  <c r="M72" i="4"/>
  <c r="K72" i="4"/>
  <c r="L72" i="4" s="1"/>
  <c r="J72" i="4"/>
  <c r="H72" i="4"/>
  <c r="I72" i="4" s="1"/>
  <c r="G72" i="4"/>
  <c r="F72" i="4"/>
  <c r="E72" i="4"/>
  <c r="D72" i="4"/>
  <c r="C72" i="4"/>
  <c r="B72" i="4"/>
  <c r="A72" i="4"/>
  <c r="AG72" i="4" s="1"/>
  <c r="AC71" i="4"/>
  <c r="AB71" i="4"/>
  <c r="AA71" i="4"/>
  <c r="Z71" i="4"/>
  <c r="Y71" i="4"/>
  <c r="X71" i="4"/>
  <c r="W71" i="4"/>
  <c r="V71" i="4"/>
  <c r="T71" i="4"/>
  <c r="U71" i="4" s="1"/>
  <c r="R71" i="4"/>
  <c r="S71" i="4" s="1"/>
  <c r="P71" i="4"/>
  <c r="Q71" i="4" s="1"/>
  <c r="N71" i="4"/>
  <c r="O71" i="4" s="1"/>
  <c r="M71" i="4"/>
  <c r="K71" i="4"/>
  <c r="L71" i="4" s="1"/>
  <c r="J71" i="4"/>
  <c r="H71" i="4"/>
  <c r="I71" i="4" s="1"/>
  <c r="G71" i="4"/>
  <c r="F71" i="4"/>
  <c r="E71" i="4"/>
  <c r="D71" i="4"/>
  <c r="C71" i="4"/>
  <c r="B71" i="4"/>
  <c r="A71" i="4"/>
  <c r="AG71" i="4" s="1"/>
  <c r="AC70" i="4"/>
  <c r="AB70" i="4"/>
  <c r="AA70" i="4"/>
  <c r="Z70" i="4"/>
  <c r="Y70" i="4"/>
  <c r="X70" i="4"/>
  <c r="W70" i="4"/>
  <c r="V70" i="4"/>
  <c r="T70" i="4"/>
  <c r="U70" i="4" s="1"/>
  <c r="R70" i="4"/>
  <c r="S70" i="4" s="1"/>
  <c r="P70" i="4"/>
  <c r="Q70" i="4" s="1"/>
  <c r="N70" i="4"/>
  <c r="O70" i="4" s="1"/>
  <c r="M70" i="4"/>
  <c r="K70" i="4"/>
  <c r="L70" i="4" s="1"/>
  <c r="J70" i="4"/>
  <c r="H70" i="4"/>
  <c r="I70" i="4" s="1"/>
  <c r="G70" i="4"/>
  <c r="F70" i="4"/>
  <c r="E70" i="4"/>
  <c r="D70" i="4"/>
  <c r="C70" i="4"/>
  <c r="B70" i="4"/>
  <c r="A70" i="4"/>
  <c r="AG70" i="4" s="1"/>
  <c r="AC69" i="4"/>
  <c r="AB69" i="4"/>
  <c r="AA69" i="4"/>
  <c r="Z69" i="4"/>
  <c r="Y69" i="4"/>
  <c r="X69" i="4"/>
  <c r="W69" i="4"/>
  <c r="V69" i="4"/>
  <c r="T69" i="4"/>
  <c r="U69" i="4" s="1"/>
  <c r="R69" i="4"/>
  <c r="S69" i="4" s="1"/>
  <c r="P69" i="4"/>
  <c r="Q69" i="4" s="1"/>
  <c r="N69" i="4"/>
  <c r="O69" i="4" s="1"/>
  <c r="M69" i="4"/>
  <c r="K69" i="4"/>
  <c r="L69" i="4" s="1"/>
  <c r="J69" i="4"/>
  <c r="H69" i="4"/>
  <c r="I69" i="4" s="1"/>
  <c r="G69" i="4"/>
  <c r="F69" i="4"/>
  <c r="E69" i="4"/>
  <c r="D69" i="4"/>
  <c r="C69" i="4"/>
  <c r="B69" i="4"/>
  <c r="A69" i="4"/>
  <c r="AG69" i="4" s="1"/>
  <c r="AC68" i="4"/>
  <c r="AB68" i="4"/>
  <c r="AA68" i="4"/>
  <c r="Z68" i="4"/>
  <c r="Y68" i="4"/>
  <c r="X68" i="4"/>
  <c r="W68" i="4"/>
  <c r="V68" i="4"/>
  <c r="T68" i="4"/>
  <c r="U68" i="4" s="1"/>
  <c r="R68" i="4"/>
  <c r="S68" i="4" s="1"/>
  <c r="P68" i="4"/>
  <c r="Q68" i="4" s="1"/>
  <c r="N68" i="4"/>
  <c r="O68" i="4" s="1"/>
  <c r="M68" i="4"/>
  <c r="K68" i="4"/>
  <c r="L68" i="4" s="1"/>
  <c r="J68" i="4"/>
  <c r="H68" i="4"/>
  <c r="I68" i="4" s="1"/>
  <c r="G68" i="4"/>
  <c r="F68" i="4"/>
  <c r="E68" i="4"/>
  <c r="D68" i="4"/>
  <c r="C68" i="4"/>
  <c r="B68" i="4"/>
  <c r="A68" i="4"/>
  <c r="AG68" i="4" s="1"/>
  <c r="AC67" i="4"/>
  <c r="AB67" i="4"/>
  <c r="AA67" i="4"/>
  <c r="Z67" i="4"/>
  <c r="Y67" i="4"/>
  <c r="X67" i="4"/>
  <c r="W67" i="4"/>
  <c r="V67" i="4"/>
  <c r="U67" i="4"/>
  <c r="T67" i="4"/>
  <c r="R67" i="4"/>
  <c r="S67" i="4" s="1"/>
  <c r="P67" i="4"/>
  <c r="Q67" i="4" s="1"/>
  <c r="N67" i="4"/>
  <c r="O67" i="4" s="1"/>
  <c r="M67" i="4"/>
  <c r="K67" i="4"/>
  <c r="L67" i="4" s="1"/>
  <c r="J67" i="4"/>
  <c r="H67" i="4"/>
  <c r="I67" i="4" s="1"/>
  <c r="G67" i="4"/>
  <c r="F67" i="4"/>
  <c r="E67" i="4"/>
  <c r="D67" i="4"/>
  <c r="C67" i="4"/>
  <c r="B67" i="4"/>
  <c r="A67" i="4"/>
  <c r="AG67" i="4" s="1"/>
  <c r="AC66" i="4"/>
  <c r="AB66" i="4"/>
  <c r="AA66" i="4"/>
  <c r="Z66" i="4"/>
  <c r="Y66" i="4"/>
  <c r="X66" i="4"/>
  <c r="W66" i="4"/>
  <c r="V66" i="4"/>
  <c r="T66" i="4"/>
  <c r="U66" i="4" s="1"/>
  <c r="R66" i="4"/>
  <c r="S66" i="4" s="1"/>
  <c r="P66" i="4"/>
  <c r="Q66" i="4" s="1"/>
  <c r="N66" i="4"/>
  <c r="O66" i="4" s="1"/>
  <c r="M66" i="4"/>
  <c r="K66" i="4"/>
  <c r="L66" i="4" s="1"/>
  <c r="J66" i="4"/>
  <c r="H66" i="4"/>
  <c r="I66" i="4" s="1"/>
  <c r="G66" i="4"/>
  <c r="F66" i="4"/>
  <c r="E66" i="4"/>
  <c r="D66" i="4"/>
  <c r="C66" i="4"/>
  <c r="B66" i="4"/>
  <c r="A66" i="4"/>
  <c r="AG66" i="4" s="1"/>
  <c r="AC65" i="4"/>
  <c r="AB65" i="4"/>
  <c r="AA65" i="4"/>
  <c r="Z65" i="4"/>
  <c r="Y65" i="4"/>
  <c r="X65" i="4"/>
  <c r="W65" i="4"/>
  <c r="V65" i="4"/>
  <c r="T65" i="4"/>
  <c r="U65" i="4" s="1"/>
  <c r="S65" i="4"/>
  <c r="R65" i="4"/>
  <c r="P65" i="4"/>
  <c r="Q65" i="4" s="1"/>
  <c r="N65" i="4"/>
  <c r="O65" i="4" s="1"/>
  <c r="M65" i="4"/>
  <c r="K65" i="4"/>
  <c r="L65" i="4" s="1"/>
  <c r="J65" i="4"/>
  <c r="H65" i="4"/>
  <c r="I65" i="4" s="1"/>
  <c r="G65" i="4"/>
  <c r="F65" i="4"/>
  <c r="E65" i="4"/>
  <c r="D65" i="4"/>
  <c r="C65" i="4"/>
  <c r="B65" i="4"/>
  <c r="A65" i="4"/>
  <c r="AD65" i="4" s="1"/>
  <c r="AE65" i="4" s="1"/>
  <c r="AC64" i="4"/>
  <c r="AB64" i="4"/>
  <c r="AA64" i="4"/>
  <c r="Z64" i="4"/>
  <c r="Y64" i="4"/>
  <c r="X64" i="4"/>
  <c r="W64" i="4"/>
  <c r="V64" i="4"/>
  <c r="T64" i="4"/>
  <c r="U64" i="4" s="1"/>
  <c r="R64" i="4"/>
  <c r="S64" i="4" s="1"/>
  <c r="P64" i="4"/>
  <c r="Q64" i="4" s="1"/>
  <c r="N64" i="4"/>
  <c r="O64" i="4" s="1"/>
  <c r="M64" i="4"/>
  <c r="L64" i="4"/>
  <c r="K64" i="4"/>
  <c r="J64" i="4"/>
  <c r="H64" i="4"/>
  <c r="I64" i="4" s="1"/>
  <c r="G64" i="4"/>
  <c r="F64" i="4"/>
  <c r="E64" i="4"/>
  <c r="D64" i="4"/>
  <c r="C64" i="4"/>
  <c r="B64" i="4"/>
  <c r="A64" i="4"/>
  <c r="AC63" i="4"/>
  <c r="AB63" i="4"/>
  <c r="AA63" i="4"/>
  <c r="Z63" i="4"/>
  <c r="Y63" i="4"/>
  <c r="X63" i="4"/>
  <c r="W63" i="4"/>
  <c r="V63" i="4"/>
  <c r="U63" i="4"/>
  <c r="T63" i="4"/>
  <c r="R63" i="4"/>
  <c r="S63" i="4" s="1"/>
  <c r="P63" i="4"/>
  <c r="Q63" i="4" s="1"/>
  <c r="N63" i="4"/>
  <c r="O63" i="4" s="1"/>
  <c r="M63" i="4"/>
  <c r="K63" i="4"/>
  <c r="L63" i="4" s="1"/>
  <c r="J63" i="4"/>
  <c r="I63" i="4"/>
  <c r="H63" i="4"/>
  <c r="G63" i="4"/>
  <c r="F63" i="4"/>
  <c r="E63" i="4"/>
  <c r="D63" i="4"/>
  <c r="C63" i="4"/>
  <c r="B63" i="4"/>
  <c r="A63" i="4"/>
  <c r="AC62" i="4"/>
  <c r="AB62" i="4"/>
  <c r="AA62" i="4"/>
  <c r="Z62" i="4"/>
  <c r="Y62" i="4"/>
  <c r="X62" i="4"/>
  <c r="W62" i="4"/>
  <c r="V62" i="4"/>
  <c r="T62" i="4"/>
  <c r="U62" i="4" s="1"/>
  <c r="R62" i="4"/>
  <c r="S62" i="4" s="1"/>
  <c r="P62" i="4"/>
  <c r="Q62" i="4" s="1"/>
  <c r="N62" i="4"/>
  <c r="O62" i="4" s="1"/>
  <c r="M62" i="4"/>
  <c r="K62" i="4"/>
  <c r="L62" i="4" s="1"/>
  <c r="J62" i="4"/>
  <c r="H62" i="4"/>
  <c r="I62" i="4" s="1"/>
  <c r="G62" i="4"/>
  <c r="F62" i="4"/>
  <c r="E62" i="4"/>
  <c r="D62" i="4"/>
  <c r="C62" i="4"/>
  <c r="B62" i="4"/>
  <c r="A62" i="4"/>
  <c r="AG62" i="4" s="1"/>
  <c r="AC61" i="4"/>
  <c r="AB61" i="4"/>
  <c r="AA61" i="4"/>
  <c r="Z61" i="4"/>
  <c r="Y61" i="4"/>
  <c r="X61" i="4"/>
  <c r="W61" i="4"/>
  <c r="V61" i="4"/>
  <c r="T61" i="4"/>
  <c r="U61" i="4" s="1"/>
  <c r="R61" i="4"/>
  <c r="S61" i="4" s="1"/>
  <c r="P61" i="4"/>
  <c r="Q61" i="4" s="1"/>
  <c r="N61" i="4"/>
  <c r="O61" i="4" s="1"/>
  <c r="M61" i="4"/>
  <c r="K61" i="4"/>
  <c r="L61" i="4" s="1"/>
  <c r="J61" i="4"/>
  <c r="H61" i="4"/>
  <c r="I61" i="4" s="1"/>
  <c r="G61" i="4"/>
  <c r="F61" i="4"/>
  <c r="E61" i="4"/>
  <c r="D61" i="4"/>
  <c r="C61" i="4"/>
  <c r="B61" i="4"/>
  <c r="A61" i="4"/>
  <c r="AC60" i="4"/>
  <c r="AB60" i="4"/>
  <c r="AA60" i="4"/>
  <c r="Z60" i="4"/>
  <c r="Y60" i="4"/>
  <c r="X60" i="4"/>
  <c r="W60" i="4"/>
  <c r="V60" i="4"/>
  <c r="T60" i="4"/>
  <c r="U60" i="4" s="1"/>
  <c r="R60" i="4"/>
  <c r="S60" i="4" s="1"/>
  <c r="P60" i="4"/>
  <c r="Q60" i="4" s="1"/>
  <c r="N60" i="4"/>
  <c r="O60" i="4" s="1"/>
  <c r="M60" i="4"/>
  <c r="K60" i="4"/>
  <c r="L60" i="4" s="1"/>
  <c r="J60" i="4"/>
  <c r="H60" i="4"/>
  <c r="I60" i="4" s="1"/>
  <c r="G60" i="4"/>
  <c r="F60" i="4"/>
  <c r="E60" i="4"/>
  <c r="D60" i="4"/>
  <c r="C60" i="4"/>
  <c r="B60" i="4"/>
  <c r="A60" i="4"/>
  <c r="AD60" i="4" s="1"/>
  <c r="AE60" i="4" s="1"/>
  <c r="AC59" i="4"/>
  <c r="AB59" i="4"/>
  <c r="AA59" i="4"/>
  <c r="Z59" i="4"/>
  <c r="Y59" i="4"/>
  <c r="X59" i="4"/>
  <c r="W59" i="4"/>
  <c r="V59" i="4"/>
  <c r="T59" i="4"/>
  <c r="U59" i="4" s="1"/>
  <c r="R59" i="4"/>
  <c r="S59" i="4" s="1"/>
  <c r="P59" i="4"/>
  <c r="Q59" i="4" s="1"/>
  <c r="N59" i="4"/>
  <c r="O59" i="4" s="1"/>
  <c r="M59" i="4"/>
  <c r="K59" i="4"/>
  <c r="L59" i="4" s="1"/>
  <c r="J59" i="4"/>
  <c r="I59" i="4"/>
  <c r="H59" i="4"/>
  <c r="G59" i="4"/>
  <c r="F59" i="4"/>
  <c r="E59" i="4"/>
  <c r="D59" i="4"/>
  <c r="C59" i="4"/>
  <c r="B59" i="4"/>
  <c r="A59" i="4"/>
  <c r="AF59" i="4" s="1"/>
  <c r="AC58" i="4"/>
  <c r="AB58" i="4"/>
  <c r="AA58" i="4"/>
  <c r="Z58" i="4"/>
  <c r="Y58" i="4"/>
  <c r="X58" i="4"/>
  <c r="W58" i="4"/>
  <c r="V58" i="4"/>
  <c r="T58" i="4"/>
  <c r="U58" i="4" s="1"/>
  <c r="R58" i="4"/>
  <c r="S58" i="4" s="1"/>
  <c r="P58" i="4"/>
  <c r="Q58" i="4" s="1"/>
  <c r="N58" i="4"/>
  <c r="O58" i="4" s="1"/>
  <c r="M58" i="4"/>
  <c r="K58" i="4"/>
  <c r="L58" i="4" s="1"/>
  <c r="J58" i="4"/>
  <c r="H58" i="4"/>
  <c r="I58" i="4" s="1"/>
  <c r="G58" i="4"/>
  <c r="F58" i="4"/>
  <c r="E58" i="4"/>
  <c r="D58" i="4"/>
  <c r="C58" i="4"/>
  <c r="B58" i="4"/>
  <c r="A58" i="4"/>
  <c r="AD58" i="4" s="1"/>
  <c r="AE58" i="4" s="1"/>
  <c r="AC57" i="4"/>
  <c r="AB57" i="4"/>
  <c r="AA57" i="4"/>
  <c r="Z57" i="4"/>
  <c r="Y57" i="4"/>
  <c r="X57" i="4"/>
  <c r="W57" i="4"/>
  <c r="V57" i="4"/>
  <c r="T57" i="4"/>
  <c r="U57" i="4" s="1"/>
  <c r="R57" i="4"/>
  <c r="S57" i="4" s="1"/>
  <c r="P57" i="4"/>
  <c r="Q57" i="4" s="1"/>
  <c r="N57" i="4"/>
  <c r="O57" i="4" s="1"/>
  <c r="M57" i="4"/>
  <c r="K57" i="4"/>
  <c r="L57" i="4" s="1"/>
  <c r="J57" i="4"/>
  <c r="H57" i="4"/>
  <c r="I57" i="4" s="1"/>
  <c r="G57" i="4"/>
  <c r="F57" i="4"/>
  <c r="E57" i="4"/>
  <c r="D57" i="4"/>
  <c r="C57" i="4"/>
  <c r="B57" i="4"/>
  <c r="A57" i="4"/>
  <c r="AC56" i="4"/>
  <c r="AB56" i="4"/>
  <c r="AA56" i="4"/>
  <c r="Z56" i="4"/>
  <c r="Y56" i="4"/>
  <c r="X56" i="4"/>
  <c r="W56" i="4"/>
  <c r="V56" i="4"/>
  <c r="T56" i="4"/>
  <c r="U56" i="4" s="1"/>
  <c r="R56" i="4"/>
  <c r="S56" i="4" s="1"/>
  <c r="P56" i="4"/>
  <c r="Q56" i="4" s="1"/>
  <c r="N56" i="4"/>
  <c r="O56" i="4" s="1"/>
  <c r="M56" i="4"/>
  <c r="L56" i="4"/>
  <c r="K56" i="4"/>
  <c r="J56" i="4"/>
  <c r="H56" i="4"/>
  <c r="I56" i="4" s="1"/>
  <c r="G56" i="4"/>
  <c r="F56" i="4"/>
  <c r="E56" i="4"/>
  <c r="D56" i="4"/>
  <c r="C56" i="4"/>
  <c r="B56" i="4"/>
  <c r="A56" i="4"/>
  <c r="AD56" i="4" s="1"/>
  <c r="AE56" i="4" s="1"/>
  <c r="AC55" i="4"/>
  <c r="AB55" i="4"/>
  <c r="AA55" i="4"/>
  <c r="Z55" i="4"/>
  <c r="Y55" i="4"/>
  <c r="X55" i="4"/>
  <c r="W55" i="4"/>
  <c r="V55" i="4"/>
  <c r="T55" i="4"/>
  <c r="U55" i="4" s="1"/>
  <c r="R55" i="4"/>
  <c r="S55" i="4" s="1"/>
  <c r="P55" i="4"/>
  <c r="Q55" i="4" s="1"/>
  <c r="N55" i="4"/>
  <c r="O55" i="4" s="1"/>
  <c r="M55" i="4"/>
  <c r="K55" i="4"/>
  <c r="L55" i="4" s="1"/>
  <c r="J55" i="4"/>
  <c r="H55" i="4"/>
  <c r="I55" i="4" s="1"/>
  <c r="G55" i="4"/>
  <c r="F55" i="4"/>
  <c r="E55" i="4"/>
  <c r="D55" i="4"/>
  <c r="C55" i="4"/>
  <c r="B55" i="4"/>
  <c r="A55" i="4"/>
  <c r="AC54" i="4"/>
  <c r="AB54" i="4"/>
  <c r="AA54" i="4"/>
  <c r="Z54" i="4"/>
  <c r="Y54" i="4"/>
  <c r="X54" i="4"/>
  <c r="W54" i="4"/>
  <c r="V54" i="4"/>
  <c r="T54" i="4"/>
  <c r="U54" i="4" s="1"/>
  <c r="R54" i="4"/>
  <c r="S54" i="4" s="1"/>
  <c r="P54" i="4"/>
  <c r="Q54" i="4" s="1"/>
  <c r="N54" i="4"/>
  <c r="O54" i="4" s="1"/>
  <c r="M54" i="4"/>
  <c r="K54" i="4"/>
  <c r="L54" i="4" s="1"/>
  <c r="J54" i="4"/>
  <c r="H54" i="4"/>
  <c r="I54" i="4" s="1"/>
  <c r="G54" i="4"/>
  <c r="F54" i="4"/>
  <c r="E54" i="4"/>
  <c r="D54" i="4"/>
  <c r="C54" i="4"/>
  <c r="B54" i="4"/>
  <c r="A54" i="4"/>
  <c r="AD54" i="4" s="1"/>
  <c r="AE54" i="4" s="1"/>
  <c r="AC53" i="4"/>
  <c r="AB53" i="4"/>
  <c r="AA53" i="4"/>
  <c r="Z53" i="4"/>
  <c r="Y53" i="4"/>
  <c r="X53" i="4"/>
  <c r="W53" i="4"/>
  <c r="V53" i="4"/>
  <c r="T53" i="4"/>
  <c r="U53" i="4" s="1"/>
  <c r="S53" i="4"/>
  <c r="R53" i="4"/>
  <c r="P53" i="4"/>
  <c r="Q53" i="4" s="1"/>
  <c r="N53" i="4"/>
  <c r="O53" i="4" s="1"/>
  <c r="M53" i="4"/>
  <c r="K53" i="4"/>
  <c r="L53" i="4" s="1"/>
  <c r="J53" i="4"/>
  <c r="H53" i="4"/>
  <c r="I53" i="4" s="1"/>
  <c r="G53" i="4"/>
  <c r="F53" i="4"/>
  <c r="E53" i="4"/>
  <c r="D53" i="4"/>
  <c r="C53" i="4"/>
  <c r="B53" i="4"/>
  <c r="A53" i="4"/>
  <c r="AG53" i="4" s="1"/>
  <c r="AC52" i="4"/>
  <c r="AB52" i="4"/>
  <c r="AA52" i="4"/>
  <c r="Z52" i="4"/>
  <c r="Y52" i="4"/>
  <c r="X52" i="4"/>
  <c r="W52" i="4"/>
  <c r="V52" i="4"/>
  <c r="T52" i="4"/>
  <c r="U52" i="4" s="1"/>
  <c r="R52" i="4"/>
  <c r="S52" i="4" s="1"/>
  <c r="P52" i="4"/>
  <c r="Q52" i="4" s="1"/>
  <c r="N52" i="4"/>
  <c r="O52" i="4" s="1"/>
  <c r="M52" i="4"/>
  <c r="K52" i="4"/>
  <c r="L52" i="4" s="1"/>
  <c r="J52" i="4"/>
  <c r="H52" i="4"/>
  <c r="I52" i="4" s="1"/>
  <c r="G52" i="4"/>
  <c r="F52" i="4"/>
  <c r="E52" i="4"/>
  <c r="D52" i="4"/>
  <c r="C52" i="4"/>
  <c r="B52" i="4"/>
  <c r="A52" i="4"/>
  <c r="AD52" i="4" s="1"/>
  <c r="AE52" i="4" s="1"/>
  <c r="AC51" i="4"/>
  <c r="AB51" i="4"/>
  <c r="AA51" i="4"/>
  <c r="Z51" i="4"/>
  <c r="Y51" i="4"/>
  <c r="X51" i="4"/>
  <c r="W51" i="4"/>
  <c r="V51" i="4"/>
  <c r="T51" i="4"/>
  <c r="U51" i="4" s="1"/>
  <c r="R51" i="4"/>
  <c r="S51" i="4" s="1"/>
  <c r="P51" i="4"/>
  <c r="Q51" i="4" s="1"/>
  <c r="N51" i="4"/>
  <c r="O51" i="4" s="1"/>
  <c r="M51" i="4"/>
  <c r="K51" i="4"/>
  <c r="L51" i="4" s="1"/>
  <c r="J51" i="4"/>
  <c r="H51" i="4"/>
  <c r="I51" i="4" s="1"/>
  <c r="G51" i="4"/>
  <c r="F51" i="4"/>
  <c r="E51" i="4"/>
  <c r="D51" i="4"/>
  <c r="C51" i="4"/>
  <c r="B51" i="4"/>
  <c r="A51" i="4"/>
  <c r="AF51" i="4" s="1"/>
  <c r="AC50" i="4"/>
  <c r="AB50" i="4"/>
  <c r="AA50" i="4"/>
  <c r="Z50" i="4"/>
  <c r="Y50" i="4"/>
  <c r="X50" i="4"/>
  <c r="W50" i="4"/>
  <c r="V50" i="4"/>
  <c r="T50" i="4"/>
  <c r="U50" i="4" s="1"/>
  <c r="R50" i="4"/>
  <c r="S50" i="4" s="1"/>
  <c r="P50" i="4"/>
  <c r="Q50" i="4" s="1"/>
  <c r="N50" i="4"/>
  <c r="O50" i="4" s="1"/>
  <c r="M50" i="4"/>
  <c r="K50" i="4"/>
  <c r="L50" i="4" s="1"/>
  <c r="J50" i="4"/>
  <c r="H50" i="4"/>
  <c r="I50" i="4" s="1"/>
  <c r="G50" i="4"/>
  <c r="F50" i="4"/>
  <c r="E50" i="4"/>
  <c r="D50" i="4"/>
  <c r="C50" i="4"/>
  <c r="B50" i="4"/>
  <c r="A50" i="4"/>
  <c r="AC49" i="4"/>
  <c r="AB49" i="4"/>
  <c r="AA49" i="4"/>
  <c r="Z49" i="4"/>
  <c r="Y49" i="4"/>
  <c r="X49" i="4"/>
  <c r="W49" i="4"/>
  <c r="V49" i="4"/>
  <c r="T49" i="4"/>
  <c r="U49" i="4" s="1"/>
  <c r="S49" i="4"/>
  <c r="R49" i="4"/>
  <c r="P49" i="4"/>
  <c r="Q49" i="4" s="1"/>
  <c r="N49" i="4"/>
  <c r="O49" i="4" s="1"/>
  <c r="M49" i="4"/>
  <c r="K49" i="4"/>
  <c r="L49" i="4" s="1"/>
  <c r="J49" i="4"/>
  <c r="H49" i="4"/>
  <c r="I49" i="4" s="1"/>
  <c r="G49" i="4"/>
  <c r="F49" i="4"/>
  <c r="E49" i="4"/>
  <c r="D49" i="4"/>
  <c r="C49" i="4"/>
  <c r="B49" i="4"/>
  <c r="A49" i="4"/>
  <c r="AD49" i="4" s="1"/>
  <c r="AE49" i="4" s="1"/>
  <c r="AC48" i="4"/>
  <c r="AB48" i="4"/>
  <c r="AA48" i="4"/>
  <c r="Z48" i="4"/>
  <c r="Y48" i="4"/>
  <c r="X48" i="4"/>
  <c r="W48" i="4"/>
  <c r="V48" i="4"/>
  <c r="T48" i="4"/>
  <c r="U48" i="4" s="1"/>
  <c r="R48" i="4"/>
  <c r="S48" i="4" s="1"/>
  <c r="P48" i="4"/>
  <c r="Q48" i="4" s="1"/>
  <c r="N48" i="4"/>
  <c r="O48" i="4" s="1"/>
  <c r="M48" i="4"/>
  <c r="K48" i="4"/>
  <c r="L48" i="4" s="1"/>
  <c r="J48" i="4"/>
  <c r="I48" i="4"/>
  <c r="H48" i="4"/>
  <c r="G48" i="4"/>
  <c r="F48" i="4"/>
  <c r="E48" i="4"/>
  <c r="D48" i="4"/>
  <c r="C48" i="4"/>
  <c r="B48" i="4"/>
  <c r="A48" i="4"/>
  <c r="AG48" i="4" s="1"/>
  <c r="AC47" i="4"/>
  <c r="AB47" i="4"/>
  <c r="AA47" i="4"/>
  <c r="Z47" i="4"/>
  <c r="Y47" i="4"/>
  <c r="X47" i="4"/>
  <c r="W47" i="4"/>
  <c r="V47" i="4"/>
  <c r="T47" i="4"/>
  <c r="U47" i="4" s="1"/>
  <c r="R47" i="4"/>
  <c r="S47" i="4" s="1"/>
  <c r="P47" i="4"/>
  <c r="Q47" i="4" s="1"/>
  <c r="N47" i="4"/>
  <c r="O47" i="4" s="1"/>
  <c r="M47" i="4"/>
  <c r="K47" i="4"/>
  <c r="L47" i="4" s="1"/>
  <c r="J47" i="4"/>
  <c r="H47" i="4"/>
  <c r="I47" i="4" s="1"/>
  <c r="G47" i="4"/>
  <c r="F47" i="4"/>
  <c r="E47" i="4"/>
  <c r="D47" i="4"/>
  <c r="C47" i="4"/>
  <c r="B47" i="4"/>
  <c r="A47" i="4"/>
  <c r="AF47" i="4" s="1"/>
  <c r="AC46" i="4"/>
  <c r="AB46" i="4"/>
  <c r="AA46" i="4"/>
  <c r="Z46" i="4"/>
  <c r="Y46" i="4"/>
  <c r="X46" i="4"/>
  <c r="W46" i="4"/>
  <c r="V46" i="4"/>
  <c r="T46" i="4"/>
  <c r="U46" i="4" s="1"/>
  <c r="R46" i="4"/>
  <c r="S46" i="4" s="1"/>
  <c r="P46" i="4"/>
  <c r="Q46" i="4" s="1"/>
  <c r="N46" i="4"/>
  <c r="O46" i="4" s="1"/>
  <c r="M46" i="4"/>
  <c r="K46" i="4"/>
  <c r="L46" i="4" s="1"/>
  <c r="J46" i="4"/>
  <c r="H46" i="4"/>
  <c r="I46" i="4" s="1"/>
  <c r="G46" i="4"/>
  <c r="F46" i="4"/>
  <c r="E46" i="4"/>
  <c r="D46" i="4"/>
  <c r="C46" i="4"/>
  <c r="B46" i="4"/>
  <c r="A46" i="4"/>
  <c r="AG46" i="4" s="1"/>
  <c r="AC45" i="4"/>
  <c r="AB45" i="4"/>
  <c r="AA45" i="4"/>
  <c r="Z45" i="4"/>
  <c r="Y45" i="4"/>
  <c r="X45" i="4"/>
  <c r="W45" i="4"/>
  <c r="V45" i="4"/>
  <c r="T45" i="4"/>
  <c r="U45" i="4" s="1"/>
  <c r="R45" i="4"/>
  <c r="S45" i="4" s="1"/>
  <c r="P45" i="4"/>
  <c r="Q45" i="4" s="1"/>
  <c r="N45" i="4"/>
  <c r="O45" i="4" s="1"/>
  <c r="M45" i="4"/>
  <c r="K45" i="4"/>
  <c r="L45" i="4" s="1"/>
  <c r="J45" i="4"/>
  <c r="H45" i="4"/>
  <c r="I45" i="4" s="1"/>
  <c r="G45" i="4"/>
  <c r="F45" i="4"/>
  <c r="E45" i="4"/>
  <c r="D45" i="4"/>
  <c r="C45" i="4"/>
  <c r="B45" i="4"/>
  <c r="A45" i="4"/>
  <c r="AD45" i="4" s="1"/>
  <c r="AE45" i="4" s="1"/>
  <c r="AC44" i="4"/>
  <c r="AB44" i="4"/>
  <c r="AA44" i="4"/>
  <c r="Z44" i="4"/>
  <c r="Y44" i="4"/>
  <c r="X44" i="4"/>
  <c r="W44" i="4"/>
  <c r="V44" i="4"/>
  <c r="T44" i="4"/>
  <c r="U44" i="4" s="1"/>
  <c r="R44" i="4"/>
  <c r="S44" i="4" s="1"/>
  <c r="P44" i="4"/>
  <c r="Q44" i="4" s="1"/>
  <c r="N44" i="4"/>
  <c r="O44" i="4" s="1"/>
  <c r="M44" i="4"/>
  <c r="K44" i="4"/>
  <c r="L44" i="4" s="1"/>
  <c r="J44" i="4"/>
  <c r="H44" i="4"/>
  <c r="I44" i="4" s="1"/>
  <c r="G44" i="4"/>
  <c r="F44" i="4"/>
  <c r="E44" i="4"/>
  <c r="D44" i="4"/>
  <c r="C44" i="4"/>
  <c r="B44" i="4"/>
  <c r="A44" i="4"/>
  <c r="AD44" i="4" s="1"/>
  <c r="AE44" i="4" s="1"/>
  <c r="AC43" i="4"/>
  <c r="AB43" i="4"/>
  <c r="AA43" i="4"/>
  <c r="Z43" i="4"/>
  <c r="Y43" i="4"/>
  <c r="X43" i="4"/>
  <c r="W43" i="4"/>
  <c r="V43" i="4"/>
  <c r="U43" i="4"/>
  <c r="T43" i="4"/>
  <c r="R43" i="4"/>
  <c r="S43" i="4" s="1"/>
  <c r="P43" i="4"/>
  <c r="Q43" i="4" s="1"/>
  <c r="N43" i="4"/>
  <c r="O43" i="4" s="1"/>
  <c r="M43" i="4"/>
  <c r="K43" i="4"/>
  <c r="L43" i="4" s="1"/>
  <c r="J43" i="4"/>
  <c r="H43" i="4"/>
  <c r="I43" i="4" s="1"/>
  <c r="G43" i="4"/>
  <c r="F43" i="4"/>
  <c r="E43" i="4"/>
  <c r="D43" i="4"/>
  <c r="C43" i="4"/>
  <c r="B43" i="4"/>
  <c r="A43" i="4"/>
  <c r="AC42" i="4"/>
  <c r="AB42" i="4"/>
  <c r="AA42" i="4"/>
  <c r="Z42" i="4"/>
  <c r="Y42" i="4"/>
  <c r="X42" i="4"/>
  <c r="W42" i="4"/>
  <c r="V42" i="4"/>
  <c r="T42" i="4"/>
  <c r="U42" i="4" s="1"/>
  <c r="R42" i="4"/>
  <c r="S42" i="4" s="1"/>
  <c r="P42" i="4"/>
  <c r="Q42" i="4" s="1"/>
  <c r="N42" i="4"/>
  <c r="O42" i="4" s="1"/>
  <c r="M42" i="4"/>
  <c r="K42" i="4"/>
  <c r="L42" i="4" s="1"/>
  <c r="J42" i="4"/>
  <c r="H42" i="4"/>
  <c r="I42" i="4" s="1"/>
  <c r="G42" i="4"/>
  <c r="F42" i="4"/>
  <c r="E42" i="4"/>
  <c r="D42" i="4"/>
  <c r="C42" i="4"/>
  <c r="B42" i="4"/>
  <c r="A42" i="4"/>
  <c r="AG42" i="4" s="1"/>
  <c r="AC41" i="4"/>
  <c r="AB41" i="4"/>
  <c r="AA41" i="4"/>
  <c r="Z41" i="4"/>
  <c r="Y41" i="4"/>
  <c r="X41" i="4"/>
  <c r="W41" i="4"/>
  <c r="V41" i="4"/>
  <c r="T41" i="4"/>
  <c r="U41" i="4" s="1"/>
  <c r="R41" i="4"/>
  <c r="S41" i="4" s="1"/>
  <c r="P41" i="4"/>
  <c r="Q41" i="4" s="1"/>
  <c r="N41" i="4"/>
  <c r="O41" i="4" s="1"/>
  <c r="M41" i="4"/>
  <c r="K41" i="4"/>
  <c r="L41" i="4" s="1"/>
  <c r="J41" i="4"/>
  <c r="H41" i="4"/>
  <c r="I41" i="4" s="1"/>
  <c r="G41" i="4"/>
  <c r="F41" i="4"/>
  <c r="E41" i="4"/>
  <c r="D41" i="4"/>
  <c r="C41" i="4"/>
  <c r="B41" i="4"/>
  <c r="A41" i="4"/>
  <c r="AD41" i="4" s="1"/>
  <c r="AE41" i="4" s="1"/>
  <c r="AC40" i="4"/>
  <c r="AB40" i="4"/>
  <c r="AA40" i="4"/>
  <c r="Z40" i="4"/>
  <c r="Y40" i="4"/>
  <c r="X40" i="4"/>
  <c r="W40" i="4"/>
  <c r="V40" i="4"/>
  <c r="T40" i="4"/>
  <c r="U40" i="4" s="1"/>
  <c r="R40" i="4"/>
  <c r="S40" i="4" s="1"/>
  <c r="P40" i="4"/>
  <c r="Q40" i="4" s="1"/>
  <c r="N40" i="4"/>
  <c r="O40" i="4" s="1"/>
  <c r="M40" i="4"/>
  <c r="K40" i="4"/>
  <c r="L40" i="4" s="1"/>
  <c r="J40" i="4"/>
  <c r="H40" i="4"/>
  <c r="I40" i="4" s="1"/>
  <c r="G40" i="4"/>
  <c r="F40" i="4"/>
  <c r="E40" i="4"/>
  <c r="D40" i="4"/>
  <c r="C40" i="4"/>
  <c r="B40" i="4"/>
  <c r="A40" i="4"/>
  <c r="AD40" i="4" s="1"/>
  <c r="AE40" i="4" s="1"/>
  <c r="AC39" i="4"/>
  <c r="AB39" i="4"/>
  <c r="AA39" i="4"/>
  <c r="Z39" i="4"/>
  <c r="Y39" i="4"/>
  <c r="X39" i="4"/>
  <c r="W39" i="4"/>
  <c r="V39" i="4"/>
  <c r="T39" i="4"/>
  <c r="U39" i="4" s="1"/>
  <c r="R39" i="4"/>
  <c r="S39" i="4" s="1"/>
  <c r="P39" i="4"/>
  <c r="Q39" i="4" s="1"/>
  <c r="N39" i="4"/>
  <c r="O39" i="4" s="1"/>
  <c r="M39" i="4"/>
  <c r="K39" i="4"/>
  <c r="L39" i="4" s="1"/>
  <c r="J39" i="4"/>
  <c r="H39" i="4"/>
  <c r="I39" i="4" s="1"/>
  <c r="G39" i="4"/>
  <c r="F39" i="4"/>
  <c r="E39" i="4"/>
  <c r="D39" i="4"/>
  <c r="C39" i="4"/>
  <c r="B39" i="4"/>
  <c r="A39" i="4"/>
  <c r="AF39" i="4" s="1"/>
  <c r="AC38" i="4"/>
  <c r="AB38" i="4"/>
  <c r="AA38" i="4"/>
  <c r="Z38" i="4"/>
  <c r="Y38" i="4"/>
  <c r="X38" i="4"/>
  <c r="W38" i="4"/>
  <c r="V38" i="4"/>
  <c r="T38" i="4"/>
  <c r="U38" i="4" s="1"/>
  <c r="R38" i="4"/>
  <c r="S38" i="4" s="1"/>
  <c r="P38" i="4"/>
  <c r="Q38" i="4" s="1"/>
  <c r="N38" i="4"/>
  <c r="O38" i="4" s="1"/>
  <c r="M38" i="4"/>
  <c r="K38" i="4"/>
  <c r="L38" i="4" s="1"/>
  <c r="J38" i="4"/>
  <c r="H38" i="4"/>
  <c r="I38" i="4" s="1"/>
  <c r="G38" i="4"/>
  <c r="F38" i="4"/>
  <c r="E38" i="4"/>
  <c r="D38" i="4"/>
  <c r="C38" i="4"/>
  <c r="B38" i="4"/>
  <c r="A38" i="4"/>
  <c r="AG38" i="4" s="1"/>
  <c r="AC37" i="4"/>
  <c r="AB37" i="4"/>
  <c r="AA37" i="4"/>
  <c r="Z37" i="4"/>
  <c r="Y37" i="4"/>
  <c r="X37" i="4"/>
  <c r="W37" i="4"/>
  <c r="V37" i="4"/>
  <c r="T37" i="4"/>
  <c r="U37" i="4" s="1"/>
  <c r="R37" i="4"/>
  <c r="S37" i="4" s="1"/>
  <c r="P37" i="4"/>
  <c r="Q37" i="4" s="1"/>
  <c r="O37" i="4"/>
  <c r="N37" i="4"/>
  <c r="M37" i="4"/>
  <c r="K37" i="4"/>
  <c r="L37" i="4" s="1"/>
  <c r="J37" i="4"/>
  <c r="H37" i="4"/>
  <c r="I37" i="4" s="1"/>
  <c r="G37" i="4"/>
  <c r="F37" i="4"/>
  <c r="E37" i="4"/>
  <c r="D37" i="4"/>
  <c r="C37" i="4"/>
  <c r="B37" i="4"/>
  <c r="A37" i="4"/>
  <c r="AD37" i="4" s="1"/>
  <c r="AE37" i="4" s="1"/>
  <c r="AC36" i="4"/>
  <c r="AB36" i="4"/>
  <c r="AA36" i="4"/>
  <c r="Z36" i="4"/>
  <c r="Y36" i="4"/>
  <c r="X36" i="4"/>
  <c r="W36" i="4"/>
  <c r="V36" i="4"/>
  <c r="T36" i="4"/>
  <c r="U36" i="4" s="1"/>
  <c r="R36" i="4"/>
  <c r="S36" i="4" s="1"/>
  <c r="P36" i="4"/>
  <c r="Q36" i="4" s="1"/>
  <c r="N36" i="4"/>
  <c r="O36" i="4" s="1"/>
  <c r="M36" i="4"/>
  <c r="K36" i="4"/>
  <c r="L36" i="4" s="1"/>
  <c r="J36" i="4"/>
  <c r="H36" i="4"/>
  <c r="I36" i="4" s="1"/>
  <c r="G36" i="4"/>
  <c r="F36" i="4"/>
  <c r="E36" i="4"/>
  <c r="D36" i="4"/>
  <c r="C36" i="4"/>
  <c r="B36" i="4"/>
  <c r="A36" i="4"/>
  <c r="AC35" i="4"/>
  <c r="AB35" i="4"/>
  <c r="AA35" i="4"/>
  <c r="Z35" i="4"/>
  <c r="Y35" i="4"/>
  <c r="X35" i="4"/>
  <c r="W35" i="4"/>
  <c r="V35" i="4"/>
  <c r="T35" i="4"/>
  <c r="U35" i="4" s="1"/>
  <c r="R35" i="4"/>
  <c r="S35" i="4" s="1"/>
  <c r="P35" i="4"/>
  <c r="Q35" i="4" s="1"/>
  <c r="N35" i="4"/>
  <c r="O35" i="4" s="1"/>
  <c r="M35" i="4"/>
  <c r="K35" i="4"/>
  <c r="L35" i="4" s="1"/>
  <c r="J35" i="4"/>
  <c r="H35" i="4"/>
  <c r="I35" i="4" s="1"/>
  <c r="G35" i="4"/>
  <c r="F35" i="4"/>
  <c r="E35" i="4"/>
  <c r="D35" i="4"/>
  <c r="C35" i="4"/>
  <c r="B35" i="4"/>
  <c r="A35" i="4"/>
  <c r="AF35" i="4" s="1"/>
  <c r="AC34" i="4"/>
  <c r="AB34" i="4"/>
  <c r="AA34" i="4"/>
  <c r="Z34" i="4"/>
  <c r="Y34" i="4"/>
  <c r="X34" i="4"/>
  <c r="W34" i="4"/>
  <c r="V34" i="4"/>
  <c r="T34" i="4"/>
  <c r="U34" i="4" s="1"/>
  <c r="R34" i="4"/>
  <c r="S34" i="4" s="1"/>
  <c r="P34" i="4"/>
  <c r="Q34" i="4" s="1"/>
  <c r="N34" i="4"/>
  <c r="O34" i="4" s="1"/>
  <c r="M34" i="4"/>
  <c r="K34" i="4"/>
  <c r="L34" i="4" s="1"/>
  <c r="J34" i="4"/>
  <c r="H34" i="4"/>
  <c r="I34" i="4" s="1"/>
  <c r="G34" i="4"/>
  <c r="F34" i="4"/>
  <c r="E34" i="4"/>
  <c r="D34" i="4"/>
  <c r="C34" i="4"/>
  <c r="B34" i="4"/>
  <c r="A34" i="4"/>
  <c r="AC33" i="4"/>
  <c r="AB33" i="4"/>
  <c r="AA33" i="4"/>
  <c r="Z33" i="4"/>
  <c r="Y33" i="4"/>
  <c r="X33" i="4"/>
  <c r="W33" i="4"/>
  <c r="V33" i="4"/>
  <c r="T33" i="4"/>
  <c r="U33" i="4" s="1"/>
  <c r="R33" i="4"/>
  <c r="S33" i="4" s="1"/>
  <c r="P33" i="4"/>
  <c r="Q33" i="4" s="1"/>
  <c r="N33" i="4"/>
  <c r="O33" i="4" s="1"/>
  <c r="M33" i="4"/>
  <c r="K33" i="4"/>
  <c r="L33" i="4" s="1"/>
  <c r="J33" i="4"/>
  <c r="H33" i="4"/>
  <c r="I33" i="4" s="1"/>
  <c r="G33" i="4"/>
  <c r="F33" i="4"/>
  <c r="E33" i="4"/>
  <c r="D33" i="4"/>
  <c r="C33" i="4"/>
  <c r="B33" i="4"/>
  <c r="A33" i="4"/>
  <c r="AD33" i="4" s="1"/>
  <c r="AE33" i="4" s="1"/>
  <c r="AC32" i="4"/>
  <c r="AB32" i="4"/>
  <c r="AA32" i="4"/>
  <c r="Z32" i="4"/>
  <c r="Y32" i="4"/>
  <c r="X32" i="4"/>
  <c r="W32" i="4"/>
  <c r="V32" i="4"/>
  <c r="T32" i="4"/>
  <c r="U32" i="4" s="1"/>
  <c r="R32" i="4"/>
  <c r="S32" i="4" s="1"/>
  <c r="P32" i="4"/>
  <c r="Q32" i="4" s="1"/>
  <c r="N32" i="4"/>
  <c r="O32" i="4" s="1"/>
  <c r="M32" i="4"/>
  <c r="K32" i="4"/>
  <c r="L32" i="4" s="1"/>
  <c r="J32" i="4"/>
  <c r="H32" i="4"/>
  <c r="I32" i="4" s="1"/>
  <c r="G32" i="4"/>
  <c r="F32" i="4"/>
  <c r="E32" i="4"/>
  <c r="D32" i="4"/>
  <c r="C32" i="4"/>
  <c r="B32" i="4"/>
  <c r="A32" i="4"/>
  <c r="AG32" i="4" s="1"/>
  <c r="AC31" i="4"/>
  <c r="AB31" i="4"/>
  <c r="AA31" i="4"/>
  <c r="Z31" i="4"/>
  <c r="Y31" i="4"/>
  <c r="X31" i="4"/>
  <c r="W31" i="4"/>
  <c r="V31" i="4"/>
  <c r="T31" i="4"/>
  <c r="U31" i="4" s="1"/>
  <c r="R31" i="4"/>
  <c r="S31" i="4" s="1"/>
  <c r="Q31" i="4"/>
  <c r="P31" i="4"/>
  <c r="N31" i="4"/>
  <c r="O31" i="4" s="1"/>
  <c r="M31" i="4"/>
  <c r="K31" i="4"/>
  <c r="L31" i="4" s="1"/>
  <c r="J31" i="4"/>
  <c r="H31" i="4"/>
  <c r="I31" i="4" s="1"/>
  <c r="G31" i="4"/>
  <c r="F31" i="4"/>
  <c r="E31" i="4"/>
  <c r="D31" i="4"/>
  <c r="C31" i="4"/>
  <c r="B31" i="4"/>
  <c r="A31" i="4"/>
  <c r="AF31" i="4" s="1"/>
  <c r="AC30" i="4"/>
  <c r="AB30" i="4"/>
  <c r="AA30" i="4"/>
  <c r="Z30" i="4"/>
  <c r="Y30" i="4"/>
  <c r="X30" i="4"/>
  <c r="W30" i="4"/>
  <c r="V30" i="4"/>
  <c r="T30" i="4"/>
  <c r="U30" i="4" s="1"/>
  <c r="R30" i="4"/>
  <c r="S30" i="4" s="1"/>
  <c r="P30" i="4"/>
  <c r="Q30" i="4" s="1"/>
  <c r="N30" i="4"/>
  <c r="O30" i="4" s="1"/>
  <c r="M30" i="4"/>
  <c r="K30" i="4"/>
  <c r="L30" i="4" s="1"/>
  <c r="J30" i="4"/>
  <c r="H30" i="4"/>
  <c r="I30" i="4" s="1"/>
  <c r="G30" i="4"/>
  <c r="F30" i="4"/>
  <c r="E30" i="4"/>
  <c r="D30" i="4"/>
  <c r="C30" i="4"/>
  <c r="B30" i="4"/>
  <c r="A30" i="4"/>
  <c r="AG30" i="4" s="1"/>
  <c r="AC29" i="4"/>
  <c r="AB29" i="4"/>
  <c r="AA29" i="4"/>
  <c r="Z29" i="4"/>
  <c r="Y29" i="4"/>
  <c r="X29" i="4"/>
  <c r="W29" i="4"/>
  <c r="V29" i="4"/>
  <c r="T29" i="4"/>
  <c r="U29" i="4" s="1"/>
  <c r="R29" i="4"/>
  <c r="S29" i="4" s="1"/>
  <c r="P29" i="4"/>
  <c r="Q29" i="4" s="1"/>
  <c r="N29" i="4"/>
  <c r="O29" i="4" s="1"/>
  <c r="M29" i="4"/>
  <c r="K29" i="4"/>
  <c r="L29" i="4" s="1"/>
  <c r="J29" i="4"/>
  <c r="H29" i="4"/>
  <c r="I29" i="4" s="1"/>
  <c r="G29" i="4"/>
  <c r="F29" i="4"/>
  <c r="E29" i="4"/>
  <c r="D29" i="4"/>
  <c r="C29" i="4"/>
  <c r="B29" i="4"/>
  <c r="A29" i="4"/>
  <c r="AD29" i="4" s="1"/>
  <c r="AE29" i="4" s="1"/>
  <c r="AC28" i="4"/>
  <c r="AB28" i="4"/>
  <c r="AA28" i="4"/>
  <c r="Z28" i="4"/>
  <c r="Y28" i="4"/>
  <c r="X28" i="4"/>
  <c r="W28" i="4"/>
  <c r="V28" i="4"/>
  <c r="T28" i="4"/>
  <c r="U28" i="4" s="1"/>
  <c r="R28" i="4"/>
  <c r="S28" i="4" s="1"/>
  <c r="P28" i="4"/>
  <c r="Q28" i="4" s="1"/>
  <c r="N28" i="4"/>
  <c r="O28" i="4" s="1"/>
  <c r="M28" i="4"/>
  <c r="K28" i="4"/>
  <c r="L28" i="4" s="1"/>
  <c r="J28" i="4"/>
  <c r="H28" i="4"/>
  <c r="I28" i="4" s="1"/>
  <c r="G28" i="4"/>
  <c r="F28" i="4"/>
  <c r="E28" i="4"/>
  <c r="D28" i="4"/>
  <c r="C28" i="4"/>
  <c r="B28" i="4"/>
  <c r="A28" i="4"/>
  <c r="AD28" i="4" s="1"/>
  <c r="AE28" i="4" s="1"/>
  <c r="AC27" i="4"/>
  <c r="AB27" i="4"/>
  <c r="AA27" i="4"/>
  <c r="Z27" i="4"/>
  <c r="Y27" i="4"/>
  <c r="X27" i="4"/>
  <c r="W27" i="4"/>
  <c r="V27" i="4"/>
  <c r="T27" i="4"/>
  <c r="U27" i="4" s="1"/>
  <c r="R27" i="4"/>
  <c r="S27" i="4" s="1"/>
  <c r="P27" i="4"/>
  <c r="Q27" i="4" s="1"/>
  <c r="N27" i="4"/>
  <c r="O27" i="4" s="1"/>
  <c r="M27" i="4"/>
  <c r="K27" i="4"/>
  <c r="L27" i="4" s="1"/>
  <c r="J27" i="4"/>
  <c r="H27" i="4"/>
  <c r="I27" i="4" s="1"/>
  <c r="G27" i="4"/>
  <c r="F27" i="4"/>
  <c r="E27" i="4"/>
  <c r="D27" i="4"/>
  <c r="C27" i="4"/>
  <c r="B27" i="4"/>
  <c r="A27" i="4"/>
  <c r="AD27" i="4" s="1"/>
  <c r="AE27" i="4" s="1"/>
  <c r="AC26" i="4"/>
  <c r="AB26" i="4"/>
  <c r="AA26" i="4"/>
  <c r="Z26" i="4"/>
  <c r="Y26" i="4"/>
  <c r="X26" i="4"/>
  <c r="W26" i="4"/>
  <c r="V26" i="4"/>
  <c r="T26" i="4"/>
  <c r="U26" i="4" s="1"/>
  <c r="R26" i="4"/>
  <c r="S26" i="4" s="1"/>
  <c r="P26" i="4"/>
  <c r="Q26" i="4" s="1"/>
  <c r="N26" i="4"/>
  <c r="O26" i="4" s="1"/>
  <c r="M26" i="4"/>
  <c r="K26" i="4"/>
  <c r="L26" i="4" s="1"/>
  <c r="J26" i="4"/>
  <c r="H26" i="4"/>
  <c r="I26" i="4" s="1"/>
  <c r="G26" i="4"/>
  <c r="F26" i="4"/>
  <c r="E26" i="4"/>
  <c r="D26" i="4"/>
  <c r="C26" i="4"/>
  <c r="B26" i="4"/>
  <c r="A26" i="4"/>
  <c r="AG26" i="4" s="1"/>
  <c r="AC25" i="4"/>
  <c r="AB25" i="4"/>
  <c r="AA25" i="4"/>
  <c r="Z25" i="4"/>
  <c r="Y25" i="4"/>
  <c r="X25" i="4"/>
  <c r="W25" i="4"/>
  <c r="V25" i="4"/>
  <c r="T25" i="4"/>
  <c r="U25" i="4" s="1"/>
  <c r="S25" i="4"/>
  <c r="R25" i="4"/>
  <c r="P25" i="4"/>
  <c r="Q25" i="4" s="1"/>
  <c r="N25" i="4"/>
  <c r="O25" i="4" s="1"/>
  <c r="M25" i="4"/>
  <c r="K25" i="4"/>
  <c r="L25" i="4" s="1"/>
  <c r="J25" i="4"/>
  <c r="H25" i="4"/>
  <c r="I25" i="4" s="1"/>
  <c r="G25" i="4"/>
  <c r="F25" i="4"/>
  <c r="E25" i="4"/>
  <c r="D25" i="4"/>
  <c r="C25" i="4"/>
  <c r="B25" i="4"/>
  <c r="A25" i="4"/>
  <c r="AC24" i="4"/>
  <c r="AB24" i="4"/>
  <c r="AA24" i="4"/>
  <c r="Z24" i="4"/>
  <c r="Y24" i="4"/>
  <c r="X24" i="4"/>
  <c r="W24" i="4"/>
  <c r="V24" i="4"/>
  <c r="T24" i="4"/>
  <c r="U24" i="4" s="1"/>
  <c r="R24" i="4"/>
  <c r="S24" i="4" s="1"/>
  <c r="P24" i="4"/>
  <c r="Q24" i="4" s="1"/>
  <c r="N24" i="4"/>
  <c r="O24" i="4" s="1"/>
  <c r="M24" i="4"/>
  <c r="K24" i="4"/>
  <c r="L24" i="4" s="1"/>
  <c r="J24" i="4"/>
  <c r="H24" i="4"/>
  <c r="I24" i="4" s="1"/>
  <c r="G24" i="4"/>
  <c r="F24" i="4"/>
  <c r="E24" i="4"/>
  <c r="D24" i="4"/>
  <c r="C24" i="4"/>
  <c r="B24" i="4"/>
  <c r="A24" i="4"/>
  <c r="AC23" i="4"/>
  <c r="AB23" i="4"/>
  <c r="AA23" i="4"/>
  <c r="Z23" i="4"/>
  <c r="Y23" i="4"/>
  <c r="X23" i="4"/>
  <c r="W23" i="4"/>
  <c r="V23" i="4"/>
  <c r="T23" i="4"/>
  <c r="U23" i="4" s="1"/>
  <c r="R23" i="4"/>
  <c r="S23" i="4" s="1"/>
  <c r="P23" i="4"/>
  <c r="Q23" i="4" s="1"/>
  <c r="N23" i="4"/>
  <c r="O23" i="4" s="1"/>
  <c r="M23" i="4"/>
  <c r="K23" i="4"/>
  <c r="L23" i="4" s="1"/>
  <c r="J23" i="4"/>
  <c r="H23" i="4"/>
  <c r="I23" i="4" s="1"/>
  <c r="G23" i="4"/>
  <c r="F23" i="4"/>
  <c r="E23" i="4"/>
  <c r="D23" i="4"/>
  <c r="C23" i="4"/>
  <c r="B23" i="4"/>
  <c r="A23" i="4"/>
  <c r="AF23" i="4" s="1"/>
  <c r="AC22" i="4"/>
  <c r="AB22" i="4"/>
  <c r="AA22" i="4"/>
  <c r="Z22" i="4"/>
  <c r="Y22" i="4"/>
  <c r="X22" i="4"/>
  <c r="W22" i="4"/>
  <c r="V22" i="4"/>
  <c r="T22" i="4"/>
  <c r="U22" i="4" s="1"/>
  <c r="R22" i="4"/>
  <c r="S22" i="4" s="1"/>
  <c r="P22" i="4"/>
  <c r="Q22" i="4" s="1"/>
  <c r="N22" i="4"/>
  <c r="O22" i="4" s="1"/>
  <c r="M22" i="4"/>
  <c r="K22" i="4"/>
  <c r="L22" i="4" s="1"/>
  <c r="J22" i="4"/>
  <c r="H22" i="4"/>
  <c r="I22" i="4" s="1"/>
  <c r="G22" i="4"/>
  <c r="F22" i="4"/>
  <c r="E22" i="4"/>
  <c r="D22" i="4"/>
  <c r="C22" i="4"/>
  <c r="B22" i="4"/>
  <c r="A22" i="4"/>
  <c r="AC21" i="4"/>
  <c r="AB21" i="4"/>
  <c r="AA21" i="4"/>
  <c r="Z21" i="4"/>
  <c r="Y21" i="4"/>
  <c r="X21" i="4"/>
  <c r="W21" i="4"/>
  <c r="V21" i="4"/>
  <c r="T21" i="4"/>
  <c r="U21" i="4" s="1"/>
  <c r="R21" i="4"/>
  <c r="S21" i="4" s="1"/>
  <c r="P21" i="4"/>
  <c r="Q21" i="4" s="1"/>
  <c r="N21" i="4"/>
  <c r="O21" i="4" s="1"/>
  <c r="M21" i="4"/>
  <c r="K21" i="4"/>
  <c r="L21" i="4" s="1"/>
  <c r="J21" i="4"/>
  <c r="H21" i="4"/>
  <c r="I21" i="4" s="1"/>
  <c r="G21" i="4"/>
  <c r="F21" i="4"/>
  <c r="E21" i="4"/>
  <c r="D21" i="4"/>
  <c r="C21" i="4"/>
  <c r="B21" i="4"/>
  <c r="A21" i="4"/>
  <c r="AD21" i="4" s="1"/>
  <c r="AE21" i="4" s="1"/>
  <c r="AC20" i="4"/>
  <c r="AB20" i="4"/>
  <c r="AA20" i="4"/>
  <c r="Z20" i="4"/>
  <c r="Y20" i="4"/>
  <c r="X20" i="4"/>
  <c r="W20" i="4"/>
  <c r="V20" i="4"/>
  <c r="T20" i="4"/>
  <c r="U20" i="4" s="1"/>
  <c r="R20" i="4"/>
  <c r="S20" i="4" s="1"/>
  <c r="P20" i="4"/>
  <c r="Q20" i="4" s="1"/>
  <c r="N20" i="4"/>
  <c r="O20" i="4" s="1"/>
  <c r="M20" i="4"/>
  <c r="K20" i="4"/>
  <c r="L20" i="4" s="1"/>
  <c r="J20" i="4"/>
  <c r="H20" i="4"/>
  <c r="I20" i="4" s="1"/>
  <c r="G20" i="4"/>
  <c r="F20" i="4"/>
  <c r="E20" i="4"/>
  <c r="D20" i="4"/>
  <c r="C20" i="4"/>
  <c r="B20" i="4"/>
  <c r="A20" i="4"/>
  <c r="AC19" i="4"/>
  <c r="AB19" i="4"/>
  <c r="AA19" i="4"/>
  <c r="Z19" i="4"/>
  <c r="Y19" i="4"/>
  <c r="X19" i="4"/>
  <c r="W19" i="4"/>
  <c r="V19" i="4"/>
  <c r="T19" i="4"/>
  <c r="U19" i="4" s="1"/>
  <c r="R19" i="4"/>
  <c r="S19" i="4" s="1"/>
  <c r="P19" i="4"/>
  <c r="Q19" i="4" s="1"/>
  <c r="N19" i="4"/>
  <c r="O19" i="4" s="1"/>
  <c r="M19" i="4"/>
  <c r="K19" i="4"/>
  <c r="L19" i="4" s="1"/>
  <c r="J19" i="4"/>
  <c r="H19" i="4"/>
  <c r="I19" i="4" s="1"/>
  <c r="G19" i="4"/>
  <c r="F19" i="4"/>
  <c r="E19" i="4"/>
  <c r="D19" i="4"/>
  <c r="C19" i="4"/>
  <c r="B19" i="4"/>
  <c r="A19" i="4"/>
  <c r="AF19" i="4" s="1"/>
  <c r="AC18" i="4"/>
  <c r="AB18" i="4"/>
  <c r="AA18" i="4"/>
  <c r="Z18" i="4"/>
  <c r="Y18" i="4"/>
  <c r="X18" i="4"/>
  <c r="W18" i="4"/>
  <c r="V18" i="4"/>
  <c r="T18" i="4"/>
  <c r="U18" i="4" s="1"/>
  <c r="R18" i="4"/>
  <c r="S18" i="4" s="1"/>
  <c r="P18" i="4"/>
  <c r="Q18" i="4" s="1"/>
  <c r="O18" i="4"/>
  <c r="N18" i="4"/>
  <c r="M18" i="4"/>
  <c r="K18" i="4"/>
  <c r="L18" i="4" s="1"/>
  <c r="J18" i="4"/>
  <c r="H18" i="4"/>
  <c r="I18" i="4" s="1"/>
  <c r="G18" i="4"/>
  <c r="F18" i="4"/>
  <c r="E18" i="4"/>
  <c r="D18" i="4"/>
  <c r="C18" i="4"/>
  <c r="B18" i="4"/>
  <c r="A18" i="4"/>
  <c r="AC17" i="4"/>
  <c r="AB17" i="4"/>
  <c r="AA17" i="4"/>
  <c r="Z17" i="4"/>
  <c r="Y17" i="4"/>
  <c r="X17" i="4"/>
  <c r="W17" i="4"/>
  <c r="V17" i="4"/>
  <c r="T17" i="4"/>
  <c r="U17" i="4" s="1"/>
  <c r="R17" i="4"/>
  <c r="S17" i="4" s="1"/>
  <c r="P17" i="4"/>
  <c r="Q17" i="4" s="1"/>
  <c r="O17" i="4"/>
  <c r="N17" i="4"/>
  <c r="M17" i="4"/>
  <c r="K17" i="4"/>
  <c r="L17" i="4" s="1"/>
  <c r="J17" i="4"/>
  <c r="H17" i="4"/>
  <c r="I17" i="4" s="1"/>
  <c r="G17" i="4"/>
  <c r="F17" i="4"/>
  <c r="E17" i="4"/>
  <c r="D17" i="4"/>
  <c r="C17" i="4"/>
  <c r="B17" i="4"/>
  <c r="A17" i="4"/>
  <c r="AD17" i="4" s="1"/>
  <c r="AE17" i="4" s="1"/>
  <c r="AC16" i="4"/>
  <c r="AB16" i="4"/>
  <c r="AA16" i="4"/>
  <c r="Z16" i="4"/>
  <c r="Y16" i="4"/>
  <c r="X16" i="4"/>
  <c r="W16" i="4"/>
  <c r="V16" i="4"/>
  <c r="T16" i="4"/>
  <c r="U16" i="4" s="1"/>
  <c r="R16" i="4"/>
  <c r="S16" i="4" s="1"/>
  <c r="P16" i="4"/>
  <c r="Q16" i="4" s="1"/>
  <c r="N16" i="4"/>
  <c r="O16" i="4" s="1"/>
  <c r="M16" i="4"/>
  <c r="K16" i="4"/>
  <c r="L16" i="4" s="1"/>
  <c r="J16" i="4"/>
  <c r="H16" i="4"/>
  <c r="I16" i="4" s="1"/>
  <c r="G16" i="4"/>
  <c r="F16" i="4"/>
  <c r="E16" i="4"/>
  <c r="D16" i="4"/>
  <c r="C16" i="4"/>
  <c r="B16" i="4"/>
  <c r="A16" i="4"/>
  <c r="AG16" i="4" s="1"/>
  <c r="AC15" i="4"/>
  <c r="AB15" i="4"/>
  <c r="AA15" i="4"/>
  <c r="Z15" i="4"/>
  <c r="Y15" i="4"/>
  <c r="X15" i="4"/>
  <c r="W15" i="4"/>
  <c r="V15" i="4"/>
  <c r="T15" i="4"/>
  <c r="U15" i="4" s="1"/>
  <c r="R15" i="4"/>
  <c r="S15" i="4" s="1"/>
  <c r="P15" i="4"/>
  <c r="Q15" i="4" s="1"/>
  <c r="N15" i="4"/>
  <c r="O15" i="4" s="1"/>
  <c r="M15" i="4"/>
  <c r="K15" i="4"/>
  <c r="L15" i="4" s="1"/>
  <c r="J15" i="4"/>
  <c r="H15" i="4"/>
  <c r="I15" i="4" s="1"/>
  <c r="G15" i="4"/>
  <c r="F15" i="4"/>
  <c r="E15" i="4"/>
  <c r="D15" i="4"/>
  <c r="C15" i="4"/>
  <c r="B15" i="4"/>
  <c r="A15" i="4"/>
  <c r="AF15" i="4" s="1"/>
  <c r="AC14" i="4"/>
  <c r="AB14" i="4"/>
  <c r="AA14" i="4"/>
  <c r="Z14" i="4"/>
  <c r="Y14" i="4"/>
  <c r="X14" i="4"/>
  <c r="W14" i="4"/>
  <c r="V14" i="4"/>
  <c r="T14" i="4"/>
  <c r="U14" i="4" s="1"/>
  <c r="R14" i="4"/>
  <c r="S14" i="4" s="1"/>
  <c r="P14" i="4"/>
  <c r="Q14" i="4" s="1"/>
  <c r="N14" i="4"/>
  <c r="O14" i="4" s="1"/>
  <c r="M14" i="4"/>
  <c r="K14" i="4"/>
  <c r="L14" i="4" s="1"/>
  <c r="J14" i="4"/>
  <c r="H14" i="4"/>
  <c r="I14" i="4" s="1"/>
  <c r="G14" i="4"/>
  <c r="F14" i="4"/>
  <c r="E14" i="4"/>
  <c r="D14" i="4"/>
  <c r="C14" i="4"/>
  <c r="B14" i="4"/>
  <c r="A14" i="4"/>
  <c r="AG14" i="4" s="1"/>
  <c r="AC13" i="4"/>
  <c r="AB13" i="4"/>
  <c r="AA13" i="4"/>
  <c r="Z13" i="4"/>
  <c r="Y13" i="4"/>
  <c r="X13" i="4"/>
  <c r="W13" i="4"/>
  <c r="V13" i="4"/>
  <c r="T13" i="4"/>
  <c r="U13" i="4" s="1"/>
  <c r="R13" i="4"/>
  <c r="S13" i="4" s="1"/>
  <c r="P13" i="4"/>
  <c r="Q13" i="4" s="1"/>
  <c r="N13" i="4"/>
  <c r="O13" i="4" s="1"/>
  <c r="M13" i="4"/>
  <c r="K13" i="4"/>
  <c r="L13" i="4" s="1"/>
  <c r="J13" i="4"/>
  <c r="H13" i="4"/>
  <c r="I13" i="4" s="1"/>
  <c r="G13" i="4"/>
  <c r="F13" i="4"/>
  <c r="E13" i="4"/>
  <c r="D13" i="4"/>
  <c r="C13" i="4"/>
  <c r="B13" i="4"/>
  <c r="A13" i="4"/>
  <c r="AD13" i="4" s="1"/>
  <c r="AE13" i="4" s="1"/>
  <c r="AC12" i="4"/>
  <c r="AB12" i="4"/>
  <c r="AA12" i="4"/>
  <c r="Z12" i="4"/>
  <c r="Y12" i="4"/>
  <c r="X12" i="4"/>
  <c r="W12" i="4"/>
  <c r="V12" i="4"/>
  <c r="T12" i="4"/>
  <c r="U12" i="4" s="1"/>
  <c r="R12" i="4"/>
  <c r="S12" i="4" s="1"/>
  <c r="P12" i="4"/>
  <c r="Q12" i="4" s="1"/>
  <c r="N12" i="4"/>
  <c r="O12" i="4" s="1"/>
  <c r="M12" i="4"/>
  <c r="K12" i="4"/>
  <c r="L12" i="4" s="1"/>
  <c r="J12" i="4"/>
  <c r="H12" i="4"/>
  <c r="I12" i="4" s="1"/>
  <c r="G12" i="4"/>
  <c r="F12" i="4"/>
  <c r="E12" i="4"/>
  <c r="D12" i="4"/>
  <c r="C12" i="4"/>
  <c r="B12" i="4"/>
  <c r="A12" i="4"/>
  <c r="AG12" i="4" s="1"/>
  <c r="AC11" i="4"/>
  <c r="AB11" i="4"/>
  <c r="AA11" i="4"/>
  <c r="Z11" i="4"/>
  <c r="Y11" i="4"/>
  <c r="X11" i="4"/>
  <c r="W11" i="4"/>
  <c r="V11" i="4"/>
  <c r="T11" i="4"/>
  <c r="U11" i="4" s="1"/>
  <c r="R11" i="4"/>
  <c r="S11" i="4" s="1"/>
  <c r="P11" i="4"/>
  <c r="Q11" i="4" s="1"/>
  <c r="N11" i="4"/>
  <c r="O11" i="4" s="1"/>
  <c r="M11" i="4"/>
  <c r="K11" i="4"/>
  <c r="L11" i="4" s="1"/>
  <c r="J11" i="4"/>
  <c r="H11" i="4"/>
  <c r="I11" i="4" s="1"/>
  <c r="G11" i="4"/>
  <c r="F11" i="4"/>
  <c r="E11" i="4"/>
  <c r="D11" i="4"/>
  <c r="C11" i="4"/>
  <c r="B11" i="4"/>
  <c r="A11" i="4"/>
  <c r="AC10" i="4"/>
  <c r="AB10" i="4"/>
  <c r="AA10" i="4"/>
  <c r="Z10" i="4"/>
  <c r="Y10" i="4"/>
  <c r="X10" i="4"/>
  <c r="W10" i="4"/>
  <c r="V10" i="4"/>
  <c r="T10" i="4"/>
  <c r="U10" i="4" s="1"/>
  <c r="R10" i="4"/>
  <c r="S10" i="4" s="1"/>
  <c r="P10" i="4"/>
  <c r="Q10" i="4" s="1"/>
  <c r="N10" i="4"/>
  <c r="O10" i="4" s="1"/>
  <c r="M10" i="4"/>
  <c r="K10" i="4"/>
  <c r="L10" i="4" s="1"/>
  <c r="J10" i="4"/>
  <c r="H10" i="4"/>
  <c r="I10" i="4" s="1"/>
  <c r="G10" i="4"/>
  <c r="F10" i="4"/>
  <c r="E10" i="4"/>
  <c r="D10" i="4"/>
  <c r="C10" i="4"/>
  <c r="B10" i="4"/>
  <c r="A10" i="4"/>
  <c r="AG10" i="4" s="1"/>
  <c r="AC9" i="4"/>
  <c r="AB9" i="4"/>
  <c r="AA9" i="4"/>
  <c r="Z9" i="4"/>
  <c r="Y9" i="4"/>
  <c r="X9" i="4"/>
  <c r="W9" i="4"/>
  <c r="V9" i="4"/>
  <c r="T9" i="4"/>
  <c r="U9" i="4" s="1"/>
  <c r="R9" i="4"/>
  <c r="S9" i="4" s="1"/>
  <c r="P9" i="4"/>
  <c r="Q9" i="4" s="1"/>
  <c r="N9" i="4"/>
  <c r="O9" i="4" s="1"/>
  <c r="M9" i="4"/>
  <c r="K9" i="4"/>
  <c r="L9" i="4" s="1"/>
  <c r="J9" i="4"/>
  <c r="H9" i="4"/>
  <c r="I9" i="4" s="1"/>
  <c r="G9" i="4"/>
  <c r="F9" i="4"/>
  <c r="E9" i="4"/>
  <c r="D9" i="4"/>
  <c r="C9" i="4"/>
  <c r="B9" i="4"/>
  <c r="A9" i="4"/>
  <c r="AD9" i="4" s="1"/>
  <c r="AE9" i="4" s="1"/>
  <c r="AC8" i="4"/>
  <c r="AB8" i="4"/>
  <c r="AA8" i="4"/>
  <c r="Z8" i="4"/>
  <c r="Y8" i="4"/>
  <c r="X8" i="4"/>
  <c r="W8" i="4"/>
  <c r="V8" i="4"/>
  <c r="T8" i="4"/>
  <c r="U8" i="4" s="1"/>
  <c r="R8" i="4"/>
  <c r="S8" i="4" s="1"/>
  <c r="P8" i="4"/>
  <c r="Q8" i="4" s="1"/>
  <c r="N8" i="4"/>
  <c r="O8" i="4" s="1"/>
  <c r="M8" i="4"/>
  <c r="K8" i="4"/>
  <c r="L8" i="4" s="1"/>
  <c r="J8" i="4"/>
  <c r="H8" i="4"/>
  <c r="I8" i="4" s="1"/>
  <c r="G8" i="4"/>
  <c r="F8" i="4"/>
  <c r="E8" i="4"/>
  <c r="D8" i="4"/>
  <c r="C8" i="4"/>
  <c r="B8" i="4"/>
  <c r="A8" i="4"/>
  <c r="AC7" i="4"/>
  <c r="AB7" i="4"/>
  <c r="AA7" i="4"/>
  <c r="Z7" i="4"/>
  <c r="Y7" i="4"/>
  <c r="X7" i="4"/>
  <c r="W7" i="4"/>
  <c r="V7" i="4"/>
  <c r="T7" i="4"/>
  <c r="U7" i="4" s="1"/>
  <c r="R7" i="4"/>
  <c r="S7" i="4" s="1"/>
  <c r="P7" i="4"/>
  <c r="Q7" i="4" s="1"/>
  <c r="N7" i="4"/>
  <c r="O7" i="4" s="1"/>
  <c r="M7" i="4"/>
  <c r="K7" i="4"/>
  <c r="L7" i="4" s="1"/>
  <c r="J7" i="4"/>
  <c r="H7" i="4"/>
  <c r="I7" i="4" s="1"/>
  <c r="G7" i="4"/>
  <c r="F7" i="4"/>
  <c r="E7" i="4"/>
  <c r="D7" i="4"/>
  <c r="C7" i="4"/>
  <c r="B7" i="4"/>
  <c r="A7" i="4"/>
  <c r="AC6" i="4"/>
  <c r="AB6" i="4"/>
  <c r="AA6" i="4"/>
  <c r="Z6" i="4"/>
  <c r="Y6" i="4"/>
  <c r="X6" i="4"/>
  <c r="W6" i="4"/>
  <c r="V6" i="4"/>
  <c r="T6" i="4"/>
  <c r="U6" i="4" s="1"/>
  <c r="R6" i="4"/>
  <c r="S6" i="4" s="1"/>
  <c r="P6" i="4"/>
  <c r="Q6" i="4" s="1"/>
  <c r="N6" i="4"/>
  <c r="O6" i="4" s="1"/>
  <c r="M6" i="4"/>
  <c r="K6" i="4"/>
  <c r="L6" i="4" s="1"/>
  <c r="J6" i="4"/>
  <c r="H6" i="4"/>
  <c r="I6" i="4" s="1"/>
  <c r="G6" i="4"/>
  <c r="F6" i="4"/>
  <c r="E6" i="4"/>
  <c r="D6" i="4"/>
  <c r="C6" i="4"/>
  <c r="B6" i="4"/>
  <c r="A6" i="4"/>
  <c r="AG6" i="4" s="1"/>
  <c r="AC5" i="4"/>
  <c r="AB5" i="4"/>
  <c r="AA5" i="4"/>
  <c r="Z5" i="4"/>
  <c r="Y5" i="4"/>
  <c r="X5" i="4"/>
  <c r="W5" i="4"/>
  <c r="V5" i="4"/>
  <c r="T5" i="4"/>
  <c r="U5" i="4" s="1"/>
  <c r="R5" i="4"/>
  <c r="S5" i="4" s="1"/>
  <c r="P5" i="4"/>
  <c r="Q5" i="4" s="1"/>
  <c r="N5" i="4"/>
  <c r="O5" i="4" s="1"/>
  <c r="M5" i="4"/>
  <c r="K5" i="4"/>
  <c r="L5" i="4" s="1"/>
  <c r="J5" i="4"/>
  <c r="H5" i="4"/>
  <c r="I5" i="4" s="1"/>
  <c r="G5" i="4"/>
  <c r="F5" i="4"/>
  <c r="E5" i="4"/>
  <c r="D5" i="4"/>
  <c r="C5" i="4"/>
  <c r="B5" i="4"/>
  <c r="A5" i="4"/>
  <c r="AD5" i="4" s="1"/>
  <c r="AE5" i="4" s="1"/>
  <c r="AC4" i="4"/>
  <c r="AB4" i="4"/>
  <c r="AA4" i="4"/>
  <c r="Z4" i="4"/>
  <c r="Y4" i="4"/>
  <c r="X4" i="4"/>
  <c r="W4" i="4"/>
  <c r="V4" i="4"/>
  <c r="T4" i="4"/>
  <c r="U4" i="4" s="1"/>
  <c r="R4" i="4"/>
  <c r="S4" i="4" s="1"/>
  <c r="P4" i="4"/>
  <c r="Q4" i="4" s="1"/>
  <c r="N4" i="4"/>
  <c r="O4" i="4" s="1"/>
  <c r="M4" i="4"/>
  <c r="K4" i="4"/>
  <c r="L4" i="4" s="1"/>
  <c r="J4" i="4"/>
  <c r="H4" i="4"/>
  <c r="I4" i="4" s="1"/>
  <c r="G4" i="4"/>
  <c r="F4" i="4"/>
  <c r="E4" i="4"/>
  <c r="D4" i="4"/>
  <c r="C4" i="4"/>
  <c r="B4" i="4"/>
  <c r="A4" i="4"/>
  <c r="AC3" i="4"/>
  <c r="AB3" i="4"/>
  <c r="AA3" i="4"/>
  <c r="Z3" i="4"/>
  <c r="Y3" i="4"/>
  <c r="X3" i="4"/>
  <c r="W3" i="4"/>
  <c r="V3" i="4"/>
  <c r="T3" i="4"/>
  <c r="U3" i="4" s="1"/>
  <c r="R3" i="4"/>
  <c r="S3" i="4" s="1"/>
  <c r="P3" i="4"/>
  <c r="Q3" i="4" s="1"/>
  <c r="N3" i="4"/>
  <c r="O3" i="4" s="1"/>
  <c r="M3" i="4"/>
  <c r="K3" i="4"/>
  <c r="L3" i="4" s="1"/>
  <c r="J3" i="4"/>
  <c r="H3" i="4"/>
  <c r="I3" i="4" s="1"/>
  <c r="G3" i="4"/>
  <c r="F3" i="4"/>
  <c r="E3" i="4"/>
  <c r="D3" i="4"/>
  <c r="C3" i="4"/>
  <c r="B3" i="4"/>
  <c r="A3" i="4"/>
  <c r="AG3" i="4" s="1"/>
  <c r="AC2" i="4"/>
  <c r="AB2" i="4"/>
  <c r="AA2" i="4"/>
  <c r="Z2" i="4"/>
  <c r="Y2" i="4"/>
  <c r="X2" i="4"/>
  <c r="W2" i="4"/>
  <c r="V2" i="4"/>
  <c r="T2" i="4"/>
  <c r="U2" i="4" s="1"/>
  <c r="R2" i="4"/>
  <c r="S2" i="4" s="1"/>
  <c r="P2" i="4"/>
  <c r="Q2" i="4" s="1"/>
  <c r="N2" i="4"/>
  <c r="O2" i="4" s="1"/>
  <c r="M2" i="4"/>
  <c r="K2" i="4"/>
  <c r="L2" i="4" s="1"/>
  <c r="J2" i="4"/>
  <c r="H2" i="4"/>
  <c r="I2" i="4" s="1"/>
  <c r="G2" i="4"/>
  <c r="F2" i="4"/>
  <c r="E2" i="4"/>
  <c r="D2" i="4"/>
  <c r="C2" i="4"/>
  <c r="B2" i="4"/>
  <c r="A2" i="4"/>
  <c r="AG237" i="4" l="1"/>
  <c r="AF297" i="4"/>
  <c r="AD350" i="4"/>
  <c r="AE350" i="4" s="1"/>
  <c r="AF695" i="4"/>
  <c r="AD188" i="4"/>
  <c r="AE188" i="4" s="1"/>
  <c r="AF73" i="4"/>
  <c r="AF454" i="4"/>
  <c r="AD457" i="4"/>
  <c r="AE457" i="4" s="1"/>
  <c r="AG489" i="4"/>
  <c r="AF885" i="4"/>
  <c r="AF209" i="4"/>
  <c r="AG272" i="4"/>
  <c r="AD523" i="4"/>
  <c r="AE523" i="4" s="1"/>
  <c r="AD772" i="4"/>
  <c r="AE772" i="4" s="1"/>
  <c r="AF774" i="4"/>
  <c r="AF824" i="4"/>
  <c r="AG397" i="4"/>
  <c r="AD683" i="4"/>
  <c r="AE683" i="4" s="1"/>
  <c r="AF782" i="4"/>
  <c r="AF81" i="4"/>
  <c r="AF217" i="4"/>
  <c r="AF5" i="4"/>
  <c r="AD6" i="4"/>
  <c r="AE6" i="4" s="1"/>
  <c r="AF49" i="4"/>
  <c r="AG136" i="4"/>
  <c r="AF208" i="4"/>
  <c r="AD214" i="4"/>
  <c r="AE214" i="4" s="1"/>
  <c r="AD272" i="4"/>
  <c r="AE272" i="4" s="1"/>
  <c r="AF287" i="4"/>
  <c r="AG288" i="4"/>
  <c r="AF332" i="4"/>
  <c r="AD367" i="4"/>
  <c r="AE367" i="4" s="1"/>
  <c r="AF371" i="4"/>
  <c r="AF375" i="4"/>
  <c r="AF444" i="4"/>
  <c r="AG446" i="4"/>
  <c r="AD446" i="4"/>
  <c r="AE446" i="4" s="1"/>
  <c r="AG471" i="4"/>
  <c r="AF471" i="4"/>
  <c r="AF6" i="4"/>
  <c r="AD10" i="4"/>
  <c r="AE10" i="4" s="1"/>
  <c r="AG123" i="4"/>
  <c r="AF137" i="4"/>
  <c r="AF201" i="4"/>
  <c r="AD203" i="4"/>
  <c r="AE203" i="4" s="1"/>
  <c r="AD273" i="4"/>
  <c r="AE273" i="4" s="1"/>
  <c r="AD281" i="4"/>
  <c r="AE281" i="4" s="1"/>
  <c r="AF390" i="4"/>
  <c r="AD78" i="4"/>
  <c r="AE78" i="4" s="1"/>
  <c r="AG118" i="4"/>
  <c r="AF181" i="4"/>
  <c r="AG469" i="4"/>
  <c r="AD469" i="4"/>
  <c r="AE469" i="4" s="1"/>
  <c r="AF581" i="4"/>
  <c r="AD581" i="4"/>
  <c r="AE581" i="4" s="1"/>
  <c r="AG115" i="4"/>
  <c r="AF148" i="4"/>
  <c r="AF184" i="4"/>
  <c r="AF261" i="4"/>
  <c r="AG633" i="4"/>
  <c r="AF633" i="4"/>
  <c r="AD70" i="4"/>
  <c r="AE70" i="4" s="1"/>
  <c r="AF149" i="4"/>
  <c r="AF165" i="4"/>
  <c r="AD187" i="4"/>
  <c r="AE187" i="4" s="1"/>
  <c r="AG261" i="4"/>
  <c r="AD263" i="4"/>
  <c r="AE263" i="4" s="1"/>
  <c r="AG441" i="4"/>
  <c r="AD441" i="4"/>
  <c r="AE441" i="4" s="1"/>
  <c r="AF30" i="4"/>
  <c r="AF263" i="4"/>
  <c r="AF28" i="4"/>
  <c r="AD31" i="4"/>
  <c r="AE31" i="4" s="1"/>
  <c r="AG41" i="4"/>
  <c r="AF42" i="4"/>
  <c r="AF133" i="4"/>
  <c r="AD219" i="4"/>
  <c r="AE219" i="4" s="1"/>
  <c r="AD320" i="4"/>
  <c r="AE320" i="4" s="1"/>
  <c r="AG44" i="4"/>
  <c r="AF350" i="4"/>
  <c r="AG407" i="4"/>
  <c r="AF407" i="4"/>
  <c r="AF430" i="4"/>
  <c r="AG703" i="4"/>
  <c r="AF720" i="4"/>
  <c r="AF820" i="4"/>
  <c r="AF953" i="4"/>
  <c r="AD974" i="4"/>
  <c r="AE974" i="4" s="1"/>
  <c r="AD415" i="4"/>
  <c r="AE415" i="4" s="1"/>
  <c r="AD460" i="4"/>
  <c r="AE460" i="4" s="1"/>
  <c r="AF531" i="4"/>
  <c r="AF547" i="4"/>
  <c r="AG618" i="4"/>
  <c r="AD619" i="4"/>
  <c r="AE619" i="4" s="1"/>
  <c r="AF752" i="4"/>
  <c r="AF832" i="4"/>
  <c r="AF833" i="4"/>
  <c r="AF835" i="4"/>
  <c r="AD859" i="4"/>
  <c r="AE859" i="4" s="1"/>
  <c r="AF862" i="4"/>
  <c r="AD863" i="4"/>
  <c r="AE863" i="4" s="1"/>
  <c r="AF967" i="4"/>
  <c r="AF969" i="4"/>
  <c r="AG975" i="4"/>
  <c r="AF415" i="4"/>
  <c r="AF597" i="4"/>
  <c r="AD620" i="4"/>
  <c r="AE620" i="4" s="1"/>
  <c r="AF653" i="4"/>
  <c r="AF760" i="4"/>
  <c r="AF955" i="4"/>
  <c r="AF997" i="4"/>
  <c r="AD416" i="4"/>
  <c r="AE416" i="4" s="1"/>
  <c r="AF657" i="4"/>
  <c r="AF673" i="4"/>
  <c r="AF778" i="4"/>
  <c r="AF786" i="4"/>
  <c r="AG869" i="4"/>
  <c r="AD870" i="4"/>
  <c r="AE870" i="4" s="1"/>
  <c r="AG585" i="4"/>
  <c r="AF589" i="4"/>
  <c r="AD639" i="4"/>
  <c r="AE639" i="4" s="1"/>
  <c r="AF669" i="4"/>
  <c r="AF792" i="4"/>
  <c r="AG909" i="4"/>
  <c r="AD910" i="4"/>
  <c r="AE910" i="4" s="1"/>
  <c r="AF940" i="4"/>
  <c r="AG601" i="4"/>
  <c r="AD887" i="4"/>
  <c r="AE887" i="4" s="1"/>
  <c r="AG941" i="4"/>
  <c r="AF438" i="4"/>
  <c r="AD454" i="4"/>
  <c r="AE454" i="4" s="1"/>
  <c r="AD561" i="4"/>
  <c r="AE561" i="4" s="1"/>
  <c r="AF691" i="4"/>
  <c r="AF693" i="4"/>
  <c r="AF810" i="4"/>
  <c r="AG912" i="4"/>
  <c r="AD847" i="4"/>
  <c r="AE847" i="4" s="1"/>
  <c r="AG990" i="4"/>
  <c r="AG141" i="4"/>
  <c r="AF141" i="4"/>
  <c r="AD160" i="4"/>
  <c r="AE160" i="4" s="1"/>
  <c r="AG160" i="4"/>
  <c r="AD57" i="4"/>
  <c r="AE57" i="4" s="1"/>
  <c r="AF57" i="4"/>
  <c r="AF10" i="4"/>
  <c r="AF21" i="4"/>
  <c r="AG174" i="4"/>
  <c r="AD174" i="4"/>
  <c r="AE174" i="4" s="1"/>
  <c r="AG20" i="4"/>
  <c r="AF20" i="4"/>
  <c r="AG228" i="4"/>
  <c r="AD228" i="4"/>
  <c r="AE228" i="4" s="1"/>
  <c r="AG302" i="4"/>
  <c r="AF302" i="4"/>
  <c r="AD24" i="4"/>
  <c r="AE24" i="4" s="1"/>
  <c r="AF24" i="4"/>
  <c r="AF4" i="4"/>
  <c r="AG131" i="4"/>
  <c r="AG102" i="4"/>
  <c r="AF102" i="4"/>
  <c r="AF90" i="4"/>
  <c r="AF126" i="4"/>
  <c r="AG126" i="4"/>
  <c r="AG130" i="4"/>
  <c r="AF130" i="4"/>
  <c r="AD252" i="4"/>
  <c r="AE252" i="4" s="1"/>
  <c r="AF252" i="4"/>
  <c r="AG155" i="4"/>
  <c r="AD155" i="4"/>
  <c r="AE155" i="4" s="1"/>
  <c r="AF257" i="4"/>
  <c r="AD14" i="4"/>
  <c r="AE14" i="4" s="1"/>
  <c r="AF41" i="4"/>
  <c r="AF46" i="4"/>
  <c r="AF52" i="4"/>
  <c r="AD75" i="4"/>
  <c r="AE75" i="4" s="1"/>
  <c r="AF98" i="4"/>
  <c r="AD107" i="4"/>
  <c r="AE107" i="4" s="1"/>
  <c r="AD179" i="4"/>
  <c r="AE179" i="4" s="1"/>
  <c r="AD180" i="4"/>
  <c r="AE180" i="4" s="1"/>
  <c r="AD186" i="4"/>
  <c r="AE186" i="4" s="1"/>
  <c r="AF205" i="4"/>
  <c r="AF221" i="4"/>
  <c r="AF226" i="4"/>
  <c r="AG236" i="4"/>
  <c r="AF246" i="4"/>
  <c r="AG541" i="4"/>
  <c r="AD541" i="4"/>
  <c r="AE541" i="4" s="1"/>
  <c r="AD99" i="4"/>
  <c r="AE99" i="4" s="1"/>
  <c r="AF125" i="4"/>
  <c r="AF129" i="4"/>
  <c r="AF136" i="4"/>
  <c r="AF140" i="4"/>
  <c r="AD148" i="4"/>
  <c r="AE148" i="4" s="1"/>
  <c r="AF153" i="4"/>
  <c r="AF173" i="4"/>
  <c r="AD206" i="4"/>
  <c r="AE206" i="4" s="1"/>
  <c r="AD212" i="4"/>
  <c r="AE212" i="4" s="1"/>
  <c r="AD222" i="4"/>
  <c r="AE222" i="4" s="1"/>
  <c r="AF230" i="4"/>
  <c r="AF237" i="4"/>
  <c r="AD251" i="4"/>
  <c r="AE251" i="4" s="1"/>
  <c r="AG348" i="4"/>
  <c r="AF348" i="4"/>
  <c r="AG28" i="4"/>
  <c r="AF77" i="4"/>
  <c r="AF85" i="4"/>
  <c r="AG132" i="4"/>
  <c r="AF164" i="4"/>
  <c r="AD182" i="4"/>
  <c r="AE182" i="4" s="1"/>
  <c r="AD195" i="4"/>
  <c r="AE195" i="4" s="1"/>
  <c r="AD218" i="4"/>
  <c r="AE218" i="4" s="1"/>
  <c r="AD232" i="4"/>
  <c r="AE232" i="4" s="1"/>
  <c r="AF238" i="4"/>
  <c r="AF273" i="4"/>
  <c r="AG409" i="4"/>
  <c r="AD409" i="4"/>
  <c r="AE409" i="4" s="1"/>
  <c r="AF44" i="4"/>
  <c r="AD82" i="4"/>
  <c r="AE82" i="4" s="1"/>
  <c r="AG161" i="4"/>
  <c r="AF189" i="4"/>
  <c r="AD196" i="4"/>
  <c r="AE196" i="4" s="1"/>
  <c r="AF239" i="4"/>
  <c r="AF295" i="4"/>
  <c r="AF591" i="4"/>
  <c r="AD67" i="4"/>
  <c r="AE67" i="4" s="1"/>
  <c r="AF105" i="4"/>
  <c r="AD150" i="4"/>
  <c r="AE150" i="4" s="1"/>
  <c r="AD162" i="4"/>
  <c r="AE162" i="4" s="1"/>
  <c r="AD190" i="4"/>
  <c r="AE190" i="4" s="1"/>
  <c r="AF197" i="4"/>
  <c r="AF33" i="4"/>
  <c r="AF70" i="4"/>
  <c r="AF78" i="4"/>
  <c r="AD95" i="4"/>
  <c r="AE95" i="4" s="1"/>
  <c r="AF128" i="4"/>
  <c r="AF146" i="4"/>
  <c r="AD172" i="4"/>
  <c r="AE172" i="4" s="1"/>
  <c r="AD178" i="4"/>
  <c r="AE178" i="4" s="1"/>
  <c r="AD198" i="4"/>
  <c r="AE198" i="4" s="1"/>
  <c r="AF204" i="4"/>
  <c r="AF225" i="4"/>
  <c r="AD241" i="4"/>
  <c r="AE241" i="4" s="1"/>
  <c r="AF260" i="4"/>
  <c r="AG276" i="4"/>
  <c r="AF285" i="4"/>
  <c r="AG364" i="4"/>
  <c r="AF364" i="4"/>
  <c r="AG423" i="4"/>
  <c r="AF423" i="4"/>
  <c r="AD423" i="4"/>
  <c r="AE423" i="4" s="1"/>
  <c r="AG424" i="4"/>
  <c r="AD424" i="4"/>
  <c r="AE424" i="4" s="1"/>
  <c r="AG462" i="4"/>
  <c r="AF462" i="4"/>
  <c r="AD462" i="4"/>
  <c r="AE462" i="4" s="1"/>
  <c r="AF484" i="4"/>
  <c r="AG484" i="4"/>
  <c r="AD484" i="4"/>
  <c r="AE484" i="4" s="1"/>
  <c r="AF579" i="4"/>
  <c r="AG603" i="4"/>
  <c r="AD603" i="4"/>
  <c r="AE603" i="4" s="1"/>
  <c r="AD74" i="4"/>
  <c r="AE74" i="4" s="1"/>
  <c r="AD98" i="4"/>
  <c r="AE98" i="4" s="1"/>
  <c r="AD106" i="4"/>
  <c r="AE106" i="4" s="1"/>
  <c r="AG110" i="4"/>
  <c r="AD111" i="4"/>
  <c r="AE111" i="4" s="1"/>
  <c r="AF112" i="4"/>
  <c r="AG124" i="4"/>
  <c r="AG128" i="4"/>
  <c r="AG139" i="4"/>
  <c r="AD147" i="4"/>
  <c r="AE147" i="4" s="1"/>
  <c r="AD166" i="4"/>
  <c r="AE166" i="4" s="1"/>
  <c r="AF172" i="4"/>
  <c r="AF200" i="4"/>
  <c r="AD211" i="4"/>
  <c r="AE211" i="4" s="1"/>
  <c r="AD220" i="4"/>
  <c r="AE220" i="4" s="1"/>
  <c r="AD235" i="4"/>
  <c r="AE235" i="4" s="1"/>
  <c r="AF236" i="4"/>
  <c r="AF255" i="4"/>
  <c r="AG260" i="4"/>
  <c r="AF265" i="4"/>
  <c r="AF271" i="4"/>
  <c r="AG286" i="4"/>
  <c r="AF286" i="4"/>
  <c r="AF335" i="4"/>
  <c r="AG357" i="4"/>
  <c r="AF360" i="4"/>
  <c r="AG360" i="4"/>
  <c r="AD360" i="4"/>
  <c r="AE360" i="4" s="1"/>
  <c r="AD362" i="4"/>
  <c r="AE362" i="4" s="1"/>
  <c r="AG362" i="4"/>
  <c r="AF362" i="4"/>
  <c r="AF310" i="4"/>
  <c r="AD328" i="4"/>
  <c r="AE328" i="4" s="1"/>
  <c r="AF446" i="4"/>
  <c r="AF460" i="4"/>
  <c r="AF469" i="4"/>
  <c r="AG482" i="4"/>
  <c r="AG490" i="4"/>
  <c r="AF523" i="4"/>
  <c r="AF549" i="4"/>
  <c r="AD555" i="4"/>
  <c r="AE555" i="4" s="1"/>
  <c r="AG595" i="4"/>
  <c r="AF595" i="4"/>
  <c r="AF626" i="4"/>
  <c r="AG631" i="4"/>
  <c r="AF631" i="4"/>
  <c r="AG661" i="4"/>
  <c r="AF661" i="4"/>
  <c r="AD697" i="4"/>
  <c r="AE697" i="4" s="1"/>
  <c r="AF289" i="4"/>
  <c r="AD311" i="4"/>
  <c r="AE311" i="4" s="1"/>
  <c r="AF316" i="4"/>
  <c r="AD377" i="4"/>
  <c r="AE377" i="4" s="1"/>
  <c r="AD390" i="4"/>
  <c r="AE390" i="4" s="1"/>
  <c r="AD400" i="4"/>
  <c r="AE400" i="4" s="1"/>
  <c r="AF492" i="4"/>
  <c r="AD492" i="4"/>
  <c r="AE492" i="4" s="1"/>
  <c r="AG509" i="4"/>
  <c r="AD509" i="4"/>
  <c r="AE509" i="4" s="1"/>
  <c r="AF539" i="4"/>
  <c r="AD571" i="4"/>
  <c r="AE571" i="4" s="1"/>
  <c r="AG590" i="4"/>
  <c r="AD689" i="4"/>
  <c r="AE689" i="4" s="1"/>
  <c r="AD312" i="4"/>
  <c r="AE312" i="4" s="1"/>
  <c r="AF318" i="4"/>
  <c r="AG332" i="4"/>
  <c r="AD444" i="4"/>
  <c r="AE444" i="4" s="1"/>
  <c r="AF455" i="4"/>
  <c r="AG543" i="4"/>
  <c r="AD543" i="4"/>
  <c r="AE543" i="4" s="1"/>
  <c r="AD545" i="4"/>
  <c r="AE545" i="4" s="1"/>
  <c r="AF551" i="4"/>
  <c r="AD557" i="4"/>
  <c r="AE557" i="4" s="1"/>
  <c r="AD573" i="4"/>
  <c r="AE573" i="4" s="1"/>
  <c r="AD582" i="4"/>
  <c r="AE582" i="4" s="1"/>
  <c r="AF582" i="4"/>
  <c r="AF649" i="4"/>
  <c r="AG667" i="4"/>
  <c r="AF667" i="4"/>
  <c r="AD693" i="4"/>
  <c r="AE693" i="4" s="1"/>
  <c r="AF736" i="4"/>
  <c r="AG748" i="4"/>
  <c r="AD748" i="4"/>
  <c r="AE748" i="4" s="1"/>
  <c r="AF340" i="4"/>
  <c r="AD380" i="4"/>
  <c r="AE380" i="4" s="1"/>
  <c r="AF388" i="4"/>
  <c r="AD440" i="4"/>
  <c r="AE440" i="4" s="1"/>
  <c r="AD463" i="4"/>
  <c r="AE463" i="4" s="1"/>
  <c r="AF485" i="4"/>
  <c r="AD519" i="4"/>
  <c r="AE519" i="4" s="1"/>
  <c r="AG563" i="4"/>
  <c r="AF563" i="4"/>
  <c r="AD563" i="4"/>
  <c r="AE563" i="4" s="1"/>
  <c r="AG605" i="4"/>
  <c r="AF605" i="4"/>
  <c r="AD605" i="4"/>
  <c r="AE605" i="4" s="1"/>
  <c r="AF612" i="4"/>
  <c r="AD612" i="4"/>
  <c r="AE612" i="4" s="1"/>
  <c r="AF675" i="4"/>
  <c r="AD278" i="4"/>
  <c r="AE278" i="4" s="1"/>
  <c r="AF313" i="4"/>
  <c r="AG355" i="4"/>
  <c r="AF367" i="4"/>
  <c r="AD375" i="4"/>
  <c r="AE375" i="4" s="1"/>
  <c r="AF380" i="4"/>
  <c r="AD420" i="4"/>
  <c r="AE420" i="4" s="1"/>
  <c r="AG537" i="4"/>
  <c r="AD537" i="4"/>
  <c r="AE537" i="4" s="1"/>
  <c r="AD609" i="4"/>
  <c r="AE609" i="4" s="1"/>
  <c r="AF609" i="4"/>
  <c r="AD617" i="4"/>
  <c r="AE617" i="4" s="1"/>
  <c r="AF706" i="4"/>
  <c r="AD279" i="4"/>
  <c r="AE279" i="4" s="1"/>
  <c r="AD287" i="4"/>
  <c r="AE287" i="4" s="1"/>
  <c r="AD334" i="4"/>
  <c r="AE334" i="4" s="1"/>
  <c r="AF361" i="4"/>
  <c r="AF383" i="4"/>
  <c r="AD397" i="4"/>
  <c r="AE397" i="4" s="1"/>
  <c r="AD436" i="4"/>
  <c r="AE436" i="4" s="1"/>
  <c r="AF452" i="4"/>
  <c r="AG465" i="4"/>
  <c r="AG467" i="4"/>
  <c r="AD467" i="4"/>
  <c r="AE467" i="4" s="1"/>
  <c r="AF467" i="4"/>
  <c r="AF599" i="4"/>
  <c r="AF482" i="4"/>
  <c r="AF490" i="4"/>
  <c r="AD539" i="4"/>
  <c r="AE539" i="4" s="1"/>
  <c r="AG559" i="4"/>
  <c r="AF559" i="4"/>
  <c r="AD559" i="4"/>
  <c r="AE559" i="4" s="1"/>
  <c r="AD587" i="4"/>
  <c r="AE587" i="4" s="1"/>
  <c r="AD687" i="4"/>
  <c r="AE687" i="4" s="1"/>
  <c r="AD716" i="4"/>
  <c r="AE716" i="4" s="1"/>
  <c r="AD724" i="4"/>
  <c r="AE724" i="4" s="1"/>
  <c r="AG728" i="4"/>
  <c r="AF728" i="4"/>
  <c r="AG798" i="4"/>
  <c r="AF798" i="4"/>
  <c r="AF812" i="4"/>
  <c r="AF883" i="4"/>
  <c r="AG883" i="4"/>
  <c r="AF818" i="4"/>
  <c r="AF908" i="4"/>
  <c r="AG908" i="4"/>
  <c r="AD489" i="4"/>
  <c r="AE489" i="4" s="1"/>
  <c r="AD531" i="4"/>
  <c r="AE531" i="4" s="1"/>
  <c r="AD628" i="4"/>
  <c r="AE628" i="4" s="1"/>
  <c r="AD629" i="4"/>
  <c r="AE629" i="4" s="1"/>
  <c r="AF635" i="4"/>
  <c r="AF651" i="4"/>
  <c r="AF665" i="4"/>
  <c r="AD691" i="4"/>
  <c r="AE691" i="4" s="1"/>
  <c r="AF754" i="4"/>
  <c r="AF890" i="4"/>
  <c r="AF613" i="4"/>
  <c r="AF629" i="4"/>
  <c r="AF659" i="4"/>
  <c r="AF679" i="4"/>
  <c r="AD695" i="4"/>
  <c r="AE695" i="4" s="1"/>
  <c r="AD709" i="4"/>
  <c r="AE709" i="4" s="1"/>
  <c r="AG709" i="4"/>
  <c r="AG848" i="4"/>
  <c r="AD848" i="4"/>
  <c r="AE848" i="4" s="1"/>
  <c r="AF915" i="4"/>
  <c r="AG915" i="4"/>
  <c r="AD915" i="4"/>
  <c r="AE915" i="4" s="1"/>
  <c r="AF918" i="4"/>
  <c r="AD685" i="4"/>
  <c r="AE685" i="4" s="1"/>
  <c r="AG708" i="4"/>
  <c r="AF708" i="4"/>
  <c r="AG710" i="4"/>
  <c r="AD710" i="4"/>
  <c r="AE710" i="4" s="1"/>
  <c r="AF914" i="4"/>
  <c r="AG914" i="4"/>
  <c r="AD527" i="4"/>
  <c r="AE527" i="4" s="1"/>
  <c r="AD585" i="4"/>
  <c r="AE585" i="4" s="1"/>
  <c r="AG589" i="4"/>
  <c r="AG593" i="4"/>
  <c r="AD597" i="4"/>
  <c r="AE597" i="4" s="1"/>
  <c r="AF601" i="4"/>
  <c r="AF762" i="4"/>
  <c r="AD854" i="4"/>
  <c r="AE854" i="4" s="1"/>
  <c r="AF854" i="4"/>
  <c r="AF879" i="4"/>
  <c r="AG879" i="4"/>
  <c r="AD879" i="4"/>
  <c r="AE879" i="4" s="1"/>
  <c r="AF923" i="4"/>
  <c r="AG923" i="4"/>
  <c r="AF796" i="4"/>
  <c r="AG878" i="4"/>
  <c r="AF878" i="4"/>
  <c r="AF901" i="4"/>
  <c r="AD901" i="4"/>
  <c r="AE901" i="4" s="1"/>
  <c r="AF948" i="4"/>
  <c r="AD986" i="4"/>
  <c r="AE986" i="4" s="1"/>
  <c r="AF730" i="4"/>
  <c r="AD822" i="4"/>
  <c r="AE822" i="4" s="1"/>
  <c r="AF865" i="4"/>
  <c r="AD872" i="4"/>
  <c r="AE872" i="4" s="1"/>
  <c r="AF913" i="4"/>
  <c r="AG948" i="4"/>
  <c r="AF949" i="4"/>
  <c r="AG986" i="4"/>
  <c r="AF924" i="4"/>
  <c r="AD926" i="4"/>
  <c r="AE926" i="4" s="1"/>
  <c r="AF992" i="4"/>
  <c r="AD722" i="4"/>
  <c r="AE722" i="4" s="1"/>
  <c r="AF804" i="4"/>
  <c r="AD869" i="4"/>
  <c r="AE869" i="4" s="1"/>
  <c r="AD909" i="4"/>
  <c r="AE909" i="4" s="1"/>
  <c r="AD967" i="4"/>
  <c r="AE967" i="4" s="1"/>
  <c r="AG992" i="4"/>
  <c r="AD843" i="4"/>
  <c r="AE843" i="4" s="1"/>
  <c r="AG884" i="4"/>
  <c r="AF904" i="4"/>
  <c r="AF916" i="4"/>
  <c r="AF989" i="4"/>
  <c r="AF738" i="4"/>
  <c r="AF750" i="4"/>
  <c r="AF800" i="4"/>
  <c r="AD828" i="4"/>
  <c r="AE828" i="4" s="1"/>
  <c r="AG840" i="4"/>
  <c r="AF846" i="4"/>
  <c r="AF849" i="4"/>
  <c r="AD856" i="4"/>
  <c r="AE856" i="4" s="1"/>
  <c r="AD867" i="4"/>
  <c r="AE867" i="4" s="1"/>
  <c r="AF896" i="4"/>
  <c r="AF911" i="4"/>
  <c r="AD922" i="4"/>
  <c r="AE922" i="4" s="1"/>
  <c r="AF929" i="4"/>
  <c r="AD930" i="4"/>
  <c r="AE930" i="4" s="1"/>
  <c r="AF963" i="4"/>
  <c r="AD935" i="4"/>
  <c r="AE935" i="4" s="1"/>
  <c r="AG963" i="4"/>
  <c r="AD997" i="4"/>
  <c r="AE997" i="4" s="1"/>
  <c r="AG50" i="4"/>
  <c r="AF50" i="4"/>
  <c r="AD50" i="4"/>
  <c r="AE50" i="4" s="1"/>
  <c r="AG79" i="4"/>
  <c r="AD79" i="4"/>
  <c r="AE79" i="4" s="1"/>
  <c r="AD113" i="4"/>
  <c r="AE113" i="4" s="1"/>
  <c r="AF113" i="4"/>
  <c r="AG113" i="4"/>
  <c r="AG156" i="4"/>
  <c r="AF156" i="4"/>
  <c r="AD156" i="4"/>
  <c r="AE156" i="4" s="1"/>
  <c r="AD224" i="4"/>
  <c r="AE224" i="4" s="1"/>
  <c r="AG224" i="4"/>
  <c r="AD229" i="4"/>
  <c r="AE229" i="4" s="1"/>
  <c r="AG229" i="4"/>
  <c r="AF366" i="4"/>
  <c r="AG366" i="4"/>
  <c r="AD366" i="4"/>
  <c r="AE366" i="4" s="1"/>
  <c r="AG86" i="4"/>
  <c r="AF86" i="4"/>
  <c r="AD86" i="4"/>
  <c r="AE86" i="4" s="1"/>
  <c r="AG135" i="4"/>
  <c r="AD135" i="4"/>
  <c r="AE135" i="4" s="1"/>
  <c r="AG145" i="4"/>
  <c r="AF145" i="4"/>
  <c r="AD145" i="4"/>
  <c r="AE145" i="4" s="1"/>
  <c r="AD152" i="4"/>
  <c r="AE152" i="4" s="1"/>
  <c r="AG152" i="4"/>
  <c r="AF152" i="4"/>
  <c r="AG158" i="4"/>
  <c r="AD158" i="4"/>
  <c r="AE158" i="4" s="1"/>
  <c r="AG163" i="4"/>
  <c r="AD163" i="4"/>
  <c r="AE163" i="4" s="1"/>
  <c r="AD354" i="4"/>
  <c r="AE354" i="4" s="1"/>
  <c r="AG354" i="4"/>
  <c r="AD71" i="4"/>
  <c r="AE71" i="4" s="1"/>
  <c r="AG83" i="4"/>
  <c r="AD83" i="4"/>
  <c r="AE83" i="4" s="1"/>
  <c r="AG262" i="4"/>
  <c r="AF262" i="4"/>
  <c r="AD262" i="4"/>
  <c r="AE262" i="4" s="1"/>
  <c r="AG305" i="4"/>
  <c r="AF305" i="4"/>
  <c r="AD305" i="4"/>
  <c r="AE305" i="4" s="1"/>
  <c r="AF43" i="4"/>
  <c r="AG43" i="4"/>
  <c r="AD43" i="4"/>
  <c r="AE43" i="4" s="1"/>
  <c r="AG9" i="4"/>
  <c r="AG34" i="4"/>
  <c r="AF34" i="4"/>
  <c r="AD34" i="4"/>
  <c r="AE34" i="4" s="1"/>
  <c r="AD103" i="4"/>
  <c r="AE103" i="4" s="1"/>
  <c r="AD116" i="4"/>
  <c r="AE116" i="4" s="1"/>
  <c r="AG116" i="4"/>
  <c r="AG117" i="4"/>
  <c r="AF117" i="4"/>
  <c r="AG294" i="4"/>
  <c r="AF294" i="4"/>
  <c r="AD294" i="4"/>
  <c r="AE294" i="4" s="1"/>
  <c r="AF14" i="4"/>
  <c r="AG58" i="4"/>
  <c r="AF58" i="4"/>
  <c r="AG61" i="4"/>
  <c r="AF61" i="4"/>
  <c r="AG154" i="4"/>
  <c r="AF154" i="4"/>
  <c r="AD154" i="4"/>
  <c r="AE154" i="4" s="1"/>
  <c r="AG194" i="4"/>
  <c r="AF194" i="4"/>
  <c r="AD194" i="4"/>
  <c r="AE194" i="4" s="1"/>
  <c r="AG8" i="4"/>
  <c r="AD8" i="4"/>
  <c r="AE8" i="4" s="1"/>
  <c r="AG22" i="4"/>
  <c r="AF22" i="4"/>
  <c r="AD22" i="4"/>
  <c r="AE22" i="4" s="1"/>
  <c r="AF11" i="4"/>
  <c r="AG11" i="4"/>
  <c r="AG18" i="4"/>
  <c r="AD18" i="4"/>
  <c r="AE18" i="4" s="1"/>
  <c r="AD25" i="4"/>
  <c r="AE25" i="4" s="1"/>
  <c r="AG25" i="4"/>
  <c r="AG54" i="4"/>
  <c r="AF54" i="4"/>
  <c r="AF55" i="4"/>
  <c r="AD55" i="4"/>
  <c r="AE55" i="4" s="1"/>
  <c r="AD66" i="4"/>
  <c r="AE66" i="4" s="1"/>
  <c r="AG94" i="4"/>
  <c r="AF94" i="4"/>
  <c r="AD94" i="4"/>
  <c r="AE94" i="4" s="1"/>
  <c r="AG170" i="4"/>
  <c r="AF170" i="4"/>
  <c r="AG254" i="4"/>
  <c r="AF254" i="4"/>
  <c r="AD254" i="4"/>
  <c r="AE254" i="4" s="1"/>
  <c r="AD370" i="4"/>
  <c r="AE370" i="4" s="1"/>
  <c r="AF370" i="4"/>
  <c r="AF8" i="4"/>
  <c r="AF27" i="4"/>
  <c r="AG27" i="4"/>
  <c r="AF9" i="4"/>
  <c r="AF7" i="4"/>
  <c r="AD7" i="4"/>
  <c r="AE7" i="4" s="1"/>
  <c r="AF18" i="4"/>
  <c r="AG36" i="4"/>
  <c r="AD36" i="4"/>
  <c r="AE36" i="4" s="1"/>
  <c r="AF66" i="4"/>
  <c r="AD89" i="4"/>
  <c r="AE89" i="4" s="1"/>
  <c r="AF89" i="4"/>
  <c r="AG127" i="4"/>
  <c r="AD127" i="4"/>
  <c r="AE127" i="4" s="1"/>
  <c r="AD11" i="4"/>
  <c r="AE11" i="4" s="1"/>
  <c r="AF25" i="4"/>
  <c r="AG55" i="4"/>
  <c r="AD121" i="4"/>
  <c r="AE121" i="4" s="1"/>
  <c r="AF121" i="4"/>
  <c r="AG121" i="4"/>
  <c r="AF248" i="4"/>
  <c r="AG248" i="4"/>
  <c r="AD317" i="4"/>
  <c r="AE317" i="4" s="1"/>
  <c r="AG317" i="4"/>
  <c r="AF317" i="4"/>
  <c r="AD124" i="4"/>
  <c r="AE124" i="4" s="1"/>
  <c r="AD247" i="4"/>
  <c r="AE247" i="4" s="1"/>
  <c r="AD270" i="4"/>
  <c r="AE270" i="4" s="1"/>
  <c r="AD302" i="4"/>
  <c r="AE302" i="4" s="1"/>
  <c r="AG319" i="4"/>
  <c r="AD319" i="4"/>
  <c r="AE319" i="4" s="1"/>
  <c r="AG326" i="4"/>
  <c r="AF326" i="4"/>
  <c r="AD326" i="4"/>
  <c r="AE326" i="4" s="1"/>
  <c r="AF345" i="4"/>
  <c r="AG384" i="4"/>
  <c r="AD384" i="4"/>
  <c r="AE384" i="4" s="1"/>
  <c r="AD20" i="4"/>
  <c r="AE20" i="4" s="1"/>
  <c r="AG49" i="4"/>
  <c r="AF93" i="4"/>
  <c r="AF132" i="4"/>
  <c r="AG134" i="4"/>
  <c r="AG153" i="4"/>
  <c r="AF157" i="4"/>
  <c r="AF160" i="4"/>
  <c r="AF162" i="4"/>
  <c r="AD164" i="4"/>
  <c r="AE164" i="4" s="1"/>
  <c r="AD171" i="4"/>
  <c r="AE171" i="4" s="1"/>
  <c r="AF193" i="4"/>
  <c r="AD202" i="4"/>
  <c r="AE202" i="4" s="1"/>
  <c r="AD204" i="4"/>
  <c r="AE204" i="4" s="1"/>
  <c r="AD210" i="4"/>
  <c r="AE210" i="4" s="1"/>
  <c r="AD226" i="4"/>
  <c r="AE226" i="4" s="1"/>
  <c r="AF228" i="4"/>
  <c r="AD238" i="4"/>
  <c r="AE238" i="4" s="1"/>
  <c r="AF247" i="4"/>
  <c r="AF276" i="4"/>
  <c r="AF279" i="4"/>
  <c r="AG283" i="4"/>
  <c r="AD286" i="4"/>
  <c r="AE286" i="4" s="1"/>
  <c r="AD289" i="4"/>
  <c r="AE289" i="4" s="1"/>
  <c r="AF308" i="4"/>
  <c r="AG316" i="4"/>
  <c r="AF338" i="4"/>
  <c r="AG345" i="4"/>
  <c r="AD363" i="4"/>
  <c r="AE363" i="4" s="1"/>
  <c r="AG363" i="4"/>
  <c r="AF363" i="4"/>
  <c r="AF3" i="4"/>
  <c r="AD30" i="4"/>
  <c r="AE30" i="4" s="1"/>
  <c r="AD47" i="4"/>
  <c r="AE47" i="4" s="1"/>
  <c r="AF69" i="4"/>
  <c r="AD91" i="4"/>
  <c r="AE91" i="4" s="1"/>
  <c r="AF101" i="4"/>
  <c r="AD114" i="4"/>
  <c r="AE114" i="4" s="1"/>
  <c r="AD122" i="4"/>
  <c r="AE122" i="4" s="1"/>
  <c r="AG129" i="4"/>
  <c r="AG137" i="4"/>
  <c r="AD142" i="4"/>
  <c r="AE142" i="4" s="1"/>
  <c r="AF196" i="4"/>
  <c r="AF202" i="4"/>
  <c r="AF210" i="4"/>
  <c r="AF212" i="4"/>
  <c r="AF218" i="4"/>
  <c r="AF220" i="4"/>
  <c r="AD239" i="4"/>
  <c r="AE239" i="4" s="1"/>
  <c r="AF241" i="4"/>
  <c r="AF245" i="4"/>
  <c r="AG251" i="4"/>
  <c r="AD256" i="4"/>
  <c r="AE256" i="4" s="1"/>
  <c r="AD271" i="4"/>
  <c r="AE271" i="4" s="1"/>
  <c r="AD296" i="4"/>
  <c r="AE296" i="4" s="1"/>
  <c r="AD303" i="4"/>
  <c r="AE303" i="4" s="1"/>
  <c r="AD340" i="4"/>
  <c r="AE340" i="4" s="1"/>
  <c r="AG425" i="4"/>
  <c r="AD425" i="4"/>
  <c r="AE425" i="4" s="1"/>
  <c r="AG431" i="4"/>
  <c r="AF431" i="4"/>
  <c r="AD431" i="4"/>
  <c r="AE431" i="4" s="1"/>
  <c r="AG439" i="4"/>
  <c r="AF439" i="4"/>
  <c r="AD439" i="4"/>
  <c r="AE439" i="4" s="1"/>
  <c r="AD15" i="4"/>
  <c r="AE15" i="4" s="1"/>
  <c r="AD26" i="4"/>
  <c r="AE26" i="4" s="1"/>
  <c r="AD38" i="4"/>
  <c r="AE38" i="4" s="1"/>
  <c r="AF53" i="4"/>
  <c r="AD62" i="4"/>
  <c r="AE62" i="4" s="1"/>
  <c r="AF74" i="4"/>
  <c r="AF106" i="4"/>
  <c r="AF114" i="4"/>
  <c r="AF122" i="4"/>
  <c r="AD130" i="4"/>
  <c r="AE130" i="4" s="1"/>
  <c r="AD138" i="4"/>
  <c r="AE138" i="4" s="1"/>
  <c r="AD140" i="4"/>
  <c r="AE140" i="4" s="1"/>
  <c r="AG142" i="4"/>
  <c r="AG245" i="4"/>
  <c r="AG256" i="4"/>
  <c r="AG296" i="4"/>
  <c r="AG329" i="4"/>
  <c r="AF329" i="4"/>
  <c r="AD329" i="4"/>
  <c r="AE329" i="4" s="1"/>
  <c r="AG336" i="4"/>
  <c r="AD336" i="4"/>
  <c r="AE336" i="4" s="1"/>
  <c r="AG356" i="4"/>
  <c r="AF356" i="4"/>
  <c r="AG399" i="4"/>
  <c r="AF399" i="4"/>
  <c r="AD399" i="4"/>
  <c r="AE399" i="4" s="1"/>
  <c r="AG456" i="4"/>
  <c r="AD456" i="4"/>
  <c r="AE456" i="4" s="1"/>
  <c r="AD249" i="4"/>
  <c r="AE249" i="4" s="1"/>
  <c r="AD255" i="4"/>
  <c r="AE255" i="4" s="1"/>
  <c r="AD295" i="4"/>
  <c r="AE295" i="4" s="1"/>
  <c r="AD321" i="4"/>
  <c r="AE321" i="4" s="1"/>
  <c r="AD356" i="4"/>
  <c r="AE356" i="4" s="1"/>
  <c r="AG382" i="4"/>
  <c r="AF382" i="4"/>
  <c r="AD382" i="4"/>
  <c r="AE382" i="4" s="1"/>
  <c r="AD387" i="4"/>
  <c r="AE387" i="4" s="1"/>
  <c r="AG387" i="4"/>
  <c r="AF387" i="4"/>
  <c r="AF2" i="4"/>
  <c r="AG13" i="4"/>
  <c r="AF26" i="4"/>
  <c r="AG33" i="4"/>
  <c r="AF38" i="4"/>
  <c r="AD42" i="4"/>
  <c r="AE42" i="4" s="1"/>
  <c r="AD46" i="4"/>
  <c r="AE46" i="4" s="1"/>
  <c r="AF62" i="4"/>
  <c r="AF65" i="4"/>
  <c r="AF82" i="4"/>
  <c r="AD87" i="4"/>
  <c r="AE87" i="4" s="1"/>
  <c r="AD90" i="4"/>
  <c r="AE90" i="4" s="1"/>
  <c r="AF97" i="4"/>
  <c r="AF120" i="4"/>
  <c r="AF138" i="4"/>
  <c r="AD146" i="4"/>
  <c r="AE146" i="4" s="1"/>
  <c r="AG168" i="4"/>
  <c r="AF178" i="4"/>
  <c r="AF180" i="4"/>
  <c r="AF186" i="4"/>
  <c r="AF188" i="4"/>
  <c r="AF213" i="4"/>
  <c r="AG216" i="4"/>
  <c r="AD227" i="4"/>
  <c r="AE227" i="4" s="1"/>
  <c r="AD230" i="4"/>
  <c r="AE230" i="4" s="1"/>
  <c r="AG243" i="4"/>
  <c r="AD246" i="4"/>
  <c r="AE246" i="4" s="1"/>
  <c r="AF249" i="4"/>
  <c r="AG252" i="4"/>
  <c r="AD257" i="4"/>
  <c r="AE257" i="4" s="1"/>
  <c r="AD265" i="4"/>
  <c r="AE265" i="4" s="1"/>
  <c r="AF278" i="4"/>
  <c r="AF281" i="4"/>
  <c r="AD297" i="4"/>
  <c r="AE297" i="4" s="1"/>
  <c r="AD318" i="4"/>
  <c r="AE318" i="4" s="1"/>
  <c r="AF321" i="4"/>
  <c r="AG343" i="4"/>
  <c r="AF343" i="4"/>
  <c r="AG392" i="4"/>
  <c r="AD392" i="4"/>
  <c r="AE392" i="4" s="1"/>
  <c r="AG401" i="4"/>
  <c r="AD401" i="4"/>
  <c r="AE401" i="4" s="1"/>
  <c r="AG417" i="4"/>
  <c r="AD417" i="4"/>
  <c r="AE417" i="4" s="1"/>
  <c r="AG448" i="4"/>
  <c r="AD448" i="4"/>
  <c r="AE448" i="4" s="1"/>
  <c r="AD310" i="4"/>
  <c r="AE310" i="4" s="1"/>
  <c r="AF389" i="4"/>
  <c r="AG389" i="4"/>
  <c r="AD389" i="4"/>
  <c r="AE389" i="4" s="1"/>
  <c r="AG503" i="4"/>
  <c r="AF503" i="4"/>
  <c r="AD503" i="4"/>
  <c r="AE503" i="4" s="1"/>
  <c r="AG973" i="4"/>
  <c r="AF973" i="4"/>
  <c r="AD973" i="4"/>
  <c r="AE973" i="4" s="1"/>
  <c r="AG475" i="4"/>
  <c r="AF475" i="4"/>
  <c r="AD475" i="4"/>
  <c r="AE475" i="4" s="1"/>
  <c r="AG479" i="4"/>
  <c r="AF479" i="4"/>
  <c r="AD479" i="4"/>
  <c r="AE479" i="4" s="1"/>
  <c r="AG507" i="4"/>
  <c r="AF507" i="4"/>
  <c r="AD507" i="4"/>
  <c r="AE507" i="4" s="1"/>
  <c r="AG515" i="4"/>
  <c r="AF515" i="4"/>
  <c r="AD515" i="4"/>
  <c r="AE515" i="4" s="1"/>
  <c r="AD351" i="4"/>
  <c r="AE351" i="4" s="1"/>
  <c r="AD361" i="4"/>
  <c r="AE361" i="4" s="1"/>
  <c r="AD396" i="4"/>
  <c r="AE396" i="4" s="1"/>
  <c r="AD404" i="4"/>
  <c r="AE404" i="4" s="1"/>
  <c r="AD412" i="4"/>
  <c r="AE412" i="4" s="1"/>
  <c r="AF465" i="4"/>
  <c r="AD359" i="4"/>
  <c r="AE359" i="4" s="1"/>
  <c r="AG495" i="4"/>
  <c r="AF495" i="4"/>
  <c r="AD495" i="4"/>
  <c r="AE495" i="4" s="1"/>
  <c r="AD501" i="4"/>
  <c r="AE501" i="4" s="1"/>
  <c r="AG511" i="4"/>
  <c r="AF511" i="4"/>
  <c r="AD511" i="4"/>
  <c r="AE511" i="4" s="1"/>
  <c r="AD529" i="4"/>
  <c r="AE529" i="4" s="1"/>
  <c r="AG533" i="4"/>
  <c r="AD533" i="4"/>
  <c r="AE533" i="4" s="1"/>
  <c r="AD327" i="4"/>
  <c r="AE327" i="4" s="1"/>
  <c r="AF334" i="4"/>
  <c r="AD349" i="4"/>
  <c r="AE349" i="4" s="1"/>
  <c r="AF351" i="4"/>
  <c r="AD372" i="4"/>
  <c r="AE372" i="4" s="1"/>
  <c r="AD376" i="4"/>
  <c r="AE376" i="4" s="1"/>
  <c r="AD391" i="4"/>
  <c r="AE391" i="4" s="1"/>
  <c r="AF396" i="4"/>
  <c r="AF404" i="4"/>
  <c r="AD406" i="4"/>
  <c r="AE406" i="4" s="1"/>
  <c r="AF412" i="4"/>
  <c r="AD414" i="4"/>
  <c r="AE414" i="4" s="1"/>
  <c r="AD422" i="4"/>
  <c r="AE422" i="4" s="1"/>
  <c r="AD428" i="4"/>
  <c r="AE428" i="4" s="1"/>
  <c r="AD447" i="4"/>
  <c r="AE447" i="4" s="1"/>
  <c r="AF464" i="4"/>
  <c r="AG464" i="4"/>
  <c r="AD477" i="4"/>
  <c r="AE477" i="4" s="1"/>
  <c r="AG483" i="4"/>
  <c r="AD483" i="4"/>
  <c r="AE483" i="4" s="1"/>
  <c r="AG499" i="4"/>
  <c r="AF499" i="4"/>
  <c r="AF501" i="4"/>
  <c r="AF533" i="4"/>
  <c r="AF324" i="4"/>
  <c r="AF327" i="4"/>
  <c r="AD337" i="4"/>
  <c r="AE337" i="4" s="1"/>
  <c r="AD339" i="4"/>
  <c r="AE339" i="4" s="1"/>
  <c r="AF359" i="4"/>
  <c r="AD364" i="4"/>
  <c r="AE364" i="4" s="1"/>
  <c r="AD368" i="4"/>
  <c r="AE368" i="4" s="1"/>
  <c r="AF372" i="4"/>
  <c r="AD383" i="4"/>
  <c r="AE383" i="4" s="1"/>
  <c r="AD388" i="4"/>
  <c r="AE388" i="4" s="1"/>
  <c r="AD398" i="4"/>
  <c r="AE398" i="4" s="1"/>
  <c r="AF406" i="4"/>
  <c r="AD408" i="4"/>
  <c r="AE408" i="4" s="1"/>
  <c r="AF414" i="4"/>
  <c r="AF420" i="4"/>
  <c r="AF422" i="4"/>
  <c r="AD433" i="4"/>
  <c r="AE433" i="4" s="1"/>
  <c r="AG466" i="4"/>
  <c r="AF477" i="4"/>
  <c r="AD481" i="4"/>
  <c r="AE481" i="4" s="1"/>
  <c r="AF483" i="4"/>
  <c r="AG487" i="4"/>
  <c r="AF487" i="4"/>
  <c r="AD487" i="4"/>
  <c r="AE487" i="4" s="1"/>
  <c r="AD499" i="4"/>
  <c r="AE499" i="4" s="1"/>
  <c r="AD505" i="4"/>
  <c r="AE505" i="4" s="1"/>
  <c r="AG517" i="4"/>
  <c r="AD517" i="4"/>
  <c r="AE517" i="4" s="1"/>
  <c r="AD521" i="4"/>
  <c r="AE521" i="4" s="1"/>
  <c r="AG525" i="4"/>
  <c r="AD525" i="4"/>
  <c r="AE525" i="4" s="1"/>
  <c r="AG535" i="4"/>
  <c r="AD535" i="4"/>
  <c r="AE535" i="4" s="1"/>
  <c r="AF604" i="4"/>
  <c r="AG604" i="4"/>
  <c r="AD604" i="4"/>
  <c r="AE604" i="4" s="1"/>
  <c r="AG324" i="4"/>
  <c r="AD335" i="4"/>
  <c r="AE335" i="4" s="1"/>
  <c r="AG337" i="4"/>
  <c r="AD344" i="4"/>
  <c r="AE344" i="4" s="1"/>
  <c r="AD355" i="4"/>
  <c r="AE355" i="4" s="1"/>
  <c r="AF391" i="4"/>
  <c r="AF398" i="4"/>
  <c r="AF428" i="4"/>
  <c r="AD430" i="4"/>
  <c r="AE430" i="4" s="1"/>
  <c r="AD438" i="4"/>
  <c r="AE438" i="4" s="1"/>
  <c r="AF447" i="4"/>
  <c r="AD449" i="4"/>
  <c r="AE449" i="4" s="1"/>
  <c r="AD452" i="4"/>
  <c r="AE452" i="4" s="1"/>
  <c r="AF481" i="4"/>
  <c r="AG491" i="4"/>
  <c r="AF491" i="4"/>
  <c r="AG493" i="4"/>
  <c r="AF493" i="4"/>
  <c r="AD493" i="4"/>
  <c r="AE493" i="4" s="1"/>
  <c r="AF525" i="4"/>
  <c r="AG565" i="4"/>
  <c r="AD565" i="4"/>
  <c r="AE565" i="4" s="1"/>
  <c r="AF565" i="4"/>
  <c r="AG497" i="4"/>
  <c r="AD497" i="4"/>
  <c r="AE497" i="4" s="1"/>
  <c r="AF596" i="4"/>
  <c r="AD596" i="4"/>
  <c r="AE596" i="4" s="1"/>
  <c r="AF639" i="4"/>
  <c r="AG655" i="4"/>
  <c r="AF655" i="4"/>
  <c r="AG621" i="4"/>
  <c r="AF621" i="4"/>
  <c r="AD621" i="4"/>
  <c r="AE621" i="4" s="1"/>
  <c r="AG681" i="4"/>
  <c r="AD681" i="4"/>
  <c r="AE681" i="4" s="1"/>
  <c r="AG768" i="4"/>
  <c r="AF768" i="4"/>
  <c r="AD768" i="4"/>
  <c r="AE768" i="4" s="1"/>
  <c r="AF463" i="4"/>
  <c r="AD485" i="4"/>
  <c r="AE485" i="4" s="1"/>
  <c r="AF509" i="4"/>
  <c r="AD513" i="4"/>
  <c r="AE513" i="4" s="1"/>
  <c r="AF519" i="4"/>
  <c r="AF527" i="4"/>
  <c r="AG567" i="4"/>
  <c r="AD567" i="4"/>
  <c r="AE567" i="4" s="1"/>
  <c r="AG575" i="4"/>
  <c r="AD575" i="4"/>
  <c r="AE575" i="4" s="1"/>
  <c r="AD580" i="4"/>
  <c r="AE580" i="4" s="1"/>
  <c r="AG643" i="4"/>
  <c r="AF643" i="4"/>
  <c r="AD643" i="4"/>
  <c r="AE643" i="4" s="1"/>
  <c r="AG663" i="4"/>
  <c r="AF663" i="4"/>
  <c r="AG677" i="4"/>
  <c r="AF677" i="4"/>
  <c r="AD677" i="4"/>
  <c r="AE677" i="4" s="1"/>
  <c r="AF557" i="4"/>
  <c r="AG623" i="4"/>
  <c r="AF623" i="4"/>
  <c r="AD623" i="4"/>
  <c r="AE623" i="4" s="1"/>
  <c r="AG784" i="4"/>
  <c r="AF784" i="4"/>
  <c r="AD784" i="4"/>
  <c r="AE784" i="4" s="1"/>
  <c r="AD471" i="4"/>
  <c r="AE471" i="4" s="1"/>
  <c r="AD547" i="4"/>
  <c r="AE547" i="4" s="1"/>
  <c r="AD549" i="4"/>
  <c r="AE549" i="4" s="1"/>
  <c r="AD551" i="4"/>
  <c r="AE551" i="4" s="1"/>
  <c r="AD553" i="4"/>
  <c r="AE553" i="4" s="1"/>
  <c r="AF555" i="4"/>
  <c r="AG637" i="4"/>
  <c r="AF637" i="4"/>
  <c r="AG583" i="4"/>
  <c r="AF583" i="4"/>
  <c r="AG647" i="4"/>
  <c r="AF647" i="4"/>
  <c r="AG581" i="4"/>
  <c r="AF587" i="4"/>
  <c r="AD615" i="4"/>
  <c r="AE615" i="4" s="1"/>
  <c r="AG617" i="4"/>
  <c r="AF619" i="4"/>
  <c r="AF627" i="4"/>
  <c r="AD645" i="4"/>
  <c r="AE645" i="4" s="1"/>
  <c r="AD671" i="4"/>
  <c r="AE671" i="4" s="1"/>
  <c r="AF685" i="4"/>
  <c r="AF687" i="4"/>
  <c r="AD705" i="4"/>
  <c r="AE705" i="4" s="1"/>
  <c r="AF705" i="4"/>
  <c r="AG740" i="4"/>
  <c r="AD740" i="4"/>
  <c r="AE740" i="4" s="1"/>
  <c r="AD611" i="4"/>
  <c r="AE611" i="4" s="1"/>
  <c r="AD613" i="4"/>
  <c r="AE613" i="4" s="1"/>
  <c r="AF615" i="4"/>
  <c r="AD635" i="4"/>
  <c r="AE635" i="4" s="1"/>
  <c r="AF645" i="4"/>
  <c r="AD653" i="4"/>
  <c r="AE653" i="4" s="1"/>
  <c r="AD661" i="4"/>
  <c r="AE661" i="4" s="1"/>
  <c r="AD669" i="4"/>
  <c r="AE669" i="4" s="1"/>
  <c r="AF671" i="4"/>
  <c r="AD679" i="4"/>
  <c r="AE679" i="4" s="1"/>
  <c r="AF683" i="4"/>
  <c r="AG699" i="4"/>
  <c r="AD699" i="4"/>
  <c r="AE699" i="4" s="1"/>
  <c r="AF699" i="4"/>
  <c r="AG714" i="4"/>
  <c r="AF714" i="4"/>
  <c r="AD714" i="4"/>
  <c r="AE714" i="4" s="1"/>
  <c r="AG826" i="4"/>
  <c r="AF826" i="4"/>
  <c r="AD826" i="4"/>
  <c r="AE826" i="4" s="1"/>
  <c r="AF711" i="4"/>
  <c r="AG711" i="4"/>
  <c r="AG794" i="4"/>
  <c r="AF794" i="4"/>
  <c r="AD569" i="4"/>
  <c r="AE569" i="4" s="1"/>
  <c r="AF571" i="4"/>
  <c r="AF573" i="4"/>
  <c r="AD577" i="4"/>
  <c r="AE577" i="4" s="1"/>
  <c r="AF590" i="4"/>
  <c r="AF611" i="4"/>
  <c r="AD633" i="4"/>
  <c r="AE633" i="4" s="1"/>
  <c r="AD651" i="4"/>
  <c r="AE651" i="4" s="1"/>
  <c r="AD659" i="4"/>
  <c r="AE659" i="4" s="1"/>
  <c r="AD667" i="4"/>
  <c r="AE667" i="4" s="1"/>
  <c r="AG742" i="4"/>
  <c r="AF742" i="4"/>
  <c r="AG770" i="4"/>
  <c r="AF770" i="4"/>
  <c r="AD770" i="4"/>
  <c r="AE770" i="4" s="1"/>
  <c r="AF772" i="4"/>
  <c r="AG841" i="4"/>
  <c r="AF841" i="4"/>
  <c r="AD607" i="4"/>
  <c r="AE607" i="4" s="1"/>
  <c r="AD641" i="4"/>
  <c r="AE641" i="4" s="1"/>
  <c r="AD675" i="4"/>
  <c r="AE675" i="4" s="1"/>
  <c r="AG701" i="4"/>
  <c r="AF701" i="4"/>
  <c r="AD701" i="4"/>
  <c r="AE701" i="4" s="1"/>
  <c r="AG744" i="4"/>
  <c r="AF744" i="4"/>
  <c r="AD744" i="4"/>
  <c r="AE744" i="4" s="1"/>
  <c r="AG802" i="4"/>
  <c r="AF802" i="4"/>
  <c r="AD802" i="4"/>
  <c r="AE802" i="4" s="1"/>
  <c r="AG582" i="4"/>
  <c r="AD591" i="4"/>
  <c r="AE591" i="4" s="1"/>
  <c r="AF593" i="4"/>
  <c r="AD595" i="4"/>
  <c r="AE595" i="4" s="1"/>
  <c r="AD599" i="4"/>
  <c r="AE599" i="4" s="1"/>
  <c r="AF607" i="4"/>
  <c r="AD631" i="4"/>
  <c r="AE631" i="4" s="1"/>
  <c r="AF641" i="4"/>
  <c r="AD649" i="4"/>
  <c r="AE649" i="4" s="1"/>
  <c r="AD657" i="4"/>
  <c r="AE657" i="4" s="1"/>
  <c r="AD665" i="4"/>
  <c r="AE665" i="4" s="1"/>
  <c r="AG712" i="4"/>
  <c r="AD712" i="4"/>
  <c r="AE712" i="4" s="1"/>
  <c r="AG837" i="4"/>
  <c r="AF837" i="4"/>
  <c r="AD837" i="4"/>
  <c r="AE837" i="4" s="1"/>
  <c r="AD673" i="4"/>
  <c r="AE673" i="4" s="1"/>
  <c r="AG746" i="4"/>
  <c r="AF746" i="4"/>
  <c r="AG934" i="4"/>
  <c r="AF934" i="4"/>
  <c r="AD934" i="4"/>
  <c r="AE934" i="4" s="1"/>
  <c r="AF717" i="4"/>
  <c r="AD808" i="4"/>
  <c r="AE808" i="4" s="1"/>
  <c r="AF828" i="4"/>
  <c r="AD834" i="4"/>
  <c r="AE834" i="4" s="1"/>
  <c r="AD839" i="4"/>
  <c r="AE839" i="4" s="1"/>
  <c r="AF843" i="4"/>
  <c r="AG857" i="4"/>
  <c r="AF857" i="4"/>
  <c r="AG944" i="4"/>
  <c r="AF944" i="4"/>
  <c r="AD944" i="4"/>
  <c r="AE944" i="4" s="1"/>
  <c r="AG961" i="4"/>
  <c r="AD961" i="4"/>
  <c r="AE961" i="4" s="1"/>
  <c r="AF961" i="4"/>
  <c r="AF709" i="4"/>
  <c r="AG717" i="4"/>
  <c r="AD734" i="4"/>
  <c r="AE734" i="4" s="1"/>
  <c r="AD736" i="4"/>
  <c r="AE736" i="4" s="1"/>
  <c r="AD738" i="4"/>
  <c r="AE738" i="4" s="1"/>
  <c r="AF766" i="4"/>
  <c r="AD782" i="4"/>
  <c r="AE782" i="4" s="1"/>
  <c r="AD792" i="4"/>
  <c r="AE792" i="4" s="1"/>
  <c r="AD800" i="4"/>
  <c r="AE800" i="4" s="1"/>
  <c r="AF808" i="4"/>
  <c r="AD818" i="4"/>
  <c r="AE818" i="4" s="1"/>
  <c r="AD820" i="4"/>
  <c r="AE820" i="4" s="1"/>
  <c r="AG834" i="4"/>
  <c r="AG871" i="4"/>
  <c r="AD871" i="4"/>
  <c r="AE871" i="4" s="1"/>
  <c r="AD894" i="4"/>
  <c r="AE894" i="4" s="1"/>
  <c r="AF894" i="4"/>
  <c r="AG925" i="4"/>
  <c r="AF925" i="4"/>
  <c r="AD925" i="4"/>
  <c r="AE925" i="4" s="1"/>
  <c r="AD939" i="4"/>
  <c r="AE939" i="4" s="1"/>
  <c r="AD947" i="4"/>
  <c r="AE947" i="4" s="1"/>
  <c r="AF947" i="4"/>
  <c r="AG947" i="4"/>
  <c r="AF958" i="4"/>
  <c r="AG958" i="4"/>
  <c r="AD958" i="4"/>
  <c r="AE958" i="4" s="1"/>
  <c r="AD780" i="4"/>
  <c r="AE780" i="4" s="1"/>
  <c r="AD790" i="4"/>
  <c r="AE790" i="4" s="1"/>
  <c r="AD835" i="4"/>
  <c r="AE835" i="4" s="1"/>
  <c r="AG894" i="4"/>
  <c r="AD907" i="4"/>
  <c r="AE907" i="4" s="1"/>
  <c r="AG907" i="4"/>
  <c r="AF907" i="4"/>
  <c r="AF704" i="4"/>
  <c r="AD706" i="4"/>
  <c r="AE706" i="4" s="1"/>
  <c r="AD708" i="4"/>
  <c r="AE708" i="4" s="1"/>
  <c r="AD718" i="4"/>
  <c r="AE718" i="4" s="1"/>
  <c r="AD720" i="4"/>
  <c r="AE720" i="4" s="1"/>
  <c r="AD726" i="4"/>
  <c r="AE726" i="4" s="1"/>
  <c r="AD728" i="4"/>
  <c r="AE728" i="4" s="1"/>
  <c r="AD730" i="4"/>
  <c r="AE730" i="4" s="1"/>
  <c r="AD732" i="4"/>
  <c r="AE732" i="4" s="1"/>
  <c r="AF734" i="4"/>
  <c r="AD758" i="4"/>
  <c r="AE758" i="4" s="1"/>
  <c r="AD760" i="4"/>
  <c r="AE760" i="4" s="1"/>
  <c r="AD762" i="4"/>
  <c r="AE762" i="4" s="1"/>
  <c r="AD764" i="4"/>
  <c r="AE764" i="4" s="1"/>
  <c r="AD778" i="4"/>
  <c r="AE778" i="4" s="1"/>
  <c r="AF780" i="4"/>
  <c r="AF790" i="4"/>
  <c r="AD798" i="4"/>
  <c r="AE798" i="4" s="1"/>
  <c r="AD806" i="4"/>
  <c r="AE806" i="4" s="1"/>
  <c r="AF816" i="4"/>
  <c r="AF853" i="4"/>
  <c r="AG853" i="4"/>
  <c r="AD882" i="4"/>
  <c r="AE882" i="4" s="1"/>
  <c r="AF882" i="4"/>
  <c r="AD776" i="4"/>
  <c r="AE776" i="4" s="1"/>
  <c r="AD788" i="4"/>
  <c r="AE788" i="4" s="1"/>
  <c r="AG851" i="4"/>
  <c r="AD851" i="4"/>
  <c r="AE851" i="4" s="1"/>
  <c r="AG886" i="4"/>
  <c r="AF886" i="4"/>
  <c r="AD886" i="4"/>
  <c r="AE886" i="4" s="1"/>
  <c r="AD964" i="4"/>
  <c r="AE964" i="4" s="1"/>
  <c r="AG964" i="4"/>
  <c r="AF964" i="4"/>
  <c r="AG983" i="4"/>
  <c r="AF983" i="4"/>
  <c r="AD983" i="4"/>
  <c r="AE983" i="4" s="1"/>
  <c r="AG993" i="4"/>
  <c r="AD993" i="4"/>
  <c r="AE993" i="4" s="1"/>
  <c r="AF718" i="4"/>
  <c r="AF722" i="4"/>
  <c r="AF726" i="4"/>
  <c r="AD750" i="4"/>
  <c r="AE750" i="4" s="1"/>
  <c r="AD752" i="4"/>
  <c r="AE752" i="4" s="1"/>
  <c r="AD754" i="4"/>
  <c r="AE754" i="4" s="1"/>
  <c r="AD756" i="4"/>
  <c r="AE756" i="4" s="1"/>
  <c r="AF758" i="4"/>
  <c r="AD774" i="4"/>
  <c r="AE774" i="4" s="1"/>
  <c r="AF776" i="4"/>
  <c r="AD786" i="4"/>
  <c r="AE786" i="4" s="1"/>
  <c r="AF788" i="4"/>
  <c r="AD796" i="4"/>
  <c r="AE796" i="4" s="1"/>
  <c r="AD804" i="4"/>
  <c r="AE804" i="4" s="1"/>
  <c r="AD812" i="4"/>
  <c r="AE812" i="4" s="1"/>
  <c r="AD814" i="4"/>
  <c r="AE814" i="4" s="1"/>
  <c r="AD830" i="4"/>
  <c r="AE830" i="4" s="1"/>
  <c r="AD840" i="4"/>
  <c r="AE840" i="4" s="1"/>
  <c r="AF875" i="4"/>
  <c r="AD960" i="4"/>
  <c r="AE960" i="4" s="1"/>
  <c r="AG960" i="4"/>
  <c r="AF960" i="4"/>
  <c r="AD810" i="4"/>
  <c r="AE810" i="4" s="1"/>
  <c r="AF859" i="4"/>
  <c r="AD884" i="4"/>
  <c r="AE884" i="4" s="1"/>
  <c r="AD902" i="4"/>
  <c r="AE902" i="4" s="1"/>
  <c r="AD905" i="4"/>
  <c r="AE905" i="4" s="1"/>
  <c r="AF910" i="4"/>
  <c r="AD912" i="4"/>
  <c r="AE912" i="4" s="1"/>
  <c r="AG913" i="4"/>
  <c r="AD923" i="4"/>
  <c r="AE923" i="4" s="1"/>
  <c r="AG929" i="4"/>
  <c r="AF942" i="4"/>
  <c r="AF965" i="4"/>
  <c r="AG974" i="4"/>
  <c r="AD981" i="4"/>
  <c r="AE981" i="4" s="1"/>
  <c r="AF985" i="4"/>
  <c r="AD855" i="4"/>
  <c r="AE855" i="4" s="1"/>
  <c r="AD878" i="4"/>
  <c r="AE878" i="4" s="1"/>
  <c r="AF956" i="4"/>
  <c r="AF976" i="4"/>
  <c r="AF981" i="4"/>
  <c r="AG956" i="4"/>
  <c r="AG976" i="4"/>
  <c r="AD979" i="4"/>
  <c r="AE979" i="4" s="1"/>
  <c r="AD864" i="4"/>
  <c r="AE864" i="4" s="1"/>
  <c r="AD883" i="4"/>
  <c r="AE883" i="4" s="1"/>
  <c r="AD896" i="4"/>
  <c r="AE896" i="4" s="1"/>
  <c r="AD906" i="4"/>
  <c r="AE906" i="4" s="1"/>
  <c r="AD914" i="4"/>
  <c r="AE914" i="4" s="1"/>
  <c r="AD918" i="4"/>
  <c r="AE918" i="4" s="1"/>
  <c r="AD924" i="4"/>
  <c r="AE924" i="4" s="1"/>
  <c r="AF928" i="4"/>
  <c r="AF930" i="4"/>
  <c r="AD940" i="4"/>
  <c r="AE940" i="4" s="1"/>
  <c r="AD941" i="4"/>
  <c r="AE941" i="4" s="1"/>
  <c r="AD953" i="4"/>
  <c r="AE953" i="4" s="1"/>
  <c r="AD975" i="4"/>
  <c r="AE975" i="4" s="1"/>
  <c r="AD977" i="4"/>
  <c r="AE977" i="4" s="1"/>
  <c r="AF979" i="4"/>
  <c r="AF870" i="4"/>
  <c r="AF876" i="4"/>
  <c r="AF881" i="4"/>
  <c r="AD885" i="4"/>
  <c r="AE885" i="4" s="1"/>
  <c r="AF893" i="4"/>
  <c r="AD904" i="4"/>
  <c r="AE904" i="4" s="1"/>
  <c r="AF906" i="4"/>
  <c r="AD911" i="4"/>
  <c r="AE911" i="4" s="1"/>
  <c r="AD943" i="4"/>
  <c r="AE943" i="4" s="1"/>
  <c r="AD949" i="4"/>
  <c r="AE949" i="4" s="1"/>
  <c r="AD957" i="4"/>
  <c r="AE957" i="4" s="1"/>
  <c r="AD969" i="4"/>
  <c r="AE969" i="4" s="1"/>
  <c r="AF977" i="4"/>
  <c r="AD990" i="4"/>
  <c r="AE990" i="4" s="1"/>
  <c r="AD989" i="4"/>
  <c r="AE989" i="4" s="1"/>
  <c r="AF891" i="4"/>
  <c r="AG916" i="4"/>
  <c r="AF926" i="4"/>
  <c r="AG935" i="4"/>
  <c r="AD942" i="4"/>
  <c r="AE942" i="4" s="1"/>
  <c r="AG943" i="4"/>
  <c r="AF957" i="4"/>
  <c r="AD965" i="4"/>
  <c r="AE965" i="4" s="1"/>
  <c r="AD985" i="4"/>
  <c r="AE985" i="4" s="1"/>
  <c r="AG5" i="4"/>
  <c r="AD2" i="4"/>
  <c r="AG7" i="4"/>
  <c r="AF40" i="4"/>
  <c r="AG60" i="4"/>
  <c r="AD3" i="4"/>
  <c r="AD12" i="4"/>
  <c r="AE12" i="4" s="1"/>
  <c r="AG19" i="4"/>
  <c r="AD23" i="4"/>
  <c r="AE23" i="4" s="1"/>
  <c r="AG24" i="4"/>
  <c r="AG35" i="4"/>
  <c r="AD39" i="4"/>
  <c r="AE39" i="4" s="1"/>
  <c r="AG40" i="4"/>
  <c r="E12" i="7" s="1"/>
  <c r="AG51" i="4"/>
  <c r="AG63" i="4"/>
  <c r="AF63" i="4"/>
  <c r="B8" i="5"/>
  <c r="AD4" i="4"/>
  <c r="AF12" i="4"/>
  <c r="AF13" i="4"/>
  <c r="AF29" i="4"/>
  <c r="AF45" i="4"/>
  <c r="AD59" i="4"/>
  <c r="AE59" i="4" s="1"/>
  <c r="B10" i="5"/>
  <c r="AG2" i="4"/>
  <c r="AD16" i="4"/>
  <c r="AE16" i="4" s="1"/>
  <c r="AG23" i="4"/>
  <c r="AG29" i="4"/>
  <c r="C14" i="6" s="1"/>
  <c r="AD32" i="4"/>
  <c r="AE32" i="4" s="1"/>
  <c r="AG39" i="4"/>
  <c r="AG45" i="4"/>
  <c r="AD48" i="4"/>
  <c r="AE48" i="4" s="1"/>
  <c r="AG59" i="4"/>
  <c r="AD63" i="4"/>
  <c r="AE63" i="4" s="1"/>
  <c r="AG4" i="4"/>
  <c r="AF16" i="4"/>
  <c r="AF17" i="4"/>
  <c r="AF32" i="4"/>
  <c r="AF48" i="4"/>
  <c r="AF64" i="4"/>
  <c r="AD64" i="4"/>
  <c r="AE64" i="4" s="1"/>
  <c r="AG17" i="4"/>
  <c r="B22" i="6"/>
  <c r="AF36" i="4"/>
  <c r="AF37" i="4"/>
  <c r="AG52" i="4"/>
  <c r="AF56" i="4"/>
  <c r="AG15" i="4"/>
  <c r="AD19" i="4"/>
  <c r="AE19" i="4" s="1"/>
  <c r="AG21" i="4"/>
  <c r="AG31" i="4"/>
  <c r="AD35" i="4"/>
  <c r="AE35" i="4" s="1"/>
  <c r="AG37" i="4"/>
  <c r="AG47" i="4"/>
  <c r="AD51" i="4"/>
  <c r="AE51" i="4" s="1"/>
  <c r="AG56" i="4"/>
  <c r="AF60" i="4"/>
  <c r="AG64" i="4"/>
  <c r="AG57" i="4"/>
  <c r="AG65" i="4"/>
  <c r="AD68" i="4"/>
  <c r="AE68" i="4" s="1"/>
  <c r="AG73" i="4"/>
  <c r="AD76" i="4"/>
  <c r="AE76" i="4" s="1"/>
  <c r="AG81" i="4"/>
  <c r="AD84" i="4"/>
  <c r="AE84" i="4" s="1"/>
  <c r="AG89" i="4"/>
  <c r="AD92" i="4"/>
  <c r="AE92" i="4" s="1"/>
  <c r="AG97" i="4"/>
  <c r="AD100" i="4"/>
  <c r="AE100" i="4" s="1"/>
  <c r="AG105" i="4"/>
  <c r="AD108" i="4"/>
  <c r="AE108" i="4" s="1"/>
  <c r="AF119" i="4"/>
  <c r="AF135" i="4"/>
  <c r="AF177" i="4"/>
  <c r="AF183" i="4"/>
  <c r="AD183" i="4"/>
  <c r="AE183" i="4" s="1"/>
  <c r="AG184" i="4"/>
  <c r="AF191" i="4"/>
  <c r="AD191" i="4"/>
  <c r="AE191" i="4" s="1"/>
  <c r="AF267" i="4"/>
  <c r="AG267" i="4"/>
  <c r="AD267" i="4"/>
  <c r="AE267" i="4" s="1"/>
  <c r="AD53" i="4"/>
  <c r="AE53" i="4" s="1"/>
  <c r="AD61" i="4"/>
  <c r="AE61" i="4" s="1"/>
  <c r="AF67" i="4"/>
  <c r="AD69" i="4"/>
  <c r="AE69" i="4" s="1"/>
  <c r="AF75" i="4"/>
  <c r="AD77" i="4"/>
  <c r="AE77" i="4" s="1"/>
  <c r="AF83" i="4"/>
  <c r="AD85" i="4"/>
  <c r="AE85" i="4" s="1"/>
  <c r="AF91" i="4"/>
  <c r="AD93" i="4"/>
  <c r="AE93" i="4" s="1"/>
  <c r="AF99" i="4"/>
  <c r="AD101" i="4"/>
  <c r="AE101" i="4" s="1"/>
  <c r="AF107" i="4"/>
  <c r="AD118" i="4"/>
  <c r="AE118" i="4" s="1"/>
  <c r="AD134" i="4"/>
  <c r="AE134" i="4" s="1"/>
  <c r="AD139" i="4"/>
  <c r="AE139" i="4" s="1"/>
  <c r="AF159" i="4"/>
  <c r="AD159" i="4"/>
  <c r="AE159" i="4" s="1"/>
  <c r="AG177" i="4"/>
  <c r="AD185" i="4"/>
  <c r="AE185" i="4" s="1"/>
  <c r="AG185" i="4"/>
  <c r="AG208" i="4"/>
  <c r="AF240" i="4"/>
  <c r="AG240" i="4"/>
  <c r="AD240" i="4"/>
  <c r="AE240" i="4" s="1"/>
  <c r="AF68" i="4"/>
  <c r="AF76" i="4"/>
  <c r="AF84" i="4"/>
  <c r="AF92" i="4"/>
  <c r="AF100" i="4"/>
  <c r="AF108" i="4"/>
  <c r="AD123" i="4"/>
  <c r="AE123" i="4" s="1"/>
  <c r="AF176" i="4"/>
  <c r="AG191" i="4"/>
  <c r="AF207" i="4"/>
  <c r="AD207" i="4"/>
  <c r="AE207" i="4" s="1"/>
  <c r="AF224" i="4"/>
  <c r="AD244" i="4"/>
  <c r="AE244" i="4" s="1"/>
  <c r="AG244" i="4"/>
  <c r="AF244" i="4"/>
  <c r="AF280" i="4"/>
  <c r="AG280" i="4"/>
  <c r="AD280" i="4"/>
  <c r="AE280" i="4" s="1"/>
  <c r="AD284" i="4"/>
  <c r="AE284" i="4" s="1"/>
  <c r="AG284" i="4"/>
  <c r="AF284" i="4"/>
  <c r="AF299" i="4"/>
  <c r="AD299" i="4"/>
  <c r="AE299" i="4" s="1"/>
  <c r="AG299" i="4"/>
  <c r="AF144" i="4"/>
  <c r="AF169" i="4"/>
  <c r="AF175" i="4"/>
  <c r="AD175" i="4"/>
  <c r="AE175" i="4" s="1"/>
  <c r="AG176" i="4"/>
  <c r="AF231" i="4"/>
  <c r="AG231" i="4"/>
  <c r="AD231" i="4"/>
  <c r="AE231" i="4" s="1"/>
  <c r="AD269" i="4"/>
  <c r="AE269" i="4" s="1"/>
  <c r="AG269" i="4"/>
  <c r="AF269" i="4"/>
  <c r="AD309" i="4"/>
  <c r="AE309" i="4" s="1"/>
  <c r="AG309" i="4"/>
  <c r="AF309" i="4"/>
  <c r="AD346" i="4"/>
  <c r="AE346" i="4" s="1"/>
  <c r="AF346" i="4"/>
  <c r="AG346" i="4"/>
  <c r="AG374" i="4"/>
  <c r="AF374" i="4"/>
  <c r="AD374" i="4"/>
  <c r="AE374" i="4" s="1"/>
  <c r="AD437" i="4"/>
  <c r="AE437" i="4" s="1"/>
  <c r="AF437" i="4"/>
  <c r="AG437" i="4"/>
  <c r="AD72" i="4"/>
  <c r="AE72" i="4" s="1"/>
  <c r="AD80" i="4"/>
  <c r="AE80" i="4" s="1"/>
  <c r="AD88" i="4"/>
  <c r="AE88" i="4" s="1"/>
  <c r="AD96" i="4"/>
  <c r="AE96" i="4" s="1"/>
  <c r="AD104" i="4"/>
  <c r="AE104" i="4" s="1"/>
  <c r="AG109" i="4"/>
  <c r="AD109" i="4"/>
  <c r="AE109" i="4" s="1"/>
  <c r="AF111" i="4"/>
  <c r="AG112" i="4"/>
  <c r="AF127" i="4"/>
  <c r="AG144" i="4"/>
  <c r="AF151" i="4"/>
  <c r="AD151" i="4"/>
  <c r="AE151" i="4" s="1"/>
  <c r="AG169" i="4"/>
  <c r="AG200" i="4"/>
  <c r="AF223" i="4"/>
  <c r="AD223" i="4"/>
  <c r="AE223" i="4" s="1"/>
  <c r="AD253" i="4"/>
  <c r="AE253" i="4" s="1"/>
  <c r="AG253" i="4"/>
  <c r="AF253" i="4"/>
  <c r="AF291" i="4"/>
  <c r="AG291" i="4"/>
  <c r="AD291" i="4"/>
  <c r="AE291" i="4" s="1"/>
  <c r="AF71" i="4"/>
  <c r="AF79" i="4"/>
  <c r="AF87" i="4"/>
  <c r="AF95" i="4"/>
  <c r="AF103" i="4"/>
  <c r="AD110" i="4"/>
  <c r="AE110" i="4" s="1"/>
  <c r="AD126" i="4"/>
  <c r="AE126" i="4" s="1"/>
  <c r="AF143" i="4"/>
  <c r="AF168" i="4"/>
  <c r="AF185" i="4"/>
  <c r="AF199" i="4"/>
  <c r="AD199" i="4"/>
  <c r="AE199" i="4" s="1"/>
  <c r="AF216" i="4"/>
  <c r="AD301" i="4"/>
  <c r="AE301" i="4" s="1"/>
  <c r="AG301" i="4"/>
  <c r="AF301" i="4"/>
  <c r="AF72" i="4"/>
  <c r="AF80" i="4"/>
  <c r="AF88" i="4"/>
  <c r="AF96" i="4"/>
  <c r="AF104" i="4"/>
  <c r="AD115" i="4"/>
  <c r="AE115" i="4" s="1"/>
  <c r="AD131" i="4"/>
  <c r="AE131" i="4" s="1"/>
  <c r="AG143" i="4"/>
  <c r="AG147" i="4"/>
  <c r="AF161" i="4"/>
  <c r="AF167" i="4"/>
  <c r="AD167" i="4"/>
  <c r="AE167" i="4" s="1"/>
  <c r="AG175" i="4"/>
  <c r="AF192" i="4"/>
  <c r="AG223" i="4"/>
  <c r="AF264" i="4"/>
  <c r="AG264" i="4"/>
  <c r="AD264" i="4"/>
  <c r="AE264" i="4" s="1"/>
  <c r="AF307" i="4"/>
  <c r="AD307" i="4"/>
  <c r="AE307" i="4" s="1"/>
  <c r="AG307" i="4"/>
  <c r="AF352" i="4"/>
  <c r="AD352" i="4"/>
  <c r="AE352" i="4" s="1"/>
  <c r="AG352" i="4"/>
  <c r="AG192" i="4"/>
  <c r="AF215" i="4"/>
  <c r="AD215" i="4"/>
  <c r="AE215" i="4" s="1"/>
  <c r="AD293" i="4"/>
  <c r="AE293" i="4" s="1"/>
  <c r="AG293" i="4"/>
  <c r="AF293" i="4"/>
  <c r="AF386" i="4"/>
  <c r="AD386" i="4"/>
  <c r="AE386" i="4" s="1"/>
  <c r="AG386" i="4"/>
  <c r="AG193" i="4"/>
  <c r="AG201" i="4"/>
  <c r="AG209" i="4"/>
  <c r="AG217" i="4"/>
  <c r="AG225" i="4"/>
  <c r="AF331" i="4"/>
  <c r="AD331" i="4"/>
  <c r="AE331" i="4" s="1"/>
  <c r="AF435" i="4"/>
  <c r="AD435" i="4"/>
  <c r="AE435" i="4" s="1"/>
  <c r="AG435" i="4"/>
  <c r="AD117" i="4"/>
  <c r="AE117" i="4" s="1"/>
  <c r="AD125" i="4"/>
  <c r="AE125" i="4" s="1"/>
  <c r="AD133" i="4"/>
  <c r="AE133" i="4" s="1"/>
  <c r="AD141" i="4"/>
  <c r="AE141" i="4" s="1"/>
  <c r="AD149" i="4"/>
  <c r="AE149" i="4" s="1"/>
  <c r="AF155" i="4"/>
  <c r="AD157" i="4"/>
  <c r="AE157" i="4" s="1"/>
  <c r="AF163" i="4"/>
  <c r="AD165" i="4"/>
  <c r="AE165" i="4" s="1"/>
  <c r="AF171" i="4"/>
  <c r="AD173" i="4"/>
  <c r="AE173" i="4" s="1"/>
  <c r="AF179" i="4"/>
  <c r="AD181" i="4"/>
  <c r="AE181" i="4" s="1"/>
  <c r="AF187" i="4"/>
  <c r="AD189" i="4"/>
  <c r="AE189" i="4" s="1"/>
  <c r="AF195" i="4"/>
  <c r="AD197" i="4"/>
  <c r="AE197" i="4" s="1"/>
  <c r="AF203" i="4"/>
  <c r="AD205" i="4"/>
  <c r="AE205" i="4" s="1"/>
  <c r="AF211" i="4"/>
  <c r="AD213" i="4"/>
  <c r="AE213" i="4" s="1"/>
  <c r="AF219" i="4"/>
  <c r="AD221" i="4"/>
  <c r="AE221" i="4" s="1"/>
  <c r="AF227" i="4"/>
  <c r="AF229" i="4"/>
  <c r="AG232" i="4"/>
  <c r="AG285" i="4"/>
  <c r="AF323" i="4"/>
  <c r="AD323" i="4"/>
  <c r="AE323" i="4" s="1"/>
  <c r="AG342" i="4"/>
  <c r="AF342" i="4"/>
  <c r="AD342" i="4"/>
  <c r="AE342" i="4" s="1"/>
  <c r="AD622" i="4"/>
  <c r="AE622" i="4" s="1"/>
  <c r="AF622" i="4"/>
  <c r="AG622" i="4"/>
  <c r="AD259" i="4"/>
  <c r="AE259" i="4" s="1"/>
  <c r="AD275" i="4"/>
  <c r="AE275" i="4" s="1"/>
  <c r="AF315" i="4"/>
  <c r="AD315" i="4"/>
  <c r="AE315" i="4" s="1"/>
  <c r="AG331" i="4"/>
  <c r="AG353" i="4"/>
  <c r="AF353" i="4"/>
  <c r="AD353" i="4"/>
  <c r="AE353" i="4" s="1"/>
  <c r="AF365" i="4"/>
  <c r="AG365" i="4"/>
  <c r="AD365" i="4"/>
  <c r="AE365" i="4" s="1"/>
  <c r="AG259" i="4"/>
  <c r="AG275" i="4"/>
  <c r="AF347" i="4"/>
  <c r="AD347" i="4"/>
  <c r="AE347" i="4" s="1"/>
  <c r="AF369" i="4"/>
  <c r="AG369" i="4"/>
  <c r="AD369" i="4"/>
  <c r="AE369" i="4" s="1"/>
  <c r="AF381" i="4"/>
  <c r="AD381" i="4"/>
  <c r="AE381" i="4" s="1"/>
  <c r="AF405" i="4"/>
  <c r="AD405" i="4"/>
  <c r="AE405" i="4" s="1"/>
  <c r="AF150" i="4"/>
  <c r="AF158" i="4"/>
  <c r="AF166" i="4"/>
  <c r="AF174" i="4"/>
  <c r="AF182" i="4"/>
  <c r="AF190" i="4"/>
  <c r="AF198" i="4"/>
  <c r="AF206" i="4"/>
  <c r="AF214" i="4"/>
  <c r="AF222" i="4"/>
  <c r="AG235" i="4"/>
  <c r="AD248" i="4"/>
  <c r="AE248" i="4" s="1"/>
  <c r="AF268" i="4"/>
  <c r="AF277" i="4"/>
  <c r="AF292" i="4"/>
  <c r="AF300" i="4"/>
  <c r="AG315" i="4"/>
  <c r="AF325" i="4"/>
  <c r="AF333" i="4"/>
  <c r="AF341" i="4"/>
  <c r="AD341" i="4"/>
  <c r="AE341" i="4" s="1"/>
  <c r="AF373" i="4"/>
  <c r="AG373" i="4"/>
  <c r="AD373" i="4"/>
  <c r="AE373" i="4" s="1"/>
  <c r="AD379" i="4"/>
  <c r="AE379" i="4" s="1"/>
  <c r="AG379" i="4"/>
  <c r="AF379" i="4"/>
  <c r="AD403" i="4"/>
  <c r="AE403" i="4" s="1"/>
  <c r="AG403" i="4"/>
  <c r="AF403" i="4"/>
  <c r="AD421" i="4"/>
  <c r="AE421" i="4" s="1"/>
  <c r="AF421" i="4"/>
  <c r="AG421" i="4"/>
  <c r="AD243" i="4"/>
  <c r="AE243" i="4" s="1"/>
  <c r="AG268" i="4"/>
  <c r="AG277" i="4"/>
  <c r="AD283" i="4"/>
  <c r="AE283" i="4" s="1"/>
  <c r="AD288" i="4"/>
  <c r="AE288" i="4" s="1"/>
  <c r="AG292" i="4"/>
  <c r="AG300" i="4"/>
  <c r="AG325" i="4"/>
  <c r="AG333" i="4"/>
  <c r="AG347" i="4"/>
  <c r="AF358" i="4"/>
  <c r="AD358" i="4"/>
  <c r="AE358" i="4" s="1"/>
  <c r="AF419" i="4"/>
  <c r="AD419" i="4"/>
  <c r="AE419" i="4" s="1"/>
  <c r="AG419" i="4"/>
  <c r="AD470" i="4"/>
  <c r="AE470" i="4" s="1"/>
  <c r="AF470" i="4"/>
  <c r="AG470" i="4"/>
  <c r="AD233" i="4"/>
  <c r="AE233" i="4" s="1"/>
  <c r="AF311" i="4"/>
  <c r="AD313" i="4"/>
  <c r="AE313" i="4" s="1"/>
  <c r="AF319" i="4"/>
  <c r="AF339" i="4"/>
  <c r="AG344" i="4"/>
  <c r="AG371" i="4"/>
  <c r="AF410" i="4"/>
  <c r="AD410" i="4"/>
  <c r="AE410" i="4" s="1"/>
  <c r="AF443" i="4"/>
  <c r="AD443" i="4"/>
  <c r="AE443" i="4" s="1"/>
  <c r="AD445" i="4"/>
  <c r="AE445" i="4" s="1"/>
  <c r="AF445" i="4"/>
  <c r="AD234" i="4"/>
  <c r="AE234" i="4" s="1"/>
  <c r="AD242" i="4"/>
  <c r="AE242" i="4" s="1"/>
  <c r="AD250" i="4"/>
  <c r="AE250" i="4" s="1"/>
  <c r="AD258" i="4"/>
  <c r="AE258" i="4" s="1"/>
  <c r="AD266" i="4"/>
  <c r="AE266" i="4" s="1"/>
  <c r="AD274" i="4"/>
  <c r="AE274" i="4" s="1"/>
  <c r="AD282" i="4"/>
  <c r="AE282" i="4" s="1"/>
  <c r="AD290" i="4"/>
  <c r="AE290" i="4" s="1"/>
  <c r="AD298" i="4"/>
  <c r="AE298" i="4" s="1"/>
  <c r="AF304" i="4"/>
  <c r="AD306" i="4"/>
  <c r="AE306" i="4" s="1"/>
  <c r="AF312" i="4"/>
  <c r="AD314" i="4"/>
  <c r="AE314" i="4" s="1"/>
  <c r="AF320" i="4"/>
  <c r="AD322" i="4"/>
  <c r="AE322" i="4" s="1"/>
  <c r="AF328" i="4"/>
  <c r="AD330" i="4"/>
  <c r="AE330" i="4" s="1"/>
  <c r="AF336" i="4"/>
  <c r="AG338" i="4"/>
  <c r="AG349" i="4"/>
  <c r="AF354" i="4"/>
  <c r="AG370" i="4"/>
  <c r="AF378" i="4"/>
  <c r="AD378" i="4"/>
  <c r="AE378" i="4" s="1"/>
  <c r="AF402" i="4"/>
  <c r="AD402" i="4"/>
  <c r="AE402" i="4" s="1"/>
  <c r="AF427" i="4"/>
  <c r="AD427" i="4"/>
  <c r="AE427" i="4" s="1"/>
  <c r="AD429" i="4"/>
  <c r="AE429" i="4" s="1"/>
  <c r="AF429" i="4"/>
  <c r="AD453" i="4"/>
  <c r="AE453" i="4" s="1"/>
  <c r="AF453" i="4"/>
  <c r="AF234" i="4"/>
  <c r="AF242" i="4"/>
  <c r="AF250" i="4"/>
  <c r="AF258" i="4"/>
  <c r="AF266" i="4"/>
  <c r="AF274" i="4"/>
  <c r="AF282" i="4"/>
  <c r="AF290" i="4"/>
  <c r="AF298" i="4"/>
  <c r="AF306" i="4"/>
  <c r="AF314" i="4"/>
  <c r="AF322" i="4"/>
  <c r="AF330" i="4"/>
  <c r="AF395" i="4"/>
  <c r="AG410" i="4"/>
  <c r="AG443" i="4"/>
  <c r="AD461" i="4"/>
  <c r="AE461" i="4" s="1"/>
  <c r="AF461" i="4"/>
  <c r="AG473" i="4"/>
  <c r="AF473" i="4"/>
  <c r="AD473" i="4"/>
  <c r="AE473" i="4" s="1"/>
  <c r="AF476" i="4"/>
  <c r="AD476" i="4"/>
  <c r="AE476" i="4" s="1"/>
  <c r="AG476" i="4"/>
  <c r="AD357" i="4"/>
  <c r="AE357" i="4" s="1"/>
  <c r="AF394" i="4"/>
  <c r="AD394" i="4"/>
  <c r="AE394" i="4" s="1"/>
  <c r="AG395" i="4"/>
  <c r="AF411" i="4"/>
  <c r="AD411" i="4"/>
  <c r="AE411" i="4" s="1"/>
  <c r="AD413" i="4"/>
  <c r="AE413" i="4" s="1"/>
  <c r="AF413" i="4"/>
  <c r="AG451" i="4"/>
  <c r="AG459" i="4"/>
  <c r="AF500" i="4"/>
  <c r="AD500" i="4"/>
  <c r="AE500" i="4" s="1"/>
  <c r="AF516" i="4"/>
  <c r="AD516" i="4"/>
  <c r="AE516" i="4" s="1"/>
  <c r="AF729" i="4"/>
  <c r="AD729" i="4"/>
  <c r="AE729" i="4" s="1"/>
  <c r="AG729" i="4"/>
  <c r="AD343" i="4"/>
  <c r="AE343" i="4" s="1"/>
  <c r="AF466" i="4"/>
  <c r="AG492" i="4"/>
  <c r="AD502" i="4"/>
  <c r="AE502" i="4" s="1"/>
  <c r="AF502" i="4"/>
  <c r="AD518" i="4"/>
  <c r="AE518" i="4" s="1"/>
  <c r="AF518" i="4"/>
  <c r="AF548" i="4"/>
  <c r="AD548" i="4"/>
  <c r="AE548" i="4" s="1"/>
  <c r="AD550" i="4"/>
  <c r="AE550" i="4" s="1"/>
  <c r="AF550" i="4"/>
  <c r="AD385" i="4"/>
  <c r="AE385" i="4" s="1"/>
  <c r="AD393" i="4"/>
  <c r="AE393" i="4" s="1"/>
  <c r="AF506" i="4"/>
  <c r="AD506" i="4"/>
  <c r="AE506" i="4" s="1"/>
  <c r="AG522" i="4"/>
  <c r="AF522" i="4"/>
  <c r="AD522" i="4"/>
  <c r="AE522" i="4" s="1"/>
  <c r="AF524" i="4"/>
  <c r="AD524" i="4"/>
  <c r="AE524" i="4" s="1"/>
  <c r="AD526" i="4"/>
  <c r="AE526" i="4" s="1"/>
  <c r="AF526" i="4"/>
  <c r="AF556" i="4"/>
  <c r="AD556" i="4"/>
  <c r="AE556" i="4" s="1"/>
  <c r="AD558" i="4"/>
  <c r="AE558" i="4" s="1"/>
  <c r="AF558" i="4"/>
  <c r="AD654" i="4"/>
  <c r="AE654" i="4" s="1"/>
  <c r="AF654" i="4"/>
  <c r="AG654" i="4"/>
  <c r="AD662" i="4"/>
  <c r="AE662" i="4" s="1"/>
  <c r="AF662" i="4"/>
  <c r="AG662" i="4"/>
  <c r="AF368" i="4"/>
  <c r="AF376" i="4"/>
  <c r="AF384" i="4"/>
  <c r="AF392" i="4"/>
  <c r="AF400" i="4"/>
  <c r="AF408" i="4"/>
  <c r="AF416" i="4"/>
  <c r="AD418" i="4"/>
  <c r="AE418" i="4" s="1"/>
  <c r="AF424" i="4"/>
  <c r="AD426" i="4"/>
  <c r="AE426" i="4" s="1"/>
  <c r="AF432" i="4"/>
  <c r="AD434" i="4"/>
  <c r="AE434" i="4" s="1"/>
  <c r="AF440" i="4"/>
  <c r="AD442" i="4"/>
  <c r="AE442" i="4" s="1"/>
  <c r="AF448" i="4"/>
  <c r="AD450" i="4"/>
  <c r="AE450" i="4" s="1"/>
  <c r="AF456" i="4"/>
  <c r="AD458" i="4"/>
  <c r="AE458" i="4" s="1"/>
  <c r="AD468" i="4"/>
  <c r="AE468" i="4" s="1"/>
  <c r="AF472" i="4"/>
  <c r="AD472" i="4"/>
  <c r="AE472" i="4" s="1"/>
  <c r="AF474" i="4"/>
  <c r="AD478" i="4"/>
  <c r="AE478" i="4" s="1"/>
  <c r="AF478" i="4"/>
  <c r="AF508" i="4"/>
  <c r="AD508" i="4"/>
  <c r="AE508" i="4" s="1"/>
  <c r="AD610" i="4"/>
  <c r="AE610" i="4" s="1"/>
  <c r="AG610" i="4"/>
  <c r="AF610" i="4"/>
  <c r="AF377" i="4"/>
  <c r="AF385" i="4"/>
  <c r="AF393" i="4"/>
  <c r="AF401" i="4"/>
  <c r="AF409" i="4"/>
  <c r="AF417" i="4"/>
  <c r="AF425" i="4"/>
  <c r="AF433" i="4"/>
  <c r="AF441" i="4"/>
  <c r="AF449" i="4"/>
  <c r="AD451" i="4"/>
  <c r="AE451" i="4" s="1"/>
  <c r="AF457" i="4"/>
  <c r="AD459" i="4"/>
  <c r="AE459" i="4" s="1"/>
  <c r="AG474" i="4"/>
  <c r="AD494" i="4"/>
  <c r="AE494" i="4" s="1"/>
  <c r="AF494" i="4"/>
  <c r="AG500" i="4"/>
  <c r="AD510" i="4"/>
  <c r="AE510" i="4" s="1"/>
  <c r="AF510" i="4"/>
  <c r="AG516" i="4"/>
  <c r="AF532" i="4"/>
  <c r="AD532" i="4"/>
  <c r="AE532" i="4" s="1"/>
  <c r="AD534" i="4"/>
  <c r="AE534" i="4" s="1"/>
  <c r="AF534" i="4"/>
  <c r="AG548" i="4"/>
  <c r="AF564" i="4"/>
  <c r="AD564" i="4"/>
  <c r="AE564" i="4" s="1"/>
  <c r="AD566" i="4"/>
  <c r="AE566" i="4" s="1"/>
  <c r="AF566" i="4"/>
  <c r="AF418" i="4"/>
  <c r="AF426" i="4"/>
  <c r="AF434" i="4"/>
  <c r="AF442" i="4"/>
  <c r="AF450" i="4"/>
  <c r="AF458" i="4"/>
  <c r="AG468" i="4"/>
  <c r="AF480" i="4"/>
  <c r="AD480" i="4"/>
  <c r="AE480" i="4" s="1"/>
  <c r="AD486" i="4"/>
  <c r="AE486" i="4" s="1"/>
  <c r="AF486" i="4"/>
  <c r="AF588" i="4"/>
  <c r="AD588" i="4"/>
  <c r="AE588" i="4" s="1"/>
  <c r="AD602" i="4"/>
  <c r="AE602" i="4" s="1"/>
  <c r="AG602" i="4"/>
  <c r="AF602" i="4"/>
  <c r="AF625" i="4"/>
  <c r="AG625" i="4"/>
  <c r="AF498" i="4"/>
  <c r="AD498" i="4"/>
  <c r="AE498" i="4" s="1"/>
  <c r="AF514" i="4"/>
  <c r="AD514" i="4"/>
  <c r="AE514" i="4" s="1"/>
  <c r="AF540" i="4"/>
  <c r="AD540" i="4"/>
  <c r="AE540" i="4" s="1"/>
  <c r="AD542" i="4"/>
  <c r="AE542" i="4" s="1"/>
  <c r="AF542" i="4"/>
  <c r="AG550" i="4"/>
  <c r="AG556" i="4"/>
  <c r="AF572" i="4"/>
  <c r="AD572" i="4"/>
  <c r="AE572" i="4" s="1"/>
  <c r="AD574" i="4"/>
  <c r="AE574" i="4" s="1"/>
  <c r="AF574" i="4"/>
  <c r="AF584" i="4"/>
  <c r="AG584" i="4"/>
  <c r="AD584" i="4"/>
  <c r="AE584" i="4" s="1"/>
  <c r="AD488" i="4"/>
  <c r="AE488" i="4" s="1"/>
  <c r="AD496" i="4"/>
  <c r="AE496" i="4" s="1"/>
  <c r="AD504" i="4"/>
  <c r="AE504" i="4" s="1"/>
  <c r="AD512" i="4"/>
  <c r="AE512" i="4" s="1"/>
  <c r="AD520" i="4"/>
  <c r="AE520" i="4" s="1"/>
  <c r="AD528" i="4"/>
  <c r="AE528" i="4" s="1"/>
  <c r="AD536" i="4"/>
  <c r="AE536" i="4" s="1"/>
  <c r="AD544" i="4"/>
  <c r="AE544" i="4" s="1"/>
  <c r="AD552" i="4"/>
  <c r="AE552" i="4" s="1"/>
  <c r="AD560" i="4"/>
  <c r="AE560" i="4" s="1"/>
  <c r="AD568" i="4"/>
  <c r="AE568" i="4" s="1"/>
  <c r="AD576" i="4"/>
  <c r="AE576" i="4" s="1"/>
  <c r="AG609" i="4"/>
  <c r="AG626" i="4"/>
  <c r="AF488" i="4"/>
  <c r="AF496" i="4"/>
  <c r="AF504" i="4"/>
  <c r="AF512" i="4"/>
  <c r="AF520" i="4"/>
  <c r="AF528" i="4"/>
  <c r="AD530" i="4"/>
  <c r="AE530" i="4" s="1"/>
  <c r="AF536" i="4"/>
  <c r="AD538" i="4"/>
  <c r="AE538" i="4" s="1"/>
  <c r="AF544" i="4"/>
  <c r="AD546" i="4"/>
  <c r="AE546" i="4" s="1"/>
  <c r="AF552" i="4"/>
  <c r="AD554" i="4"/>
  <c r="AE554" i="4" s="1"/>
  <c r="AF560" i="4"/>
  <c r="AD562" i="4"/>
  <c r="AE562" i="4" s="1"/>
  <c r="AF568" i="4"/>
  <c r="AD570" i="4"/>
  <c r="AE570" i="4" s="1"/>
  <c r="AF576" i="4"/>
  <c r="AD578" i="4"/>
  <c r="AE578" i="4" s="1"/>
  <c r="AD579" i="4"/>
  <c r="AE579" i="4" s="1"/>
  <c r="AF586" i="4"/>
  <c r="AF592" i="4"/>
  <c r="AD592" i="4"/>
  <c r="AE592" i="4" s="1"/>
  <c r="AF594" i="4"/>
  <c r="AD598" i="4"/>
  <c r="AE598" i="4" s="1"/>
  <c r="AF598" i="4"/>
  <c r="AF618" i="4"/>
  <c r="AF497" i="4"/>
  <c r="AF505" i="4"/>
  <c r="AF513" i="4"/>
  <c r="AF521" i="4"/>
  <c r="AF529" i="4"/>
  <c r="AF537" i="4"/>
  <c r="AF545" i="4"/>
  <c r="AF553" i="4"/>
  <c r="AF561" i="4"/>
  <c r="AF569" i="4"/>
  <c r="AF577" i="4"/>
  <c r="AG580" i="4"/>
  <c r="AG586" i="4"/>
  <c r="AG594" i="4"/>
  <c r="AD638" i="4"/>
  <c r="AE638" i="4" s="1"/>
  <c r="AF638" i="4"/>
  <c r="AD670" i="4"/>
  <c r="AE670" i="4" s="1"/>
  <c r="AF670" i="4"/>
  <c r="AD686" i="4"/>
  <c r="AE686" i="4" s="1"/>
  <c r="AF686" i="4"/>
  <c r="AD694" i="4"/>
  <c r="AE694" i="4" s="1"/>
  <c r="AF694" i="4"/>
  <c r="AG702" i="4"/>
  <c r="AF702" i="4"/>
  <c r="AD702" i="4"/>
  <c r="AE702" i="4" s="1"/>
  <c r="AF530" i="4"/>
  <c r="AF538" i="4"/>
  <c r="AF546" i="4"/>
  <c r="AF554" i="4"/>
  <c r="AF562" i="4"/>
  <c r="AF570" i="4"/>
  <c r="AF578" i="4"/>
  <c r="AF600" i="4"/>
  <c r="AD600" i="4"/>
  <c r="AE600" i="4" s="1"/>
  <c r="AD606" i="4"/>
  <c r="AE606" i="4" s="1"/>
  <c r="AF606" i="4"/>
  <c r="AD614" i="4"/>
  <c r="AE614" i="4" s="1"/>
  <c r="AF614" i="4"/>
  <c r="AD646" i="4"/>
  <c r="AE646" i="4" s="1"/>
  <c r="AF646" i="4"/>
  <c r="AD678" i="4"/>
  <c r="AE678" i="4" s="1"/>
  <c r="AF678" i="4"/>
  <c r="AG596" i="4"/>
  <c r="AF608" i="4"/>
  <c r="AD608" i="4"/>
  <c r="AE608" i="4" s="1"/>
  <c r="AD630" i="4"/>
  <c r="AE630" i="4" s="1"/>
  <c r="AF630" i="4"/>
  <c r="AF634" i="4"/>
  <c r="AD634" i="4"/>
  <c r="AE634" i="4" s="1"/>
  <c r="AG612" i="4"/>
  <c r="AG620" i="4"/>
  <c r="AG628" i="4"/>
  <c r="AG636" i="4"/>
  <c r="AG644" i="4"/>
  <c r="AG652" i="4"/>
  <c r="AG660" i="4"/>
  <c r="AG668" i="4"/>
  <c r="AG676" i="4"/>
  <c r="AG684" i="4"/>
  <c r="AG692" i="4"/>
  <c r="AG700" i="4"/>
  <c r="AD616" i="4"/>
  <c r="AE616" i="4" s="1"/>
  <c r="AD624" i="4"/>
  <c r="AE624" i="4" s="1"/>
  <c r="AD632" i="4"/>
  <c r="AE632" i="4" s="1"/>
  <c r="AD640" i="4"/>
  <c r="AE640" i="4" s="1"/>
  <c r="AD648" i="4"/>
  <c r="AE648" i="4" s="1"/>
  <c r="AD656" i="4"/>
  <c r="AE656" i="4" s="1"/>
  <c r="AD664" i="4"/>
  <c r="AE664" i="4" s="1"/>
  <c r="AD672" i="4"/>
  <c r="AE672" i="4" s="1"/>
  <c r="AD680" i="4"/>
  <c r="AE680" i="4" s="1"/>
  <c r="AD688" i="4"/>
  <c r="AE688" i="4" s="1"/>
  <c r="AD696" i="4"/>
  <c r="AE696" i="4" s="1"/>
  <c r="AD704" i="4"/>
  <c r="AE704" i="4" s="1"/>
  <c r="AF707" i="4"/>
  <c r="AD707" i="4"/>
  <c r="AE707" i="4" s="1"/>
  <c r="AF713" i="4"/>
  <c r="AD713" i="4"/>
  <c r="AE713" i="4" s="1"/>
  <c r="AD725" i="4"/>
  <c r="AE725" i="4" s="1"/>
  <c r="AF725" i="4"/>
  <c r="AF616" i="4"/>
  <c r="AF624" i="4"/>
  <c r="AF632" i="4"/>
  <c r="AF640" i="4"/>
  <c r="AD642" i="4"/>
  <c r="AE642" i="4" s="1"/>
  <c r="AF648" i="4"/>
  <c r="AD650" i="4"/>
  <c r="AE650" i="4" s="1"/>
  <c r="AF656" i="4"/>
  <c r="AD658" i="4"/>
  <c r="AE658" i="4" s="1"/>
  <c r="AF664" i="4"/>
  <c r="AD666" i="4"/>
  <c r="AE666" i="4" s="1"/>
  <c r="AF672" i="4"/>
  <c r="AD674" i="4"/>
  <c r="AE674" i="4" s="1"/>
  <c r="AF680" i="4"/>
  <c r="AD682" i="4"/>
  <c r="AE682" i="4" s="1"/>
  <c r="AF688" i="4"/>
  <c r="AD690" i="4"/>
  <c r="AE690" i="4" s="1"/>
  <c r="AF696" i="4"/>
  <c r="AD698" i="4"/>
  <c r="AE698" i="4" s="1"/>
  <c r="AD703" i="4"/>
  <c r="AE703" i="4" s="1"/>
  <c r="AG705" i="4"/>
  <c r="AD711" i="4"/>
  <c r="AE711" i="4" s="1"/>
  <c r="AF715" i="4"/>
  <c r="AD715" i="4"/>
  <c r="AE715" i="4" s="1"/>
  <c r="AG715" i="4"/>
  <c r="AG716" i="4"/>
  <c r="AD733" i="4"/>
  <c r="AE733" i="4" s="1"/>
  <c r="AF733" i="4"/>
  <c r="AD741" i="4"/>
  <c r="AE741" i="4" s="1"/>
  <c r="AF741" i="4"/>
  <c r="AD749" i="4"/>
  <c r="AE749" i="4" s="1"/>
  <c r="AF749" i="4"/>
  <c r="AD757" i="4"/>
  <c r="AE757" i="4" s="1"/>
  <c r="AF757" i="4"/>
  <c r="AD765" i="4"/>
  <c r="AE765" i="4" s="1"/>
  <c r="AF765" i="4"/>
  <c r="AF681" i="4"/>
  <c r="AF689" i="4"/>
  <c r="AF697" i="4"/>
  <c r="AD636" i="4"/>
  <c r="AE636" i="4" s="1"/>
  <c r="AF642" i="4"/>
  <c r="AD644" i="4"/>
  <c r="AE644" i="4" s="1"/>
  <c r="AF650" i="4"/>
  <c r="AD652" i="4"/>
  <c r="AE652" i="4" s="1"/>
  <c r="AF658" i="4"/>
  <c r="AD660" i="4"/>
  <c r="AE660" i="4" s="1"/>
  <c r="AF666" i="4"/>
  <c r="AD668" i="4"/>
  <c r="AE668" i="4" s="1"/>
  <c r="AF674" i="4"/>
  <c r="AD676" i="4"/>
  <c r="AE676" i="4" s="1"/>
  <c r="AF682" i="4"/>
  <c r="AD684" i="4"/>
  <c r="AE684" i="4" s="1"/>
  <c r="AF690" i="4"/>
  <c r="AD692" i="4"/>
  <c r="AE692" i="4" s="1"/>
  <c r="AF698" i="4"/>
  <c r="AD700" i="4"/>
  <c r="AE700" i="4" s="1"/>
  <c r="AF719" i="4"/>
  <c r="AD719" i="4"/>
  <c r="AE719" i="4" s="1"/>
  <c r="AG713" i="4"/>
  <c r="AF721" i="4"/>
  <c r="AD721" i="4"/>
  <c r="AE721" i="4" s="1"/>
  <c r="AG733" i="4"/>
  <c r="AG741" i="4"/>
  <c r="AG749" i="4"/>
  <c r="AG757" i="4"/>
  <c r="AG765" i="4"/>
  <c r="AG723" i="4"/>
  <c r="AF724" i="4"/>
  <c r="AG731" i="4"/>
  <c r="AF732" i="4"/>
  <c r="AG739" i="4"/>
  <c r="AF740" i="4"/>
  <c r="AG747" i="4"/>
  <c r="AF748" i="4"/>
  <c r="AG755" i="4"/>
  <c r="AF756" i="4"/>
  <c r="AG763" i="4"/>
  <c r="AF764" i="4"/>
  <c r="AD766" i="4"/>
  <c r="AE766" i="4" s="1"/>
  <c r="AD819" i="4"/>
  <c r="AE819" i="4" s="1"/>
  <c r="AF819" i="4"/>
  <c r="AD727" i="4"/>
  <c r="AE727" i="4" s="1"/>
  <c r="AD735" i="4"/>
  <c r="AE735" i="4" s="1"/>
  <c r="AD743" i="4"/>
  <c r="AE743" i="4" s="1"/>
  <c r="AD751" i="4"/>
  <c r="AE751" i="4" s="1"/>
  <c r="AD759" i="4"/>
  <c r="AE759" i="4" s="1"/>
  <c r="AD767" i="4"/>
  <c r="AE767" i="4" s="1"/>
  <c r="AD795" i="4"/>
  <c r="AE795" i="4" s="1"/>
  <c r="AF795" i="4"/>
  <c r="AD827" i="4"/>
  <c r="AE827" i="4" s="1"/>
  <c r="AF827" i="4"/>
  <c r="AF727" i="4"/>
  <c r="AF735" i="4"/>
  <c r="AD737" i="4"/>
  <c r="AE737" i="4" s="1"/>
  <c r="AF743" i="4"/>
  <c r="AD745" i="4"/>
  <c r="AE745" i="4" s="1"/>
  <c r="AF751" i="4"/>
  <c r="AD753" i="4"/>
  <c r="AE753" i="4" s="1"/>
  <c r="AF759" i="4"/>
  <c r="AD761" i="4"/>
  <c r="AE761" i="4" s="1"/>
  <c r="AF767" i="4"/>
  <c r="AD769" i="4"/>
  <c r="AE769" i="4" s="1"/>
  <c r="AF791" i="4"/>
  <c r="AD791" i="4"/>
  <c r="AE791" i="4" s="1"/>
  <c r="AD803" i="4"/>
  <c r="AE803" i="4" s="1"/>
  <c r="AF803" i="4"/>
  <c r="AD811" i="4"/>
  <c r="AE811" i="4" s="1"/>
  <c r="AF811" i="4"/>
  <c r="AF861" i="4"/>
  <c r="AG861" i="4"/>
  <c r="AD861" i="4"/>
  <c r="AE861" i="4" s="1"/>
  <c r="AD723" i="4"/>
  <c r="AE723" i="4" s="1"/>
  <c r="AD731" i="4"/>
  <c r="AE731" i="4" s="1"/>
  <c r="AF737" i="4"/>
  <c r="AD739" i="4"/>
  <c r="AE739" i="4" s="1"/>
  <c r="AF745" i="4"/>
  <c r="AD747" i="4"/>
  <c r="AE747" i="4" s="1"/>
  <c r="AF753" i="4"/>
  <c r="AD755" i="4"/>
  <c r="AE755" i="4" s="1"/>
  <c r="AF761" i="4"/>
  <c r="AD763" i="4"/>
  <c r="AE763" i="4" s="1"/>
  <c r="AF769" i="4"/>
  <c r="AD771" i="4"/>
  <c r="AE771" i="4" s="1"/>
  <c r="AF771" i="4"/>
  <c r="AD787" i="4"/>
  <c r="AE787" i="4" s="1"/>
  <c r="AF787" i="4"/>
  <c r="AG795" i="4"/>
  <c r="AG819" i="4"/>
  <c r="AG827" i="4"/>
  <c r="AF773" i="4"/>
  <c r="AD773" i="4"/>
  <c r="AE773" i="4" s="1"/>
  <c r="AF775" i="4"/>
  <c r="AD775" i="4"/>
  <c r="AE775" i="4" s="1"/>
  <c r="AF777" i="4"/>
  <c r="AD777" i="4"/>
  <c r="AE777" i="4" s="1"/>
  <c r="AD779" i="4"/>
  <c r="AE779" i="4" s="1"/>
  <c r="AF779" i="4"/>
  <c r="AF781" i="4"/>
  <c r="AD781" i="4"/>
  <c r="AE781" i="4" s="1"/>
  <c r="AF783" i="4"/>
  <c r="AD783" i="4"/>
  <c r="AE783" i="4" s="1"/>
  <c r="AG803" i="4"/>
  <c r="AG785" i="4"/>
  <c r="AG793" i="4"/>
  <c r="AG801" i="4"/>
  <c r="AG809" i="4"/>
  <c r="AG817" i="4"/>
  <c r="AG825" i="4"/>
  <c r="AD789" i="4"/>
  <c r="AE789" i="4" s="1"/>
  <c r="AD797" i="4"/>
  <c r="AE797" i="4" s="1"/>
  <c r="AD805" i="4"/>
  <c r="AE805" i="4" s="1"/>
  <c r="AD813" i="4"/>
  <c r="AE813" i="4" s="1"/>
  <c r="AD821" i="4"/>
  <c r="AE821" i="4" s="1"/>
  <c r="AD829" i="4"/>
  <c r="AE829" i="4" s="1"/>
  <c r="AF874" i="4"/>
  <c r="AD874" i="4"/>
  <c r="AE874" i="4" s="1"/>
  <c r="AF789" i="4"/>
  <c r="AF797" i="4"/>
  <c r="AD799" i="4"/>
  <c r="AE799" i="4" s="1"/>
  <c r="AF805" i="4"/>
  <c r="AD807" i="4"/>
  <c r="AE807" i="4" s="1"/>
  <c r="AF813" i="4"/>
  <c r="AD815" i="4"/>
  <c r="AE815" i="4" s="1"/>
  <c r="AF821" i="4"/>
  <c r="AD823" i="4"/>
  <c r="AE823" i="4" s="1"/>
  <c r="AF829" i="4"/>
  <c r="AD831" i="4"/>
  <c r="AE831" i="4" s="1"/>
  <c r="AF842" i="4"/>
  <c r="AD842" i="4"/>
  <c r="AE842" i="4" s="1"/>
  <c r="AG844" i="4"/>
  <c r="AF844" i="4"/>
  <c r="AD844" i="4"/>
  <c r="AE844" i="4" s="1"/>
  <c r="AD845" i="4"/>
  <c r="AE845" i="4" s="1"/>
  <c r="AF806" i="4"/>
  <c r="AF814" i="4"/>
  <c r="AD816" i="4"/>
  <c r="AE816" i="4" s="1"/>
  <c r="AF822" i="4"/>
  <c r="AD824" i="4"/>
  <c r="AE824" i="4" s="1"/>
  <c r="AF830" i="4"/>
  <c r="AD832" i="4"/>
  <c r="AE832" i="4" s="1"/>
  <c r="AG845" i="4"/>
  <c r="AF850" i="4"/>
  <c r="AD850" i="4"/>
  <c r="AE850" i="4" s="1"/>
  <c r="AD853" i="4"/>
  <c r="AE853" i="4" s="1"/>
  <c r="AD785" i="4"/>
  <c r="AE785" i="4" s="1"/>
  <c r="AD793" i="4"/>
  <c r="AE793" i="4" s="1"/>
  <c r="AF799" i="4"/>
  <c r="AD801" i="4"/>
  <c r="AE801" i="4" s="1"/>
  <c r="AF807" i="4"/>
  <c r="AD809" i="4"/>
  <c r="AE809" i="4" s="1"/>
  <c r="AF815" i="4"/>
  <c r="AD817" i="4"/>
  <c r="AE817" i="4" s="1"/>
  <c r="AF823" i="4"/>
  <c r="AD825" i="4"/>
  <c r="AE825" i="4" s="1"/>
  <c r="AF831" i="4"/>
  <c r="AF858" i="4"/>
  <c r="AD858" i="4"/>
  <c r="AE858" i="4" s="1"/>
  <c r="AF836" i="4"/>
  <c r="AD836" i="4"/>
  <c r="AE836" i="4" s="1"/>
  <c r="AF866" i="4"/>
  <c r="AD866" i="4"/>
  <c r="AE866" i="4" s="1"/>
  <c r="AG917" i="4"/>
  <c r="AF920" i="4"/>
  <c r="AD920" i="4"/>
  <c r="AE920" i="4" s="1"/>
  <c r="AG920" i="4"/>
  <c r="AG936" i="4"/>
  <c r="AF936" i="4"/>
  <c r="AD936" i="4"/>
  <c r="AE936" i="4" s="1"/>
  <c r="AG951" i="4"/>
  <c r="AF951" i="4"/>
  <c r="AD951" i="4"/>
  <c r="AE951" i="4" s="1"/>
  <c r="AF995" i="4"/>
  <c r="AG995" i="4"/>
  <c r="AD833" i="4"/>
  <c r="AE833" i="4" s="1"/>
  <c r="AG838" i="4"/>
  <c r="AF839" i="4"/>
  <c r="AD841" i="4"/>
  <c r="AE841" i="4" s="1"/>
  <c r="AG846" i="4"/>
  <c r="AF847" i="4"/>
  <c r="AD849" i="4"/>
  <c r="AE849" i="4" s="1"/>
  <c r="AG854" i="4"/>
  <c r="AF855" i="4"/>
  <c r="AD857" i="4"/>
  <c r="AE857" i="4" s="1"/>
  <c r="AG862" i="4"/>
  <c r="AF863" i="4"/>
  <c r="AD865" i="4"/>
  <c r="AE865" i="4" s="1"/>
  <c r="AF871" i="4"/>
  <c r="AD873" i="4"/>
  <c r="AE873" i="4" s="1"/>
  <c r="AD880" i="4"/>
  <c r="AE880" i="4" s="1"/>
  <c r="AF880" i="4"/>
  <c r="AG882" i="4"/>
  <c r="AG890" i="4"/>
  <c r="AG893" i="4"/>
  <c r="AF897" i="4"/>
  <c r="AD897" i="4"/>
  <c r="AE897" i="4" s="1"/>
  <c r="AD937" i="4"/>
  <c r="AE937" i="4" s="1"/>
  <c r="AG937" i="4"/>
  <c r="AF937" i="4"/>
  <c r="AF962" i="4"/>
  <c r="AG962" i="4"/>
  <c r="AD962" i="4"/>
  <c r="AE962" i="4" s="1"/>
  <c r="AF848" i="4"/>
  <c r="AF856" i="4"/>
  <c r="AF864" i="4"/>
  <c r="AF872" i="4"/>
  <c r="AD877" i="4"/>
  <c r="AE877" i="4" s="1"/>
  <c r="AD888" i="4"/>
  <c r="AE888" i="4" s="1"/>
  <c r="AF888" i="4"/>
  <c r="AF892" i="4"/>
  <c r="AD899" i="4"/>
  <c r="AE899" i="4" s="1"/>
  <c r="AF899" i="4"/>
  <c r="AG899" i="4"/>
  <c r="AD995" i="4"/>
  <c r="AE995" i="4" s="1"/>
  <c r="AD1000" i="4"/>
  <c r="AE1000" i="4" s="1"/>
  <c r="AG1000" i="4"/>
  <c r="AF1000" i="4"/>
  <c r="AF873" i="4"/>
  <c r="AD875" i="4"/>
  <c r="AE875" i="4" s="1"/>
  <c r="AD876" i="4"/>
  <c r="AE876" i="4" s="1"/>
  <c r="AG881" i="4"/>
  <c r="AF889" i="4"/>
  <c r="AG892" i="4"/>
  <c r="AF895" i="4"/>
  <c r="AF966" i="4"/>
  <c r="AD966" i="4"/>
  <c r="AE966" i="4" s="1"/>
  <c r="AG966" i="4"/>
  <c r="AD968" i="4"/>
  <c r="AE968" i="4" s="1"/>
  <c r="AG968" i="4"/>
  <c r="AF968" i="4"/>
  <c r="AD987" i="4"/>
  <c r="AE987" i="4" s="1"/>
  <c r="AG987" i="4"/>
  <c r="AF987" i="4"/>
  <c r="AD852" i="4"/>
  <c r="AE852" i="4" s="1"/>
  <c r="AD860" i="4"/>
  <c r="AE860" i="4" s="1"/>
  <c r="AD868" i="4"/>
  <c r="AE868" i="4" s="1"/>
  <c r="AF877" i="4"/>
  <c r="AG889" i="4"/>
  <c r="AG895" i="4"/>
  <c r="AF927" i="4"/>
  <c r="AD927" i="4"/>
  <c r="AE927" i="4" s="1"/>
  <c r="AG927" i="4"/>
  <c r="AG931" i="4"/>
  <c r="AF931" i="4"/>
  <c r="AD931" i="4"/>
  <c r="AE931" i="4" s="1"/>
  <c r="AF978" i="4"/>
  <c r="AG978" i="4"/>
  <c r="AD978" i="4"/>
  <c r="AE978" i="4" s="1"/>
  <c r="AD980" i="4"/>
  <c r="AE980" i="4" s="1"/>
  <c r="AF980" i="4"/>
  <c r="AG991" i="4"/>
  <c r="AF991" i="4"/>
  <c r="AD991" i="4"/>
  <c r="AE991" i="4" s="1"/>
  <c r="AF998" i="4"/>
  <c r="AD998" i="4"/>
  <c r="AE998" i="4" s="1"/>
  <c r="AG998" i="4"/>
  <c r="AD917" i="4"/>
  <c r="AE917" i="4" s="1"/>
  <c r="AF919" i="4"/>
  <c r="AD919" i="4"/>
  <c r="AE919" i="4" s="1"/>
  <c r="AG919" i="4"/>
  <c r="AF950" i="4"/>
  <c r="AD950" i="4"/>
  <c r="AE950" i="4" s="1"/>
  <c r="AG950" i="4"/>
  <c r="AG959" i="4"/>
  <c r="AF959" i="4"/>
  <c r="AD959" i="4"/>
  <c r="AE959" i="4" s="1"/>
  <c r="AD984" i="4"/>
  <c r="AE984" i="4" s="1"/>
  <c r="AG984" i="4"/>
  <c r="AF984" i="4"/>
  <c r="AF852" i="4"/>
  <c r="AF860" i="4"/>
  <c r="AF868" i="4"/>
  <c r="AG888" i="4"/>
  <c r="AG891" i="4"/>
  <c r="AF898" i="4"/>
  <c r="AD898" i="4"/>
  <c r="AE898" i="4" s="1"/>
  <c r="AG898" i="4"/>
  <c r="AF900" i="4"/>
  <c r="AG900" i="4"/>
  <c r="AD932" i="4"/>
  <c r="AE932" i="4" s="1"/>
  <c r="AG932" i="4"/>
  <c r="AF932" i="4"/>
  <c r="AF954" i="4"/>
  <c r="AD954" i="4"/>
  <c r="AE954" i="4" s="1"/>
  <c r="AG954" i="4"/>
  <c r="AD971" i="4"/>
  <c r="AE971" i="4" s="1"/>
  <c r="AF971" i="4"/>
  <c r="AG971" i="4"/>
  <c r="AG980" i="4"/>
  <c r="AG887" i="4"/>
  <c r="AG901" i="4"/>
  <c r="AG902" i="4"/>
  <c r="AF903" i="4"/>
  <c r="AF933" i="4"/>
  <c r="AF938" i="4"/>
  <c r="AF946" i="4"/>
  <c r="AG946" i="4"/>
  <c r="AG903" i="4"/>
  <c r="AG933" i="4"/>
  <c r="AF982" i="4"/>
  <c r="AD982" i="4"/>
  <c r="AE982" i="4" s="1"/>
  <c r="AF921" i="4"/>
  <c r="AG928" i="4"/>
  <c r="AD938" i="4"/>
  <c r="AE938" i="4" s="1"/>
  <c r="AF939" i="4"/>
  <c r="AD945" i="4"/>
  <c r="AE945" i="4" s="1"/>
  <c r="AG955" i="4"/>
  <c r="AF972" i="4"/>
  <c r="AF988" i="4"/>
  <c r="AG905" i="4"/>
  <c r="AG921" i="4"/>
  <c r="AF945" i="4"/>
  <c r="AF970" i="4"/>
  <c r="AG970" i="4"/>
  <c r="AG972" i="4"/>
  <c r="AG988" i="4"/>
  <c r="AF994" i="4"/>
  <c r="AG994" i="4"/>
  <c r="AD994" i="4"/>
  <c r="AE994" i="4" s="1"/>
  <c r="AD996" i="4"/>
  <c r="AE996" i="4" s="1"/>
  <c r="AF996" i="4"/>
  <c r="AG999" i="4"/>
  <c r="AD999" i="4"/>
  <c r="AE999" i="4" s="1"/>
  <c r="AD952" i="4"/>
  <c r="AE952" i="4" s="1"/>
  <c r="AG952" i="4"/>
  <c r="B7" i="7" l="1"/>
  <c r="C7" i="7" s="1"/>
  <c r="D20" i="7"/>
  <c r="E20" i="7"/>
  <c r="E27" i="7"/>
  <c r="B7" i="5"/>
  <c r="D24" i="7"/>
  <c r="C16" i="6"/>
  <c r="C19" i="6"/>
  <c r="C17" i="6"/>
  <c r="C23" i="6"/>
  <c r="C21" i="6"/>
  <c r="G18" i="8"/>
  <c r="C20" i="9"/>
  <c r="D25" i="7"/>
  <c r="AE4" i="4"/>
  <c r="B5" i="5"/>
  <c r="C9" i="5" s="1"/>
  <c r="B18" i="7"/>
  <c r="C18" i="7" s="1"/>
  <c r="E28" i="7"/>
  <c r="D19" i="7"/>
  <c r="E18" i="7"/>
  <c r="D18" i="7"/>
  <c r="E24" i="7"/>
  <c r="D13" i="7"/>
  <c r="E7" i="7"/>
  <c r="B23" i="6"/>
  <c r="C21" i="9" s="1"/>
  <c r="B18" i="6"/>
  <c r="C12" i="6"/>
  <c r="B24" i="7"/>
  <c r="C24" i="7" s="1"/>
  <c r="B13" i="7"/>
  <c r="C13" i="7" s="1"/>
  <c r="D7" i="7"/>
  <c r="C22" i="6"/>
  <c r="B17" i="6"/>
  <c r="C15" i="9" s="1"/>
  <c r="B12" i="6"/>
  <c r="E19" i="7"/>
  <c r="B19" i="7"/>
  <c r="C19" i="7" s="1"/>
  <c r="D12" i="7"/>
  <c r="E6" i="7"/>
  <c r="B21" i="6"/>
  <c r="B16" i="6"/>
  <c r="E17" i="7"/>
  <c r="B12" i="7"/>
  <c r="C12" i="7" s="1"/>
  <c r="D6" i="7"/>
  <c r="C20" i="6"/>
  <c r="B15" i="6"/>
  <c r="C13" i="9" s="1"/>
  <c r="B28" i="7"/>
  <c r="C28" i="7" s="1"/>
  <c r="D17" i="7"/>
  <c r="E11" i="7"/>
  <c r="B6" i="7"/>
  <c r="C6" i="7" s="1"/>
  <c r="B20" i="6"/>
  <c r="C18" i="9" s="1"/>
  <c r="E26" i="7"/>
  <c r="B17" i="7"/>
  <c r="C17" i="7" s="1"/>
  <c r="D11" i="7"/>
  <c r="C24" i="6"/>
  <c r="B19" i="6"/>
  <c r="C17" i="9" s="1"/>
  <c r="B14" i="6"/>
  <c r="B26" i="7"/>
  <c r="C26" i="7" s="1"/>
  <c r="E13" i="7"/>
  <c r="B11" i="7"/>
  <c r="C11" i="7" s="1"/>
  <c r="B24" i="6"/>
  <c r="C22" i="9" s="1"/>
  <c r="C18" i="6"/>
  <c r="B13" i="6"/>
  <c r="AE3" i="4"/>
  <c r="D27" i="7"/>
  <c r="D26" i="7"/>
  <c r="E25" i="7"/>
  <c r="D28" i="7"/>
  <c r="B25" i="7"/>
  <c r="C25" i="7" s="1"/>
  <c r="AE2" i="4"/>
  <c r="B20" i="7"/>
  <c r="C20" i="7" s="1"/>
  <c r="B11" i="6"/>
  <c r="B27" i="7"/>
  <c r="C27" i="7" s="1"/>
  <c r="C15" i="6"/>
  <c r="C13" i="6"/>
  <c r="C10" i="5" l="1"/>
  <c r="B6" i="5"/>
  <c r="B11" i="5" s="1"/>
  <c r="B25" i="9" s="1"/>
  <c r="G14" i="8"/>
  <c r="C16" i="9"/>
  <c r="G6" i="8"/>
  <c r="C10" i="9"/>
  <c r="B6" i="8"/>
  <c r="C9" i="9"/>
  <c r="B5" i="9"/>
  <c r="C12" i="9"/>
  <c r="G10" i="8"/>
  <c r="C14" i="9"/>
  <c r="B14" i="8"/>
  <c r="B18" i="8"/>
  <c r="C19" i="9"/>
  <c r="C11" i="9"/>
  <c r="B10" i="8"/>
  <c r="C8" i="5"/>
  <c r="C7" i="5"/>
  <c r="C6" i="5" l="1"/>
</calcChain>
</file>

<file path=xl/connections.xml><?xml version="1.0" encoding="utf-8"?>
<connections xmlns="http://schemas.openxmlformats.org/spreadsheetml/2006/main">
  <connection id="1" keepAlive="1" name="Requête - pub?gid=868056922&amp;single=true&amp;output=csv" description="Connexion à la requête « pub?gid=868056922&amp;single=true&amp;output=csv » dans le classeur." type="5" refreshedVersion="6" background="1" saveData="1">
    <dbPr connection="Provider=Microsoft.Mashup.OleDb.1;Data Source=$Workbook$;Location=&quot;pub?gid=868056922&amp;single=true&amp;output=csv&quot;;Extended Properties=&quot;&quot;" command="SELECT * FROM [pub?gid=868056922&amp;single=true&amp;output=csv]"/>
  </connection>
</connections>
</file>

<file path=xl/sharedStrings.xml><?xml version="1.0" encoding="utf-8"?>
<sst xmlns="http://schemas.openxmlformats.org/spreadsheetml/2006/main" count="414" uniqueCount="245">
  <si>
    <t>OUTIL D'ANALYSE ET DE RAPPORTAGE PDM — MEDAIR</t>
  </si>
  <si>
    <t>Guide d'utilisation rapide / Quick User Guide</t>
  </si>
  <si>
    <t>1. Structure du classeur</t>
  </si>
  <si>
    <t>• Config : langue (FR/EN), listes de référence, seuils.</t>
  </si>
  <si>
    <t>• Raw_Data : collez ici l'export brut de votre Google Sheets (Kobo → n8n → Sheets). Ne touchez pas aux en-têtes (ligne 1).</t>
  </si>
  <si>
    <t>• Data_Clean : nettoyage et normalisation automatique (formules) — ne pas modifier.</t>
  </si>
  <si>
    <t>• QC_Qualite : détection automatique des doublons, valeurs manquantes, incohérences.</t>
  </si>
  <si>
    <t>• Indicateurs : tous les indicateurs clés calculés automatiquement, avec filtres (zone, secteur, sexe, période).</t>
  </si>
  <si>
    <t>• Desagregation : répartitions par sexe, âge, zone, secteur.</t>
  </si>
  <si>
    <t>• Dashboard : tableau de bord visuel avec graphiques dynamiques et filtres.</t>
  </si>
  <si>
    <t>• Rapport : résumé exécutif et tableau de synthèse générés automatiquement, prêt à exporter en PDF.</t>
  </si>
  <si>
    <t>2. Mise à jour des données</t>
  </si>
  <si>
    <t>• Exportez votre Google Sheets en CSV/Excel (Fichier &gt; Télécharger).</t>
  </si>
  <si>
    <t>• Collez les données SOUS l'en-tête de l'onglet Raw_Data (à partir de la ligne 2), en respectant l'ordre des colonnes.</t>
  </si>
  <si>
    <t>• Toutes les feuilles (Data_Clean, QC, Indicateurs, Dashboard, Rapport) se recalculent automatiquement.</t>
  </si>
  <si>
    <t>• Si Excel n'actualise pas seul : touche F9 (calcul complet).</t>
  </si>
  <si>
    <t>3. Filtrer / segmenter</t>
  </si>
  <si>
    <t>• Sur les feuilles Indicateurs et Dashboard, utilisez les cellules jaunes en haut (listes déroulantes) pour filtrer par zone, secteur, sexe ou période.</t>
  </si>
  <si>
    <t>• Choisissez 'Tous' / 'Toutes' pour ne pas filtrer.</t>
  </si>
  <si>
    <t>4. Exporter le rapport en PDF</t>
  </si>
  <si>
    <t>• Ouvrez l'onglet Rapport &gt; Fichier &gt; Exporter &gt; Créer un PDF (ou Imprimer &gt; Enregistrer au format PDF).</t>
  </si>
  <si>
    <t>5. Protection</t>
  </si>
  <si>
    <t>• Les feuilles de calcul (Data_Clean, QC, Indicateurs, Desagregation) sont protégées contre la modification accidentelle des formules (sans mot de passe — Révision &gt; Ôter la protection pour les déverrouiller).</t>
  </si>
  <si>
    <t>• Seules les cellules jaunes (saisie/filtre) et l'onglet Raw_Data restent librement modifiables.</t>
  </si>
  <si>
    <t>6. Code couleur</t>
  </si>
  <si>
    <t>• Jaune : cellule de filtre ou de saisie utilisateur.</t>
  </si>
  <si>
    <t>• Bleu : valeur d'hypothèse / paramètre.</t>
  </si>
  <si>
    <t>• Noir : formule (ne pas modifier).</t>
  </si>
  <si>
    <t>PARAMETRES / CONFIG</t>
  </si>
  <si>
    <t>Langue du tableau de bord</t>
  </si>
  <si>
    <t>FR</t>
  </si>
  <si>
    <t>Seuil satisfaction jugee 'bonne' (score /5)</t>
  </si>
  <si>
    <t>Nombre max de lignes de donnees (Raw_Data)</t>
  </si>
  <si>
    <t>Listes de reference (modifiable si nouvelle enquete)</t>
  </si>
  <si>
    <t>Zones</t>
  </si>
  <si>
    <t>Secteurs</t>
  </si>
  <si>
    <t>Sexe</t>
  </si>
  <si>
    <t>Reponses oui/non</t>
  </si>
  <si>
    <t>Tous</t>
  </si>
  <si>
    <t>oui</t>
  </si>
  <si>
    <t>zone_1</t>
  </si>
  <si>
    <t>wash</t>
  </si>
  <si>
    <t>feminin</t>
  </si>
  <si>
    <t>non</t>
  </si>
  <si>
    <t>zone_2</t>
  </si>
  <si>
    <t>sante</t>
  </si>
  <si>
    <t>masculin</t>
  </si>
  <si>
    <t>zone_3</t>
  </si>
  <si>
    <t>nutrition</t>
  </si>
  <si>
    <t>zone_4</t>
  </si>
  <si>
    <t>shelter</t>
  </si>
  <si>
    <t>drr</t>
  </si>
  <si>
    <t>id</t>
  </si>
  <si>
    <t>today</t>
  </si>
  <si>
    <t>start</t>
  </si>
  <si>
    <t>end</t>
  </si>
  <si>
    <t>nom_enqueteur</t>
  </si>
  <si>
    <t>zone</t>
  </si>
  <si>
    <t>secteur</t>
  </si>
  <si>
    <t>localite</t>
  </si>
  <si>
    <t>code_menage</t>
  </si>
  <si>
    <t>sexe</t>
  </si>
  <si>
    <t>age</t>
  </si>
  <si>
    <t>statut_repondant</t>
  </si>
  <si>
    <t>vulnerabilite</t>
  </si>
  <si>
    <t>q_qualite_globale</t>
  </si>
  <si>
    <t>q_delai_distribution</t>
  </si>
  <si>
    <t>q_adequation_besoins</t>
  </si>
  <si>
    <t>q_usage_prevu</t>
  </si>
  <si>
    <t>q_raison_non_utilisation</t>
  </si>
  <si>
    <t>satisfaction_globale</t>
  </si>
  <si>
    <t>q_satisfaction_personnel</t>
  </si>
  <si>
    <t>q_recommandation</t>
  </si>
  <si>
    <t>q_info_disponible</t>
  </si>
  <si>
    <t>date_enquete</t>
  </si>
  <si>
    <t>qc_missing_fields</t>
  </si>
  <si>
    <t>qc_duplicate</t>
  </si>
  <si>
    <t>qc_has_issue</t>
  </si>
  <si>
    <t>satisfaction_score</t>
  </si>
  <si>
    <t>bien_utilise_bool</t>
  </si>
  <si>
    <t>mecanisme_connu_bool</t>
  </si>
  <si>
    <t>processed_at</t>
  </si>
  <si>
    <t>uuid</t>
  </si>
  <si>
    <t>deviceid</t>
  </si>
  <si>
    <t>sexe_repondant</t>
  </si>
  <si>
    <t>age_repondant</t>
  </si>
  <si>
    <t>vulnerabilite_menage</t>
  </si>
  <si>
    <t>type_assistance_recue</t>
  </si>
  <si>
    <t>q_utilisation_bien</t>
  </si>
  <si>
    <t>q_connaissance_mecanisme</t>
  </si>
  <si>
    <t>q_utilisation_mecanisme</t>
  </si>
  <si>
    <t>q_satisfaction_reponse</t>
  </si>
  <si>
    <t>q_acces_equitable</t>
  </si>
  <si>
    <t>q_securite_distribution</t>
  </si>
  <si>
    <t>q_priorite_vulnerables</t>
  </si>
  <si>
    <t>q_dignite_traitement</t>
  </si>
  <si>
    <t>q_suggestion</t>
  </si>
  <si>
    <t>q_commentaire_libre</t>
  </si>
  <si>
    <t>submitted_by</t>
  </si>
  <si>
    <t>submission_time</t>
  </si>
  <si>
    <t>handicap</t>
  </si>
  <si>
    <t>neutre</t>
  </si>
  <si>
    <t>insatisfait</t>
  </si>
  <si>
    <t>tres_insatisfait</t>
  </si>
  <si>
    <t>[]</t>
  </si>
  <si>
    <t>c4e3d6e4936d4ba5a5dbe6b964e7be20</t>
  </si>
  <si>
    <t>collect:HuAzha14QZ6E9osM</t>
  </si>
  <si>
    <t>dirianatins</t>
  </si>
  <si>
    <t>epoux_epouse</t>
  </si>
  <si>
    <t>satisfait</t>
  </si>
  <si>
    <t>kit_wash</t>
  </si>
  <si>
    <t>date</t>
  </si>
  <si>
    <t>age_group</t>
  </si>
  <si>
    <t>vulnerable_flag</t>
  </si>
  <si>
    <t>type_assistance</t>
  </si>
  <si>
    <t>satisfaction_txt</t>
  </si>
  <si>
    <t>bien_utilise_txt</t>
  </si>
  <si>
    <t>bien_utilise_flag</t>
  </si>
  <si>
    <t>connait_mecanisme_txt</t>
  </si>
  <si>
    <t>connait_mecanisme_flag</t>
  </si>
  <si>
    <t>utilise_mecanisme_txt</t>
  </si>
  <si>
    <t>utilise_mecanisme_flag</t>
  </si>
  <si>
    <t>acces_equitable_flag</t>
  </si>
  <si>
    <t>securite_distribution_flag</t>
  </si>
  <si>
    <t>priorite_vulnerables_flag</t>
  </si>
  <si>
    <t>dignite_traitement_flag</t>
  </si>
  <si>
    <t>recommandation_flag</t>
  </si>
  <si>
    <t>info_disponible_flag</t>
  </si>
  <si>
    <t>adequation_besoins_flag</t>
  </si>
  <si>
    <t>dup_key</t>
  </si>
  <si>
    <t>is_duplicate</t>
  </si>
  <si>
    <t>missing_fields_flag</t>
  </si>
  <si>
    <t>has_row</t>
  </si>
  <si>
    <t>CONTROLE QUALITE DES DONNEES</t>
  </si>
  <si>
    <t>Mise a jour automatique a chaque actualisation de Raw_Data</t>
  </si>
  <si>
    <t>Indicateur de qualite</t>
  </si>
  <si>
    <t>Valeur</t>
  </si>
  <si>
    <t>%</t>
  </si>
  <si>
    <t>Commentaire / Action</t>
  </si>
  <si>
    <t>Lignes importees (total)</t>
  </si>
  <si>
    <t>Nombre total d'enquetes valides dans Raw_Data</t>
  </si>
  <si>
    <t>Doublons detectes (code menage + localite + date)</t>
  </si>
  <si>
    <t>Filtrer Data_Clean, colonne 'is_duplicate' = 1 pour les identifier</t>
  </si>
  <si>
    <t>Lignes avec champs cles manquants</t>
  </si>
  <si>
    <t>Champs cles: zone, secteur, sexe, age, satisfaction globale</t>
  </si>
  <si>
    <t>Ages incoherents (&lt;0 ou &gt;120 ans)</t>
  </si>
  <si>
    <t>A verifier manuellement dans Raw_Data</t>
  </si>
  <si>
    <t>Duree d'entretien anormale (fin avant debut)</t>
  </si>
  <si>
    <t>Probleme d'horodatage cote collecte (Kobo)</t>
  </si>
  <si>
    <t>Enquetes sans identifiant unique (uuid)</t>
  </si>
  <si>
    <t>uuid manquant : verifier la synchronisation Kobo -&gt; n8n -&gt; Sheets</t>
  </si>
  <si>
    <t>Score qualite globale des donnees</t>
  </si>
  <si>
    <t>1 - (somme des anomalies / (lignes x 5 controles)). Plus proche de 100%, meilleure est la qualite.</t>
  </si>
  <si>
    <t>Comment consulter le detail des anomalies :</t>
  </si>
  <si>
    <t>Ouvrez l'onglet Data_Clean, activez le filtre automatique et filtrez la colonne concernee (is_duplicate=1, missing_fields_flag=1, etc.).</t>
  </si>
  <si>
    <t>INDICATEURS CLES PDM</t>
  </si>
  <si>
    <t>FILTRES</t>
  </si>
  <si>
    <t>Zone</t>
  </si>
  <si>
    <t>Secteur</t>
  </si>
  <si>
    <t>Periode : du</t>
  </si>
  <si>
    <t>(laisser vide = pas de filtre de date)</t>
  </si>
  <si>
    <t>au</t>
  </si>
  <si>
    <t>Indicateur</t>
  </si>
  <si>
    <t>Base (n)</t>
  </si>
  <si>
    <t>Definition</t>
  </si>
  <si>
    <t>Taille de l'echantillon analyse</t>
  </si>
  <si>
    <t>Nombre d'enquetes valides correspondant aux filtres selectionnes</t>
  </si>
  <si>
    <t>Score de satisfaction moyen (/5)</t>
  </si>
  <si>
    <t>1=tres insatisfait a 5=tres satisfait</t>
  </si>
  <si>
    <t>Taux de satisfaction (score &gt;= seuil Config)</t>
  </si>
  <si>
    <t>% de repondants avec score de satisfaction superieur ou egal au seuil defini dans Config</t>
  </si>
  <si>
    <t>Taux d'utilisation des biens/services distribues</t>
  </si>
  <si>
    <t>% de menages ayant utilise le bien/service comme prevu</t>
  </si>
  <si>
    <t>Adequation aux besoins</t>
  </si>
  <si>
    <t>% jugeant l'assistance adaptee a leurs besoins</t>
  </si>
  <si>
    <t>Connaissance du mecanisme de feedback/plainte</t>
  </si>
  <si>
    <t>% connaissant le mecanisme de redevabilite (redevabilite)</t>
  </si>
  <si>
    <t>Utilisation du mecanisme de feedback/plainte</t>
  </si>
  <si>
    <t>% ayant deja utilise le mecanisme de feedback</t>
  </si>
  <si>
    <t>Acces equitable a l'assistance</t>
  </si>
  <si>
    <t>% jugeant l'acces a l'assistance equitable (protection/inclusion)</t>
  </si>
  <si>
    <t>Securite lors de la distribution</t>
  </si>
  <si>
    <t>% se sentant en securite lors de la distribution</t>
  </si>
  <si>
    <t>Priorite accordee aux plus vulnerables</t>
  </si>
  <si>
    <t>% estimant que les plus vulnerables ont ete prioritaires</t>
  </si>
  <si>
    <t>Dignite du traitement recu</t>
  </si>
  <si>
    <t>% ayant ete traite avec dignite et respect</t>
  </si>
  <si>
    <t>Recommanderait l'assistance / le programme</t>
  </si>
  <si>
    <t>% recommanderait le programme a d'autres</t>
  </si>
  <si>
    <t>Information disponible sur l'assistance</t>
  </si>
  <si>
    <t>% jugeant l'information sur l'assistance suffisamment disponible</t>
  </si>
  <si>
    <t>Part de menages vulnerables dans l'echantillon</t>
  </si>
  <si>
    <t>% de repondants signalant une situation de vulnerabilite</t>
  </si>
  <si>
    <t>DESAGREGATION DES RESULTATS</t>
  </si>
  <si>
    <t>Respecte les filtres definis dans l'onglet Indicateurs (sauf la dimension analysee elle-meme)</t>
  </si>
  <si>
    <t>PAR SEXE</t>
  </si>
  <si>
    <t>Categorie</t>
  </si>
  <si>
    <t>n</t>
  </si>
  <si>
    <t>% echantillon</t>
  </si>
  <si>
    <t>Score satisf. moyen (/5)</t>
  </si>
  <si>
    <t>% utilisation du bien</t>
  </si>
  <si>
    <t>PAR TRANCHE D'AGE</t>
  </si>
  <si>
    <t>&lt;18 ans</t>
  </si>
  <si>
    <t>18-59 ans</t>
  </si>
  <si>
    <t>60 ans et +</t>
  </si>
  <si>
    <t>PAR ZONE</t>
  </si>
  <si>
    <t>PAR SECTEUR</t>
  </si>
  <si>
    <t>TABLEAU DE BORD PDM</t>
  </si>
  <si>
    <t>Filtres actifs (definis dans l'onglet Indicateurs) :</t>
  </si>
  <si>
    <t>Post Distribution Monitoring — Medair</t>
  </si>
  <si>
    <t>TAILLE ECHANTILLON</t>
  </si>
  <si>
    <t>SCORE SATISFACTION MOYEN /5</t>
  </si>
  <si>
    <t>TAUX DE SATISFACTION</t>
  </si>
  <si>
    <t>UTILISATION DES BIENS/SERVICES</t>
  </si>
  <si>
    <t>CONNAISSANCE DU MECANISME FEEDBACK</t>
  </si>
  <si>
    <t>ACCES EQUITABLE (PROTECTION/INCLUSION)</t>
  </si>
  <si>
    <t>DIGNITE DU TRAITEMENT RECU</t>
  </si>
  <si>
    <t>RECOMMANDERAIT LE PROGRAMME</t>
  </si>
  <si>
    <t>RAPPORT PDM — RESUME EXECUTIF</t>
  </si>
  <si>
    <t>1. RESUME EXECUTIF</t>
  </si>
  <si>
    <t>2. PRINCIPAUX INDICATEURS</t>
  </si>
  <si>
    <t>Taille de l'echantillon</t>
  </si>
  <si>
    <t>Taux de satisfaction</t>
  </si>
  <si>
    <t>Taux d'utilisation des biens/services</t>
  </si>
  <si>
    <t>Connaissance du mecanisme de feedback</t>
  </si>
  <si>
    <t>Utilisation du mecanisme de feedback</t>
  </si>
  <si>
    <t>Priorite accordee aux vulnerables</t>
  </si>
  <si>
    <t>Recommanderait le programme</t>
  </si>
  <si>
    <t>Part de menages vulnerables</t>
  </si>
  <si>
    <t>3. QUALITE DES DONNEES</t>
  </si>
  <si>
    <t>4. RECOMMANDATIONS</t>
  </si>
  <si>
    <t>(zone de saisie libre — a completer par l'equipe MEAL sur la base des resultats ci-dessus)</t>
  </si>
  <si>
    <t>Pour exporter ce rapport en PDF : Fichier &gt; Exporter &gt; Creer un PDF (ou Imprimer &gt; Enregistrer au format PDF), en selectionnant uniquement l'onglet Rapport.</t>
  </si>
  <si>
    <t>Guruu</t>
  </si>
  <si>
    <t>Hffnd</t>
  </si>
  <si>
    <t>Jef</t>
  </si>
  <si>
    <t/>
  </si>
  <si>
    <t>C it gyf</t>
  </si>
  <si>
    <t>Fjeyf</t>
  </si>
  <si>
    <t>fetra</t>
  </si>
  <si>
    <t>tena kidy</t>
  </si>
  <si>
    <t>femme_enceinte_allaitante menage_monoparental</t>
  </si>
  <si>
    <t>aucune</t>
  </si>
  <si>
    <t>collect:9AAIFDC3ZZP7ATGn</t>
  </si>
  <si>
    <t>kit_abri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</si>
</sst>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33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12"/>
      <color rgb="FF595959"/>
      <name val="Arial"/>
      <charset val="1"/>
    </font>
    <font>
      <b/>
      <sz val="12"/>
      <color rgb="FF1F3864"/>
      <name val="Arial"/>
      <charset val="1"/>
    </font>
    <font>
      <sz val="10.5"/>
      <color rgb="FF262626"/>
      <name val="Arial"/>
      <charset val="1"/>
    </font>
    <font>
      <b/>
      <sz val="14"/>
      <color rgb="FF1F3864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b/>
      <sz val="11"/>
      <color rgb="FF0000FF"/>
      <name val="Arial"/>
      <charset val="1"/>
    </font>
    <font>
      <b/>
      <sz val="11"/>
      <color rgb="FF1F386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i/>
      <sz val="9"/>
      <color rgb="FF595959"/>
      <name val="Arial"/>
      <charset val="1"/>
    </font>
    <font>
      <b/>
      <sz val="12"/>
      <color rgb="FF375623"/>
      <name val="Arial"/>
      <charset val="1"/>
    </font>
    <font>
      <sz val="9"/>
      <color rgb="FF595959"/>
      <name val="Arial"/>
      <charset val="1"/>
    </font>
    <font>
      <b/>
      <sz val="9"/>
      <name val="Arial"/>
      <charset val="1"/>
    </font>
    <font>
      <b/>
      <sz val="10"/>
      <name val="Arial"/>
      <charset val="1"/>
    </font>
    <font>
      <b/>
      <sz val="20"/>
      <color rgb="FF1F3864"/>
      <name val="Arial"/>
      <charset val="1"/>
    </font>
    <font>
      <b/>
      <sz val="9"/>
      <color rgb="FF595959"/>
      <name val="Arial"/>
      <charset val="1"/>
    </font>
    <font>
      <i/>
      <sz val="9"/>
      <color rgb="FFC00000"/>
      <name val="Arial"/>
      <charset val="1"/>
    </font>
    <font>
      <b/>
      <sz val="22"/>
      <color rgb="FF1F3864"/>
      <name val="Arial"/>
      <charset val="1"/>
    </font>
    <font>
      <b/>
      <sz val="22"/>
      <color rgb="FFBF8F00"/>
      <name val="Arial"/>
      <charset val="1"/>
    </font>
    <font>
      <b/>
      <sz val="13"/>
      <color rgb="FFFFFFFF"/>
      <name val="Arial"/>
      <charset val="1"/>
    </font>
    <font>
      <sz val="11"/>
      <name val="Arial"/>
      <charset val="1"/>
    </font>
    <font>
      <b/>
      <sz val="10"/>
      <color rgb="FF1F3864"/>
      <name val="Arial"/>
      <charset val="1"/>
    </font>
    <font>
      <i/>
      <sz val="10"/>
      <name val="Arial"/>
      <charset val="1"/>
    </font>
    <font>
      <i/>
      <sz val="9"/>
      <color rgb="FF808080"/>
      <name val="Arial"/>
      <charset val="1"/>
    </font>
    <font>
      <sz val="9"/>
      <color rgb="FFFFFFFF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DE7"/>
      </patternFill>
    </fill>
    <fill>
      <patternFill patternType="solid">
        <fgColor rgb="FF1F3864"/>
        <bgColor rgb="FF262626"/>
      </patternFill>
    </fill>
    <fill>
      <patternFill patternType="solid">
        <fgColor rgb="FFF2F2F2"/>
        <bgColor rgb="FFFFFDE7"/>
      </patternFill>
    </fill>
    <fill>
      <patternFill patternType="solid">
        <fgColor rgb="FFBF8F00"/>
        <bgColor rgb="FF808000"/>
      </patternFill>
    </fill>
    <fill>
      <patternFill patternType="solid">
        <fgColor rgb="FFFFFDE7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6" fillId="0" borderId="0" xfId="0" applyFont="1" applyBorder="1" applyAlignment="1">
      <alignment wrapText="1"/>
    </xf>
    <xf numFmtId="164" fontId="24" fillId="4" borderId="1" xfId="0" applyNumberFormat="1" applyFont="1" applyFill="1" applyBorder="1" applyAlignment="1">
      <alignment horizontal="center" vertical="center"/>
    </xf>
    <xf numFmtId="1" fontId="25" fillId="4" borderId="1" xfId="0" applyNumberFormat="1" applyFont="1" applyFill="1" applyBorder="1" applyAlignment="1">
      <alignment horizontal="center" vertical="center"/>
    </xf>
    <xf numFmtId="1" fontId="24" fillId="4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23" fillId="0" borderId="0" xfId="0" applyFont="1" applyBorder="1" applyAlignment="1"/>
    <xf numFmtId="0" fontId="22" fillId="0" borderId="0" xfId="0" applyFont="1" applyBorder="1" applyAlignment="1"/>
    <xf numFmtId="0" fontId="16" fillId="0" borderId="0" xfId="0" applyFont="1" applyBorder="1" applyAlignment="1"/>
    <xf numFmtId="0" fontId="14" fillId="3" borderId="0" xfId="0" applyFont="1" applyFill="1" applyBorder="1" applyAlignment="1">
      <alignment horizontal="center"/>
    </xf>
    <xf numFmtId="0" fontId="15" fillId="0" borderId="0" xfId="0" applyFont="1" applyBorder="1" applyAlignment="1">
      <alignment wrapText="1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>
      <alignment vertical="top" wrapText="1"/>
    </xf>
    <xf numFmtId="0" fontId="5" fillId="0" borderId="0" xfId="0" applyFont="1" applyAlignment="1"/>
    <xf numFmtId="0" fontId="6" fillId="0" borderId="0" xfId="0" applyFont="1" applyAlignment="1"/>
    <xf numFmtId="0" fontId="7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9" fillId="0" borderId="0" xfId="0" applyFont="1" applyAlignment="1"/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3" fillId="0" borderId="0" xfId="0" applyFont="1" applyAlignment="1"/>
    <xf numFmtId="0" fontId="14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vertical="center" wrapText="1"/>
    </xf>
    <xf numFmtId="164" fontId="17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 applyProtection="1">
      <alignment horizontal="center"/>
      <protection locked="0"/>
    </xf>
    <xf numFmtId="14" fontId="7" fillId="2" borderId="1" xfId="0" applyNumberFormat="1" applyFont="1" applyFill="1" applyBorder="1" applyAlignment="1" applyProtection="1">
      <protection locked="0"/>
    </xf>
    <xf numFmtId="165" fontId="3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19" fillId="4" borderId="1" xfId="0" applyFont="1" applyFill="1" applyBorder="1" applyAlignment="1">
      <alignment horizontal="center" wrapText="1"/>
    </xf>
    <xf numFmtId="0" fontId="15" fillId="0" borderId="1" xfId="0" applyFont="1" applyBorder="1" applyAlignment="1"/>
    <xf numFmtId="0" fontId="20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1" fillId="0" borderId="0" xfId="0" applyFont="1" applyAlignment="1"/>
    <xf numFmtId="0" fontId="26" fillId="3" borderId="0" xfId="0" applyFont="1" applyFill="1" applyAlignment="1"/>
    <xf numFmtId="0" fontId="27" fillId="0" borderId="0" xfId="0" applyFont="1" applyAlignment="1">
      <alignment vertical="top" wrapText="1"/>
    </xf>
    <xf numFmtId="0" fontId="14" fillId="5" borderId="1" xfId="0" applyFont="1" applyFill="1" applyBorder="1" applyAlignment="1"/>
    <xf numFmtId="165" fontId="28" fillId="0" borderId="1" xfId="0" applyNumberFormat="1" applyFont="1" applyBorder="1" applyAlignment="1">
      <alignment horizontal="center"/>
    </xf>
    <xf numFmtId="164" fontId="28" fillId="0" borderId="1" xfId="0" applyNumberFormat="1" applyFont="1" applyBorder="1" applyAlignment="1">
      <alignment horizontal="center"/>
    </xf>
    <xf numFmtId="0" fontId="29" fillId="0" borderId="0" xfId="0" applyFont="1" applyAlignment="1">
      <alignment wrapText="1"/>
    </xf>
    <xf numFmtId="0" fontId="30" fillId="0" borderId="0" xfId="0" applyFont="1" applyAlignment="1"/>
    <xf numFmtId="0" fontId="0" fillId="6" borderId="1" xfId="0" applyFill="1" applyBorder="1" applyAlignment="1"/>
    <xf numFmtId="0" fontId="0" fillId="0" borderId="0" xfId="0" applyNumberFormat="1"/>
    <xf numFmtId="0" fontId="10" fillId="3" borderId="0" xfId="0" applyNumberFormat="1" applyFont="1" applyFill="1" applyAlignment="1">
      <alignment horizontal="center" vertical="center" wrapText="1"/>
    </xf>
    <xf numFmtId="0" fontId="0" fillId="0" borderId="0" xfId="0" applyNumberFormat="1" applyAlignment="1"/>
    <xf numFmtId="14" fontId="0" fillId="0" borderId="0" xfId="0" applyNumberFormat="1" applyAlignment="1"/>
    <xf numFmtId="22" fontId="0" fillId="0" borderId="0" xfId="0" applyNumberFormat="1" applyAlignment="1"/>
    <xf numFmtId="0" fontId="31" fillId="3" borderId="0" xfId="0" applyFont="1" applyFill="1" applyAlignment="1">
      <alignment horizontal="center" vertical="center" wrapText="1"/>
    </xf>
    <xf numFmtId="14" fontId="32" fillId="0" borderId="0" xfId="0" applyNumberFormat="1" applyFont="1" applyAlignment="1"/>
    <xf numFmtId="22" fontId="32" fillId="0" borderId="0" xfId="0" applyNumberFormat="1" applyFont="1" applyAlignment="1"/>
    <xf numFmtId="0" fontId="3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C0504D"/>
      <rgbColor rgb="FFFFFDE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BF8F00"/>
      <rgbColor rgb="FFFF6600"/>
      <rgbColor rgb="FF8064A2"/>
      <rgbColor rgb="FFB3B3B3"/>
      <rgbColor rgb="FF1F3864"/>
      <rgbColor rgb="FF339966"/>
      <rgbColor rgb="FF003300"/>
      <rgbColor rgb="FF375623"/>
      <rgbColor rgb="FF993300"/>
      <rgbColor rgb="FF993366"/>
      <rgbColor rgb="FF595959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Score de satisfaction moyen par sexe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Desagregation!$D$5</c:f>
              <c:strCache>
                <c:ptCount val="1"/>
                <c:pt idx="0">
                  <c:v>Score satisf. moyen (/5)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Desagregation!$A$6:$A$7</c:f>
              <c:strCache>
                <c:ptCount val="2"/>
                <c:pt idx="0">
                  <c:v>feminin</c:v>
                </c:pt>
                <c:pt idx="1">
                  <c:v>masculin</c:v>
                </c:pt>
              </c:strCache>
            </c:strRef>
          </c:cat>
          <c:val>
            <c:numRef>
              <c:f>Desagregation!$D$6:$D$7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F-4573-AB13-DC0FB993F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113266"/>
        <c:axId val="24616723"/>
      </c:barChart>
      <c:catAx>
        <c:axId val="8311326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4616723"/>
        <c:crosses val="autoZero"/>
        <c:auto val="1"/>
        <c:lblAlgn val="ctr"/>
        <c:lblOffset val="100"/>
        <c:noMultiLvlLbl val="0"/>
      </c:catAx>
      <c:valAx>
        <c:axId val="2461672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Score /5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831132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Repartition de l'echantillon par zone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Desagregation!$B$16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7D6E-414E-8DEF-B1332BF0393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D6E-414E-8DEF-B1332BF0393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D6E-414E-8DEF-B1332BF0393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D6E-414E-8DEF-B1332BF0393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D6E-414E-8DEF-B1332BF0393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D6E-414E-8DEF-B1332BF0393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D6E-414E-8DEF-B1332BF0393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D6E-414E-8DEF-B1332BF0393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Desagregation!$A$17:$A$20</c:f>
              <c:strCache>
                <c:ptCount val="4"/>
                <c:pt idx="0">
                  <c:v>zone_1</c:v>
                </c:pt>
                <c:pt idx="1">
                  <c:v>zone_2</c:v>
                </c:pt>
                <c:pt idx="2">
                  <c:v>zone_3</c:v>
                </c:pt>
                <c:pt idx="3">
                  <c:v>zone_4</c:v>
                </c:pt>
              </c:strCache>
            </c:strRef>
          </c:cat>
          <c:val>
            <c:numRef>
              <c:f>Desagregation!$B$17:$B$20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6E-414E-8DEF-B1332BF039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Taux d'utilisation des biens par secteur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Desagregation!$E$23</c:f>
              <c:strCache>
                <c:ptCount val="1"/>
                <c:pt idx="0">
                  <c:v>% utilisation du bien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Desagregation!$A$24:$A$28</c:f>
              <c:strCache>
                <c:ptCount val="5"/>
                <c:pt idx="0">
                  <c:v>wash</c:v>
                </c:pt>
                <c:pt idx="1">
                  <c:v>sante</c:v>
                </c:pt>
                <c:pt idx="2">
                  <c:v>nutrition</c:v>
                </c:pt>
                <c:pt idx="3">
                  <c:v>shelter</c:v>
                </c:pt>
                <c:pt idx="4">
                  <c:v>drr</c:v>
                </c:pt>
              </c:strCache>
            </c:strRef>
          </c:cat>
          <c:val>
            <c:numRef>
              <c:f>Desagregation!$E$24:$E$28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39-43DD-B43E-55BA2C8A9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56747"/>
        <c:axId val="97062104"/>
      </c:barChart>
      <c:catAx>
        <c:axId val="4385674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7062104"/>
        <c:crosses val="autoZero"/>
        <c:auto val="1"/>
        <c:lblAlgn val="ctr"/>
        <c:lblOffset val="100"/>
        <c:noMultiLvlLbl val="0"/>
      </c:catAx>
      <c:valAx>
        <c:axId val="9706210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38567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Repartition de l'echantillon par tranche d'age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Desagregation!$B$10</c:f>
              <c:strCache>
                <c:ptCount val="1"/>
                <c:pt idx="0">
                  <c:v>n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Desagregation!$A$11:$A$13</c:f>
              <c:strCache>
                <c:ptCount val="3"/>
                <c:pt idx="0">
                  <c:v>&lt;18 ans</c:v>
                </c:pt>
                <c:pt idx="1">
                  <c:v>18-59 ans</c:v>
                </c:pt>
                <c:pt idx="2">
                  <c:v>60 ans et +</c:v>
                </c:pt>
              </c:strCache>
            </c:strRef>
          </c:cat>
          <c:val>
            <c:numRef>
              <c:f>Desagregation!$B$11:$B$13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4-44A3-A249-F9B3273A1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990556"/>
        <c:axId val="11842110"/>
      </c:barChart>
      <c:catAx>
        <c:axId val="239905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11842110"/>
        <c:crosses val="autoZero"/>
        <c:auto val="1"/>
        <c:lblAlgn val="ctr"/>
        <c:lblOffset val="100"/>
        <c:noMultiLvlLbl val="0"/>
      </c:catAx>
      <c:valAx>
        <c:axId val="1184211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3990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70200</xdr:rowOff>
    </xdr:from>
    <xdr:to>
      <xdr:col>6</xdr:col>
      <xdr:colOff>676440</xdr:colOff>
      <xdr:row>34</xdr:row>
      <xdr:rowOff>102240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70200</xdr:rowOff>
    </xdr:from>
    <xdr:to>
      <xdr:col>12</xdr:col>
      <xdr:colOff>464760</xdr:colOff>
      <xdr:row>34</xdr:row>
      <xdr:rowOff>102240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70560</xdr:rowOff>
    </xdr:from>
    <xdr:to>
      <xdr:col>6</xdr:col>
      <xdr:colOff>676440</xdr:colOff>
      <xdr:row>51</xdr:row>
      <xdr:rowOff>102240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37</xdr:row>
      <xdr:rowOff>70560</xdr:rowOff>
    </xdr:from>
    <xdr:to>
      <xdr:col>12</xdr:col>
      <xdr:colOff>464760</xdr:colOff>
      <xdr:row>51</xdr:row>
      <xdr:rowOff>102240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onnéesExternes_1" connectionId="1" autoFormatId="0" applyNumberFormats="0" applyBorderFormats="0" applyFontFormats="1" applyPatternFormats="1" applyAlignmentFormats="0" applyWidthHeightFormats="0">
  <queryTableRefresh preserveSortFilterLayout="0" nextId="49">
    <queryTableFields count="48">
      <queryTableField id="1" name="id" tableColumnId="241"/>
      <queryTableField id="2" name="today" tableColumnId="242"/>
      <queryTableField id="3" name="start" tableColumnId="243"/>
      <queryTableField id="4" name="end" tableColumnId="244"/>
      <queryTableField id="5" name="nom_enqueteur" tableColumnId="245"/>
      <queryTableField id="6" name="zone" tableColumnId="246"/>
      <queryTableField id="7" name="secteur" tableColumnId="247"/>
      <queryTableField id="8" name="localite" tableColumnId="248"/>
      <queryTableField id="9" name="code_menage" tableColumnId="249"/>
      <queryTableField id="10" name="sexe" tableColumnId="250"/>
      <queryTableField id="11" name="age" tableColumnId="251"/>
      <queryTableField id="12" name="statut_repondant" tableColumnId="252"/>
      <queryTableField id="13" name="vulnerabilite" tableColumnId="253"/>
      <queryTableField id="14" name="q_qualite_globale" tableColumnId="254"/>
      <queryTableField id="15" name="q_delai_distribution" tableColumnId="255"/>
      <queryTableField id="16" name="q_adequation_besoins" tableColumnId="256"/>
      <queryTableField id="17" name="q_usage_prevu" tableColumnId="257"/>
      <queryTableField id="18" name="q_raison_non_utilisation" tableColumnId="258"/>
      <queryTableField id="19" name="satisfaction_globale" tableColumnId="259"/>
      <queryTableField id="20" name="q_satisfaction_personnel" tableColumnId="260"/>
      <queryTableField id="21" name="q_recommandation" tableColumnId="261"/>
      <queryTableField id="22" name="q_info_disponible" tableColumnId="262"/>
      <queryTableField id="23" name="date_enquete" tableColumnId="263"/>
      <queryTableField id="24" name="qc_missing_fields" tableColumnId="264"/>
      <queryTableField id="25" name="qc_duplicate" tableColumnId="265"/>
      <queryTableField id="26" name="qc_has_issue" tableColumnId="266"/>
      <queryTableField id="27" name="satisfaction_score" tableColumnId="267"/>
      <queryTableField id="28" name="bien_utilise_bool" tableColumnId="268"/>
      <queryTableField id="29" name="mecanisme_connu_bool" tableColumnId="269"/>
      <queryTableField id="30" name="processed_at" tableColumnId="270"/>
      <queryTableField id="31" name="uuid" tableColumnId="271"/>
      <queryTableField id="32" name="deviceid" tableColumnId="272"/>
      <queryTableField id="33" name="sexe_repondant" tableColumnId="273"/>
      <queryTableField id="34" name="age_repondant" tableColumnId="274"/>
      <queryTableField id="35" name="vulnerabilite_menage" tableColumnId="275"/>
      <queryTableField id="36" name="type_assistance_recue" tableColumnId="276"/>
      <queryTableField id="37" name="q_utilisation_bien" tableColumnId="277"/>
      <queryTableField id="38" name="q_connaissance_mecanisme" tableColumnId="278"/>
      <queryTableField id="39" name="q_utilisation_mecanisme" tableColumnId="279"/>
      <queryTableField id="40" name="q_satisfaction_reponse" tableColumnId="280"/>
      <queryTableField id="41" name="q_acces_equitable" tableColumnId="281"/>
      <queryTableField id="42" name="q_securite_distribution" tableColumnId="282"/>
      <queryTableField id="43" name="q_priorite_vulnerables" tableColumnId="283"/>
      <queryTableField id="44" name="q_dignite_traitement" tableColumnId="284"/>
      <queryTableField id="45" name="q_suggestion" tableColumnId="285"/>
      <queryTableField id="46" name="q_commentaire_libre" tableColumnId="286"/>
      <queryTableField id="47" name="submitted_by" tableColumnId="287"/>
      <queryTableField id="48" name="submission_time" tableColumnId="28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pub_gid_868056922_single_true_output_csv" displayName="pub_gid_868056922_single_true_output_csv" ref="A1:AV5" tableType="queryTable" totalsRowShown="0">
  <autoFilter ref="A1:AV5"/>
  <tableColumns count="48">
    <tableColumn id="241" uniqueName="241" name="id" queryTableFieldId="1"/>
    <tableColumn id="242" uniqueName="242" name="today" queryTableFieldId="2"/>
    <tableColumn id="243" uniqueName="243" name="start" queryTableFieldId="3"/>
    <tableColumn id="244" uniqueName="244" name="end" queryTableFieldId="4"/>
    <tableColumn id="245" uniqueName="245" name="nom_enqueteur" queryTableFieldId="5"/>
    <tableColumn id="246" uniqueName="246" name="zone" queryTableFieldId="6"/>
    <tableColumn id="247" uniqueName="247" name="secteur" queryTableFieldId="7"/>
    <tableColumn id="248" uniqueName="248" name="localite" queryTableFieldId="8"/>
    <tableColumn id="249" uniqueName="249" name="code_menage" queryTableFieldId="9"/>
    <tableColumn id="250" uniqueName="250" name="sexe" queryTableFieldId="10"/>
    <tableColumn id="251" uniqueName="251" name="age" queryTableFieldId="11"/>
    <tableColumn id="252" uniqueName="252" name="statut_repondant" queryTableFieldId="12"/>
    <tableColumn id="253" uniqueName="253" name="vulnerabilite" queryTableFieldId="13"/>
    <tableColumn id="254" uniqueName="254" name="q_qualite_globale" queryTableFieldId="14"/>
    <tableColumn id="255" uniqueName="255" name="q_delai_distribution" queryTableFieldId="15"/>
    <tableColumn id="256" uniqueName="256" name="q_adequation_besoins" queryTableFieldId="16"/>
    <tableColumn id="257" uniqueName="257" name="q_usage_prevu" queryTableFieldId="17"/>
    <tableColumn id="258" uniqueName="258" name="q_raison_non_utilisation" queryTableFieldId="18"/>
    <tableColumn id="259" uniqueName="259" name="satisfaction_globale" queryTableFieldId="19"/>
    <tableColumn id="260" uniqueName="260" name="q_satisfaction_personnel" queryTableFieldId="20"/>
    <tableColumn id="261" uniqueName="261" name="q_recommandation" queryTableFieldId="21"/>
    <tableColumn id="262" uniqueName="262" name="q_info_disponible" queryTableFieldId="22"/>
    <tableColumn id="263" uniqueName="263" name="date_enquete" queryTableFieldId="23"/>
    <tableColumn id="264" uniqueName="264" name="qc_missing_fields" queryTableFieldId="24"/>
    <tableColumn id="265" uniqueName="265" name="qc_duplicate" queryTableFieldId="25"/>
    <tableColumn id="266" uniqueName="266" name="qc_has_issue" queryTableFieldId="26"/>
    <tableColumn id="267" uniqueName="267" name="satisfaction_score" queryTableFieldId="27"/>
    <tableColumn id="268" uniqueName="268" name="bien_utilise_bool" queryTableFieldId="28"/>
    <tableColumn id="269" uniqueName="269" name="mecanisme_connu_bool" queryTableFieldId="29"/>
    <tableColumn id="270" uniqueName="270" name="processed_at" queryTableFieldId="30"/>
    <tableColumn id="271" uniqueName="271" name="uuid" queryTableFieldId="31"/>
    <tableColumn id="272" uniqueName="272" name="deviceid" queryTableFieldId="32"/>
    <tableColumn id="273" uniqueName="273" name="sexe_repondant" queryTableFieldId="33"/>
    <tableColumn id="274" uniqueName="274" name="age_repondant" queryTableFieldId="34"/>
    <tableColumn id="275" uniqueName="275" name="vulnerabilite_menage" queryTableFieldId="35"/>
    <tableColumn id="276" uniqueName="276" name="type_assistance_recue" queryTableFieldId="36"/>
    <tableColumn id="277" uniqueName="277" name="q_utilisation_bien" queryTableFieldId="37"/>
    <tableColumn id="278" uniqueName="278" name="q_connaissance_mecanisme" queryTableFieldId="38"/>
    <tableColumn id="279" uniqueName="279" name="q_utilisation_mecanisme" queryTableFieldId="39"/>
    <tableColumn id="280" uniqueName="280" name="q_satisfaction_reponse" queryTableFieldId="40"/>
    <tableColumn id="281" uniqueName="281" name="q_acces_equitable" queryTableFieldId="41"/>
    <tableColumn id="282" uniqueName="282" name="q_securite_distribution" queryTableFieldId="42"/>
    <tableColumn id="283" uniqueName="283" name="q_priorite_vulnerables" queryTableFieldId="43"/>
    <tableColumn id="284" uniqueName="284" name="q_dignite_traitement" queryTableFieldId="44"/>
    <tableColumn id="285" uniqueName="285" name="q_suggestion" queryTableFieldId="45"/>
    <tableColumn id="286" uniqueName="286" name="q_commentaire_libre" queryTableFieldId="46"/>
    <tableColumn id="287" uniqueName="287" name="submitted_by" queryTableFieldId="47"/>
    <tableColumn id="288" uniqueName="288" name="submission_time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08080"/>
  </sheetPr>
  <dimension ref="A2:B35"/>
  <sheetViews>
    <sheetView showGridLines="0" tabSelected="1" topLeftCell="A6" zoomScaleNormal="100" workbookViewId="0"/>
  </sheetViews>
  <sheetFormatPr baseColWidth="10" defaultColWidth="8.7109375" defaultRowHeight="15" x14ac:dyDescent="0.25"/>
  <cols>
    <col min="1" max="1" width="3" style="12" customWidth="1"/>
    <col min="2" max="2" width="118" style="12" customWidth="1"/>
  </cols>
  <sheetData>
    <row r="2" spans="2:2" ht="21.75" customHeight="1" x14ac:dyDescent="0.35">
      <c r="B2" s="13" t="s">
        <v>0</v>
      </c>
    </row>
    <row r="3" spans="2:2" ht="15" customHeight="1" x14ac:dyDescent="0.25">
      <c r="B3" s="14" t="s">
        <v>1</v>
      </c>
    </row>
    <row r="5" spans="2:2" ht="15" customHeight="1" x14ac:dyDescent="0.25">
      <c r="B5" s="15" t="s">
        <v>2</v>
      </c>
    </row>
    <row r="6" spans="2:2" ht="15" customHeight="1" x14ac:dyDescent="0.25">
      <c r="B6" s="16" t="s">
        <v>3</v>
      </c>
    </row>
    <row r="7" spans="2:2" ht="15" customHeight="1" x14ac:dyDescent="0.25">
      <c r="B7" s="16" t="s">
        <v>4</v>
      </c>
    </row>
    <row r="8" spans="2:2" ht="15" customHeight="1" x14ac:dyDescent="0.25">
      <c r="B8" s="16" t="s">
        <v>5</v>
      </c>
    </row>
    <row r="9" spans="2:2" ht="15" customHeight="1" x14ac:dyDescent="0.25">
      <c r="B9" s="16" t="s">
        <v>6</v>
      </c>
    </row>
    <row r="10" spans="2:2" ht="15" customHeight="1" x14ac:dyDescent="0.25">
      <c r="B10" s="16" t="s">
        <v>7</v>
      </c>
    </row>
    <row r="11" spans="2:2" ht="15" customHeight="1" x14ac:dyDescent="0.25">
      <c r="B11" s="16" t="s">
        <v>8</v>
      </c>
    </row>
    <row r="12" spans="2:2" ht="15" customHeight="1" x14ac:dyDescent="0.25">
      <c r="B12" s="16" t="s">
        <v>9</v>
      </c>
    </row>
    <row r="13" spans="2:2" ht="15" customHeight="1" x14ac:dyDescent="0.25">
      <c r="B13" s="16" t="s">
        <v>10</v>
      </c>
    </row>
    <row r="14" spans="2:2" ht="15" customHeight="1" x14ac:dyDescent="0.25">
      <c r="B14" s="16"/>
    </row>
    <row r="15" spans="2:2" ht="15" customHeight="1" x14ac:dyDescent="0.25">
      <c r="B15" s="15" t="s">
        <v>11</v>
      </c>
    </row>
    <row r="16" spans="2:2" ht="15" customHeight="1" x14ac:dyDescent="0.25">
      <c r="B16" s="16" t="s">
        <v>12</v>
      </c>
    </row>
    <row r="17" spans="2:2" ht="15" customHeight="1" x14ac:dyDescent="0.25">
      <c r="B17" s="16" t="s">
        <v>13</v>
      </c>
    </row>
    <row r="18" spans="2:2" ht="15" customHeight="1" x14ac:dyDescent="0.25">
      <c r="B18" s="16" t="s">
        <v>14</v>
      </c>
    </row>
    <row r="19" spans="2:2" ht="15" customHeight="1" x14ac:dyDescent="0.25">
      <c r="B19" s="16" t="s">
        <v>15</v>
      </c>
    </row>
    <row r="20" spans="2:2" ht="15" customHeight="1" x14ac:dyDescent="0.25">
      <c r="B20" s="16"/>
    </row>
    <row r="21" spans="2:2" ht="15" customHeight="1" x14ac:dyDescent="0.25">
      <c r="B21" s="15" t="s">
        <v>16</v>
      </c>
    </row>
    <row r="22" spans="2:2" ht="24.75" customHeight="1" x14ac:dyDescent="0.25">
      <c r="B22" s="16" t="s">
        <v>17</v>
      </c>
    </row>
    <row r="23" spans="2:2" ht="15" customHeight="1" x14ac:dyDescent="0.25">
      <c r="B23" s="16" t="s">
        <v>18</v>
      </c>
    </row>
    <row r="24" spans="2:2" ht="15" customHeight="1" x14ac:dyDescent="0.25">
      <c r="B24" s="16"/>
    </row>
    <row r="25" spans="2:2" ht="15" customHeight="1" x14ac:dyDescent="0.25">
      <c r="B25" s="15" t="s">
        <v>19</v>
      </c>
    </row>
    <row r="26" spans="2:2" ht="15" customHeight="1" x14ac:dyDescent="0.25">
      <c r="B26" s="16" t="s">
        <v>20</v>
      </c>
    </row>
    <row r="27" spans="2:2" ht="15" customHeight="1" x14ac:dyDescent="0.25">
      <c r="B27" s="16"/>
    </row>
    <row r="28" spans="2:2" ht="15" customHeight="1" x14ac:dyDescent="0.25">
      <c r="B28" s="15" t="s">
        <v>21</v>
      </c>
    </row>
    <row r="29" spans="2:2" ht="24.75" customHeight="1" x14ac:dyDescent="0.25">
      <c r="B29" s="16" t="s">
        <v>22</v>
      </c>
    </row>
    <row r="30" spans="2:2" ht="15" customHeight="1" x14ac:dyDescent="0.25">
      <c r="B30" s="16" t="s">
        <v>23</v>
      </c>
    </row>
    <row r="31" spans="2:2" ht="15" customHeight="1" x14ac:dyDescent="0.25">
      <c r="B31" s="16"/>
    </row>
    <row r="32" spans="2:2" ht="15" customHeight="1" x14ac:dyDescent="0.25">
      <c r="B32" s="15" t="s">
        <v>24</v>
      </c>
    </row>
    <row r="33" spans="2:2" ht="15" customHeight="1" x14ac:dyDescent="0.25">
      <c r="B33" s="16" t="s">
        <v>25</v>
      </c>
    </row>
    <row r="34" spans="2:2" ht="15" customHeight="1" x14ac:dyDescent="0.25">
      <c r="B34" s="16" t="s">
        <v>26</v>
      </c>
    </row>
    <row r="35" spans="2:2" ht="15" customHeight="1" x14ac:dyDescent="0.25">
      <c r="B35" s="16" t="s">
        <v>27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F8F00"/>
  </sheetPr>
  <dimension ref="A1:E16"/>
  <sheetViews>
    <sheetView showGridLines="0" zoomScaleNormal="100" workbookViewId="0"/>
  </sheetViews>
  <sheetFormatPr baseColWidth="10" defaultColWidth="8.7109375" defaultRowHeight="15" x14ac:dyDescent="0.25"/>
  <cols>
    <col min="1" max="1" width="28" style="12" customWidth="1"/>
    <col min="2" max="2" width="22" style="12" customWidth="1"/>
    <col min="3" max="3" width="3" style="12" customWidth="1"/>
    <col min="4" max="5" width="22" style="12" customWidth="1"/>
  </cols>
  <sheetData>
    <row r="1" spans="1:5" ht="17.25" customHeight="1" x14ac:dyDescent="0.25">
      <c r="A1" s="17" t="s">
        <v>28</v>
      </c>
    </row>
    <row r="3" spans="1:5" ht="15" customHeight="1" x14ac:dyDescent="0.25">
      <c r="A3" s="18" t="s">
        <v>29</v>
      </c>
      <c r="B3" s="19" t="s">
        <v>30</v>
      </c>
    </row>
    <row r="5" spans="1:5" ht="15" customHeight="1" x14ac:dyDescent="0.25">
      <c r="A5" s="18" t="s">
        <v>31</v>
      </c>
      <c r="B5" s="20">
        <v>4</v>
      </c>
    </row>
    <row r="6" spans="1:5" ht="15" customHeight="1" x14ac:dyDescent="0.25">
      <c r="A6" s="18" t="s">
        <v>32</v>
      </c>
      <c r="B6" s="20">
        <v>1000</v>
      </c>
    </row>
    <row r="9" spans="1:5" ht="15" customHeight="1" x14ac:dyDescent="0.25">
      <c r="A9" s="21" t="s">
        <v>33</v>
      </c>
    </row>
    <row r="10" spans="1:5" ht="15" customHeight="1" x14ac:dyDescent="0.25">
      <c r="A10" s="18" t="s">
        <v>34</v>
      </c>
      <c r="B10" s="18" t="s">
        <v>35</v>
      </c>
      <c r="D10" s="18" t="s">
        <v>36</v>
      </c>
      <c r="E10" s="18" t="s">
        <v>37</v>
      </c>
    </row>
    <row r="11" spans="1:5" ht="15" customHeight="1" x14ac:dyDescent="0.25">
      <c r="A11" s="12" t="s">
        <v>38</v>
      </c>
      <c r="B11" s="12" t="s">
        <v>38</v>
      </c>
      <c r="D11" s="12" t="s">
        <v>38</v>
      </c>
      <c r="E11" s="12" t="s">
        <v>39</v>
      </c>
    </row>
    <row r="12" spans="1:5" ht="15" customHeight="1" x14ac:dyDescent="0.25">
      <c r="A12" s="12" t="s">
        <v>40</v>
      </c>
      <c r="B12" s="12" t="s">
        <v>41</v>
      </c>
      <c r="D12" s="12" t="s">
        <v>42</v>
      </c>
      <c r="E12" s="12" t="s">
        <v>43</v>
      </c>
    </row>
    <row r="13" spans="1:5" ht="15" customHeight="1" x14ac:dyDescent="0.25">
      <c r="A13" s="12" t="s">
        <v>44</v>
      </c>
      <c r="B13" s="12" t="s">
        <v>45</v>
      </c>
      <c r="D13" s="12" t="s">
        <v>46</v>
      </c>
    </row>
    <row r="14" spans="1:5" ht="15" customHeight="1" x14ac:dyDescent="0.25">
      <c r="A14" s="12" t="s">
        <v>47</v>
      </c>
      <c r="B14" s="12" t="s">
        <v>48</v>
      </c>
    </row>
    <row r="15" spans="1:5" ht="15" customHeight="1" x14ac:dyDescent="0.25">
      <c r="A15" s="12" t="s">
        <v>49</v>
      </c>
      <c r="B15" s="12" t="s">
        <v>50</v>
      </c>
    </row>
    <row r="16" spans="1:5" ht="15" customHeight="1" x14ac:dyDescent="0.25">
      <c r="B16" s="12" t="s">
        <v>51</v>
      </c>
    </row>
  </sheetData>
  <dataValidations count="1">
    <dataValidation type="list" sqref="B3">
      <formula1>"FR,EN"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W7"/>
  <sheetViews>
    <sheetView showGridLines="0" zoomScaleNormal="100" workbookViewId="0">
      <pane ySplit="1" topLeftCell="A2" activePane="bottomLeft" state="frozen"/>
      <selection pane="bottomLeft" sqref="A1:AV5"/>
    </sheetView>
  </sheetViews>
  <sheetFormatPr baseColWidth="10" defaultColWidth="8.7109375" defaultRowHeight="15" x14ac:dyDescent="0.25"/>
  <cols>
    <col min="1" max="1" width="10" bestFit="1" customWidth="1"/>
    <col min="2" max="2" width="10" style="12" customWidth="1"/>
    <col min="3" max="4" width="14.7109375" style="12" customWidth="1"/>
    <col min="5" max="5" width="18.42578125" style="12" customWidth="1"/>
    <col min="6" max="6" width="9.42578125" style="12" customWidth="1"/>
    <col min="7" max="7" width="11.85546875" style="12" bestFit="1" customWidth="1"/>
    <col min="8" max="8" width="11.42578125" style="12" bestFit="1" customWidth="1"/>
    <col min="9" max="9" width="17.140625" style="12" bestFit="1" customWidth="1"/>
    <col min="10" max="10" width="9.5703125" style="12" bestFit="1" customWidth="1"/>
    <col min="11" max="11" width="8.5703125" style="12" bestFit="1" customWidth="1"/>
    <col min="12" max="12" width="19.5703125" style="12" bestFit="1" customWidth="1"/>
    <col min="13" max="13" width="42.28515625" style="12" customWidth="1"/>
    <col min="14" max="14" width="19.85546875" style="12" bestFit="1" customWidth="1"/>
    <col min="15" max="15" width="21.7109375" style="12" bestFit="1" customWidth="1"/>
    <col min="16" max="16" width="24.140625" style="12" bestFit="1" customWidth="1"/>
    <col min="17" max="17" width="18.140625" style="12" bestFit="1" customWidth="1"/>
    <col min="18" max="18" width="25.85546875" style="12" bestFit="1" customWidth="1"/>
    <col min="19" max="19" width="22.140625" style="12" bestFit="1" customWidth="1"/>
    <col min="20" max="20" width="26.5703125" style="12" bestFit="1" customWidth="1"/>
    <col min="21" max="21" width="21.5703125" style="12" bestFit="1" customWidth="1"/>
    <col min="22" max="22" width="19.85546875" style="12" bestFit="1" customWidth="1"/>
    <col min="23" max="23" width="16.7109375" style="12" bestFit="1" customWidth="1"/>
    <col min="24" max="24" width="20.42578125" style="12" bestFit="1" customWidth="1"/>
    <col min="25" max="25" width="16" style="12" bestFit="1" customWidth="1"/>
    <col min="26" max="26" width="17" style="12" bestFit="1" customWidth="1"/>
    <col min="27" max="27" width="21" style="12" bestFit="1" customWidth="1"/>
    <col min="28" max="28" width="19.28515625" style="12" bestFit="1" customWidth="1"/>
    <col min="29" max="29" width="25.85546875" style="12" bestFit="1" customWidth="1"/>
    <col min="30" max="30" width="16.85546875" style="12" bestFit="1" customWidth="1"/>
    <col min="31" max="31" width="33.42578125" style="12" customWidth="1"/>
    <col min="32" max="32" width="25.5703125" style="12" customWidth="1"/>
    <col min="33" max="33" width="18.85546875" style="12" customWidth="1"/>
    <col min="34" max="34" width="17.85546875" style="12" bestFit="1" customWidth="1"/>
    <col min="35" max="35" width="47.85546875" style="12" bestFit="1" customWidth="1"/>
    <col min="36" max="36" width="24.85546875" style="12" customWidth="1"/>
    <col min="37" max="37" width="19.85546875" style="12" bestFit="1" customWidth="1"/>
    <col min="38" max="38" width="29.85546875" style="12" bestFit="1" customWidth="1"/>
    <col min="39" max="39" width="26.28515625" style="12" bestFit="1" customWidth="1"/>
    <col min="40" max="40" width="25" style="12" bestFit="1" customWidth="1"/>
    <col min="41" max="41" width="21.140625" style="12" bestFit="1" customWidth="1"/>
    <col min="42" max="42" width="24.5703125" style="12" bestFit="1" customWidth="1"/>
    <col min="43" max="43" width="24" style="12" bestFit="1" customWidth="1"/>
    <col min="44" max="44" width="22.5703125" style="12" bestFit="1" customWidth="1"/>
    <col min="45" max="45" width="16.5703125" style="12" bestFit="1" customWidth="1"/>
    <col min="46" max="46" width="23.140625" style="12" bestFit="1" customWidth="1"/>
    <col min="47" max="47" width="16.5703125" style="12" bestFit="1" customWidth="1"/>
    <col min="48" max="48" width="19.5703125" style="12" bestFit="1" customWidth="1"/>
    <col min="49" max="49" width="15" style="12" customWidth="1"/>
  </cols>
  <sheetData>
    <row r="1" spans="1:49" x14ac:dyDescent="0.25">
      <c r="A1" s="51" t="s">
        <v>52</v>
      </c>
      <c r="B1" s="52" t="s">
        <v>53</v>
      </c>
      <c r="C1" s="52" t="s">
        <v>54</v>
      </c>
      <c r="D1" s="52" t="s">
        <v>55</v>
      </c>
      <c r="E1" s="52" t="s">
        <v>56</v>
      </c>
      <c r="F1" s="52" t="s">
        <v>57</v>
      </c>
      <c r="G1" s="52" t="s">
        <v>58</v>
      </c>
      <c r="H1" s="52" t="s">
        <v>59</v>
      </c>
      <c r="I1" s="52" t="s">
        <v>60</v>
      </c>
      <c r="J1" s="52" t="s">
        <v>61</v>
      </c>
      <c r="K1" s="52" t="s">
        <v>62</v>
      </c>
      <c r="L1" s="52" t="s">
        <v>63</v>
      </c>
      <c r="M1" s="52" t="s">
        <v>64</v>
      </c>
      <c r="N1" s="52" t="s">
        <v>65</v>
      </c>
      <c r="O1" s="52" t="s">
        <v>66</v>
      </c>
      <c r="P1" s="52" t="s">
        <v>67</v>
      </c>
      <c r="Q1" s="52" t="s">
        <v>68</v>
      </c>
      <c r="R1" s="52" t="s">
        <v>69</v>
      </c>
      <c r="S1" s="52" t="s">
        <v>70</v>
      </c>
      <c r="T1" s="52" t="s">
        <v>71</v>
      </c>
      <c r="U1" s="52" t="s">
        <v>72</v>
      </c>
      <c r="V1" s="52" t="s">
        <v>73</v>
      </c>
      <c r="W1" s="52" t="s">
        <v>74</v>
      </c>
      <c r="X1" s="52" t="s">
        <v>75</v>
      </c>
      <c r="Y1" s="52" t="s">
        <v>76</v>
      </c>
      <c r="Z1" s="52" t="s">
        <v>77</v>
      </c>
      <c r="AA1" s="52" t="s">
        <v>78</v>
      </c>
      <c r="AB1" s="52" t="s">
        <v>79</v>
      </c>
      <c r="AC1" s="52" t="s">
        <v>80</v>
      </c>
      <c r="AD1" s="52" t="s">
        <v>81</v>
      </c>
      <c r="AE1" s="52" t="s">
        <v>82</v>
      </c>
      <c r="AF1" s="52" t="s">
        <v>83</v>
      </c>
      <c r="AG1" s="52" t="s">
        <v>84</v>
      </c>
      <c r="AH1" s="52" t="s">
        <v>85</v>
      </c>
      <c r="AI1" s="52" t="s">
        <v>86</v>
      </c>
      <c r="AJ1" s="52" t="s">
        <v>87</v>
      </c>
      <c r="AK1" s="52" t="s">
        <v>88</v>
      </c>
      <c r="AL1" s="52" t="s">
        <v>89</v>
      </c>
      <c r="AM1" s="52" t="s">
        <v>90</v>
      </c>
      <c r="AN1" s="52" t="s">
        <v>91</v>
      </c>
      <c r="AO1" s="52" t="s">
        <v>92</v>
      </c>
      <c r="AP1" s="52" t="s">
        <v>93</v>
      </c>
      <c r="AQ1" s="52" t="s">
        <v>94</v>
      </c>
      <c r="AR1" s="52" t="s">
        <v>95</v>
      </c>
      <c r="AS1" s="52" t="s">
        <v>96</v>
      </c>
      <c r="AT1" s="52" t="s">
        <v>97</v>
      </c>
      <c r="AU1" s="52" t="s">
        <v>98</v>
      </c>
      <c r="AV1" s="52" t="s">
        <v>99</v>
      </c>
      <c r="AW1" s="56"/>
    </row>
    <row r="2" spans="1:49" x14ac:dyDescent="0.25">
      <c r="A2" s="51">
        <v>841833601</v>
      </c>
      <c r="B2" s="57">
        <v>46251</v>
      </c>
      <c r="C2" s="58">
        <v>46251.603253287038</v>
      </c>
      <c r="D2" s="58">
        <v>46251.604772905092</v>
      </c>
      <c r="E2" s="59" t="s">
        <v>233</v>
      </c>
      <c r="F2" s="59" t="s">
        <v>40</v>
      </c>
      <c r="G2" s="59" t="s">
        <v>50</v>
      </c>
      <c r="H2" s="59" t="s">
        <v>234</v>
      </c>
      <c r="I2" s="59">
        <v>3553</v>
      </c>
      <c r="J2" s="59" t="s">
        <v>42</v>
      </c>
      <c r="K2" s="59">
        <v>52</v>
      </c>
      <c r="L2" s="59" t="s">
        <v>108</v>
      </c>
      <c r="M2" s="59" t="s">
        <v>100</v>
      </c>
      <c r="N2" s="59" t="s">
        <v>101</v>
      </c>
      <c r="O2" s="59" t="s">
        <v>101</v>
      </c>
      <c r="P2" s="59" t="s">
        <v>43</v>
      </c>
      <c r="Q2" s="59" t="s">
        <v>43</v>
      </c>
      <c r="R2" s="59" t="s">
        <v>235</v>
      </c>
      <c r="S2" s="59" t="s">
        <v>103</v>
      </c>
      <c r="T2" s="59" t="s">
        <v>102</v>
      </c>
      <c r="U2" s="59" t="s">
        <v>43</v>
      </c>
      <c r="V2" s="59" t="s">
        <v>39</v>
      </c>
      <c r="W2" s="58">
        <v>46251.605825358798</v>
      </c>
      <c r="X2" s="59" t="s">
        <v>104</v>
      </c>
      <c r="Y2" s="59" t="b">
        <v>0</v>
      </c>
      <c r="Z2" s="59" t="b">
        <v>0</v>
      </c>
      <c r="AA2" s="59">
        <v>1</v>
      </c>
      <c r="AB2" s="59" t="s">
        <v>236</v>
      </c>
      <c r="AC2" s="53" t="s">
        <v>236</v>
      </c>
      <c r="AD2" s="54">
        <v>46248</v>
      </c>
      <c r="AE2" s="59" t="s">
        <v>105</v>
      </c>
      <c r="AF2" s="53" t="s">
        <v>106</v>
      </c>
      <c r="AG2" s="53" t="s">
        <v>42</v>
      </c>
      <c r="AH2" s="53">
        <v>52</v>
      </c>
      <c r="AI2" s="53" t="s">
        <v>100</v>
      </c>
      <c r="AJ2" s="53" t="s">
        <v>110</v>
      </c>
      <c r="AK2" s="53" t="s">
        <v>43</v>
      </c>
      <c r="AL2" s="53" t="s">
        <v>43</v>
      </c>
      <c r="AM2" s="53" t="s">
        <v>39</v>
      </c>
      <c r="AN2" s="53" t="s">
        <v>101</v>
      </c>
      <c r="AO2" s="53" t="s">
        <v>43</v>
      </c>
      <c r="AP2" s="53" t="s">
        <v>39</v>
      </c>
      <c r="AQ2" s="53" t="s">
        <v>43</v>
      </c>
      <c r="AR2" s="53" t="s">
        <v>43</v>
      </c>
      <c r="AS2" s="53" t="s">
        <v>237</v>
      </c>
      <c r="AT2" s="53" t="s">
        <v>238</v>
      </c>
      <c r="AU2" s="53" t="s">
        <v>107</v>
      </c>
      <c r="AV2" s="55">
        <v>46251.480474537035</v>
      </c>
    </row>
    <row r="3" spans="1:49" x14ac:dyDescent="0.25">
      <c r="A3" s="51">
        <v>844730793</v>
      </c>
      <c r="B3" s="57">
        <v>46251</v>
      </c>
      <c r="C3" s="58">
        <v>46254.237273182873</v>
      </c>
      <c r="D3" s="58">
        <v>46254.237273182873</v>
      </c>
      <c r="E3" s="59" t="s">
        <v>233</v>
      </c>
      <c r="F3" s="59" t="s">
        <v>40</v>
      </c>
      <c r="G3" s="59" t="s">
        <v>50</v>
      </c>
      <c r="H3" s="59" t="s">
        <v>234</v>
      </c>
      <c r="I3" s="59">
        <v>3553</v>
      </c>
      <c r="J3" s="59" t="s">
        <v>42</v>
      </c>
      <c r="K3" s="59">
        <v>52</v>
      </c>
      <c r="L3" s="59" t="s">
        <v>108</v>
      </c>
      <c r="M3" s="59" t="s">
        <v>100</v>
      </c>
      <c r="N3" s="59" t="s">
        <v>101</v>
      </c>
      <c r="O3" s="59" t="s">
        <v>101</v>
      </c>
      <c r="P3" s="59" t="s">
        <v>43</v>
      </c>
      <c r="Q3" s="59" t="s">
        <v>43</v>
      </c>
      <c r="R3" s="59" t="s">
        <v>235</v>
      </c>
      <c r="S3" s="59" t="s">
        <v>103</v>
      </c>
      <c r="T3" s="59" t="s">
        <v>102</v>
      </c>
      <c r="U3" s="59" t="s">
        <v>43</v>
      </c>
      <c r="V3" s="59" t="s">
        <v>39</v>
      </c>
      <c r="W3" s="58">
        <v>46254.362987199071</v>
      </c>
      <c r="X3" s="59" t="s">
        <v>104</v>
      </c>
      <c r="Y3" s="59" t="b">
        <v>0</v>
      </c>
      <c r="Z3" s="59" t="b">
        <v>0</v>
      </c>
      <c r="AA3" s="59">
        <v>1</v>
      </c>
      <c r="AB3" s="59" t="s">
        <v>236</v>
      </c>
      <c r="AC3" s="53" t="s">
        <v>236</v>
      </c>
      <c r="AD3" s="54">
        <v>46248</v>
      </c>
      <c r="AE3" s="59" t="s">
        <v>105</v>
      </c>
      <c r="AF3" s="53" t="s">
        <v>106</v>
      </c>
      <c r="AG3" s="53" t="s">
        <v>42</v>
      </c>
      <c r="AH3" s="53">
        <v>52</v>
      </c>
      <c r="AI3" s="53" t="s">
        <v>100</v>
      </c>
      <c r="AJ3" s="53" t="s">
        <v>110</v>
      </c>
      <c r="AK3" s="53" t="s">
        <v>43</v>
      </c>
      <c r="AL3" s="53" t="s">
        <v>43</v>
      </c>
      <c r="AM3" s="53" t="s">
        <v>39</v>
      </c>
      <c r="AN3" s="53" t="s">
        <v>101</v>
      </c>
      <c r="AO3" s="53" t="s">
        <v>43</v>
      </c>
      <c r="AP3" s="53" t="s">
        <v>39</v>
      </c>
      <c r="AQ3" s="53" t="s">
        <v>43</v>
      </c>
      <c r="AR3" s="53" t="s">
        <v>43</v>
      </c>
      <c r="AS3" s="53" t="s">
        <v>237</v>
      </c>
      <c r="AT3" s="53" t="s">
        <v>238</v>
      </c>
      <c r="AU3" s="53" t="s">
        <v>107</v>
      </c>
      <c r="AV3" s="55">
        <v>46254.237268518518</v>
      </c>
      <c r="AW3" s="23"/>
    </row>
    <row r="4" spans="1:49" x14ac:dyDescent="0.25">
      <c r="A4" s="51">
        <v>844911848</v>
      </c>
      <c r="B4" s="57">
        <v>46251</v>
      </c>
      <c r="C4" s="58">
        <v>46254.370696770835</v>
      </c>
      <c r="D4" s="58">
        <v>46254.370696770835</v>
      </c>
      <c r="E4" s="59" t="s">
        <v>233</v>
      </c>
      <c r="F4" s="59" t="s">
        <v>40</v>
      </c>
      <c r="G4" s="59" t="s">
        <v>50</v>
      </c>
      <c r="H4" s="59" t="s">
        <v>234</v>
      </c>
      <c r="I4" s="59">
        <v>3553</v>
      </c>
      <c r="J4" s="59" t="s">
        <v>42</v>
      </c>
      <c r="K4" s="59">
        <v>52</v>
      </c>
      <c r="L4" s="59" t="s">
        <v>108</v>
      </c>
      <c r="M4" s="59" t="s">
        <v>100</v>
      </c>
      <c r="N4" s="59" t="s">
        <v>101</v>
      </c>
      <c r="O4" s="59" t="s">
        <v>101</v>
      </c>
      <c r="P4" s="59" t="s">
        <v>43</v>
      </c>
      <c r="Q4" s="59" t="s">
        <v>43</v>
      </c>
      <c r="R4" s="59" t="s">
        <v>235</v>
      </c>
      <c r="S4" s="59" t="s">
        <v>103</v>
      </c>
      <c r="T4" s="59" t="s">
        <v>102</v>
      </c>
      <c r="U4" s="59" t="s">
        <v>43</v>
      </c>
      <c r="V4" s="59" t="s">
        <v>39</v>
      </c>
      <c r="W4" s="58">
        <v>46254.49574445602</v>
      </c>
      <c r="X4" s="59" t="s">
        <v>104</v>
      </c>
      <c r="Y4" s="59" t="b">
        <v>0</v>
      </c>
      <c r="Z4" s="59" t="b">
        <v>0</v>
      </c>
      <c r="AA4" s="59">
        <v>1</v>
      </c>
      <c r="AB4" s="59" t="s">
        <v>236</v>
      </c>
      <c r="AC4" s="53" t="s">
        <v>236</v>
      </c>
      <c r="AD4" s="54">
        <v>46248</v>
      </c>
      <c r="AE4" s="59" t="s">
        <v>105</v>
      </c>
      <c r="AF4" s="53" t="s">
        <v>106</v>
      </c>
      <c r="AG4" s="53" t="s">
        <v>42</v>
      </c>
      <c r="AH4" s="53">
        <v>52</v>
      </c>
      <c r="AI4" s="53" t="s">
        <v>100</v>
      </c>
      <c r="AJ4" s="53" t="s">
        <v>110</v>
      </c>
      <c r="AK4" s="53" t="s">
        <v>43</v>
      </c>
      <c r="AL4" s="53" t="s">
        <v>43</v>
      </c>
      <c r="AM4" s="53" t="s">
        <v>39</v>
      </c>
      <c r="AN4" s="53" t="s">
        <v>101</v>
      </c>
      <c r="AO4" s="53" t="s">
        <v>43</v>
      </c>
      <c r="AP4" s="53" t="s">
        <v>39</v>
      </c>
      <c r="AQ4" s="53" t="s">
        <v>43</v>
      </c>
      <c r="AR4" s="53" t="s">
        <v>43</v>
      </c>
      <c r="AS4" s="53" t="s">
        <v>237</v>
      </c>
      <c r="AT4" s="53" t="s">
        <v>238</v>
      </c>
      <c r="AU4" s="53" t="s">
        <v>107</v>
      </c>
      <c r="AV4" s="55">
        <v>46254.370694444442</v>
      </c>
      <c r="AW4" s="23"/>
    </row>
    <row r="5" spans="1:49" x14ac:dyDescent="0.25">
      <c r="A5" s="51">
        <v>844927787</v>
      </c>
      <c r="B5" s="57">
        <v>46254</v>
      </c>
      <c r="C5" s="58">
        <v>46254.462656493059</v>
      </c>
      <c r="D5" s="58">
        <v>46254.46425474537</v>
      </c>
      <c r="E5" s="59" t="s">
        <v>239</v>
      </c>
      <c r="F5" s="59" t="s">
        <v>47</v>
      </c>
      <c r="G5" s="59" t="s">
        <v>45</v>
      </c>
      <c r="H5" s="59" t="s">
        <v>240</v>
      </c>
      <c r="I5" s="59"/>
      <c r="J5" s="59" t="s">
        <v>42</v>
      </c>
      <c r="K5" s="59">
        <v>44</v>
      </c>
      <c r="L5" s="59" t="s">
        <v>108</v>
      </c>
      <c r="M5" s="59" t="s">
        <v>241</v>
      </c>
      <c r="N5" s="59" t="s">
        <v>102</v>
      </c>
      <c r="O5" s="59" t="s">
        <v>109</v>
      </c>
      <c r="P5" s="59" t="s">
        <v>39</v>
      </c>
      <c r="Q5" s="59" t="s">
        <v>39</v>
      </c>
      <c r="R5" s="59" t="s">
        <v>242</v>
      </c>
      <c r="S5" s="59" t="s">
        <v>101</v>
      </c>
      <c r="T5" s="59" t="s">
        <v>109</v>
      </c>
      <c r="U5" s="59" t="s">
        <v>43</v>
      </c>
      <c r="V5" s="59" t="s">
        <v>39</v>
      </c>
      <c r="W5" s="58">
        <v>46254.506744444443</v>
      </c>
      <c r="X5" s="59" t="s">
        <v>104</v>
      </c>
      <c r="Y5" s="59" t="b">
        <v>0</v>
      </c>
      <c r="Z5" s="59" t="b">
        <v>0</v>
      </c>
      <c r="AA5" s="59">
        <v>3</v>
      </c>
      <c r="AB5" s="59" t="s">
        <v>236</v>
      </c>
      <c r="AC5" s="53" t="s">
        <v>236</v>
      </c>
      <c r="AD5" s="54">
        <v>46254</v>
      </c>
      <c r="AE5" s="59" t="s">
        <v>105</v>
      </c>
      <c r="AF5" s="53" t="s">
        <v>243</v>
      </c>
      <c r="AG5" s="53" t="s">
        <v>42</v>
      </c>
      <c r="AH5" s="53">
        <v>44</v>
      </c>
      <c r="AI5" s="53" t="s">
        <v>241</v>
      </c>
      <c r="AJ5" s="53" t="s">
        <v>244</v>
      </c>
      <c r="AK5" s="53" t="s">
        <v>43</v>
      </c>
      <c r="AL5" s="53" t="s">
        <v>39</v>
      </c>
      <c r="AM5" s="53" t="s">
        <v>43</v>
      </c>
      <c r="AN5" s="53" t="s">
        <v>109</v>
      </c>
      <c r="AO5" s="53" t="s">
        <v>39</v>
      </c>
      <c r="AP5" s="53" t="s">
        <v>43</v>
      </c>
      <c r="AQ5" s="53" t="s">
        <v>39</v>
      </c>
      <c r="AR5" s="53" t="s">
        <v>43</v>
      </c>
      <c r="AS5" s="53" t="s">
        <v>242</v>
      </c>
      <c r="AT5" s="53" t="s">
        <v>242</v>
      </c>
      <c r="AU5" s="53" t="s">
        <v>107</v>
      </c>
      <c r="AV5" s="55">
        <v>46254.381157407406</v>
      </c>
    </row>
    <row r="6" spans="1:49" x14ac:dyDescent="0.25">
      <c r="B6" s="23"/>
      <c r="C6" s="23"/>
      <c r="D6" s="23"/>
      <c r="E6" s="23"/>
      <c r="F6" s="23"/>
      <c r="G6" s="23"/>
      <c r="H6" s="23"/>
      <c r="I6" s="23"/>
      <c r="J6" s="23"/>
      <c r="M6" s="23"/>
      <c r="O6" s="23"/>
      <c r="P6" s="23"/>
      <c r="Q6" s="23"/>
      <c r="R6" s="23"/>
      <c r="T6" s="23"/>
      <c r="U6" s="23"/>
      <c r="V6" s="23"/>
      <c r="W6" s="23"/>
      <c r="X6" s="23"/>
      <c r="Y6" s="23"/>
      <c r="Z6" s="24"/>
      <c r="AA6" s="24"/>
      <c r="AB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</row>
    <row r="7" spans="1:49" x14ac:dyDescent="0.25">
      <c r="B7" s="23"/>
      <c r="C7" s="23"/>
      <c r="D7" s="23"/>
      <c r="E7" s="23"/>
      <c r="F7" s="23"/>
      <c r="G7" s="23"/>
      <c r="H7" s="23"/>
      <c r="I7" s="23"/>
      <c r="J7" s="23"/>
      <c r="M7" s="23"/>
      <c r="O7" s="23"/>
      <c r="P7" s="23"/>
      <c r="Q7" s="23"/>
      <c r="R7" s="23"/>
      <c r="T7" s="23"/>
      <c r="U7" s="23"/>
      <c r="V7" s="23"/>
      <c r="W7" s="23"/>
      <c r="X7" s="23"/>
      <c r="Y7" s="23"/>
      <c r="Z7" s="24"/>
      <c r="AA7" s="24"/>
      <c r="AB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00"/>
  <sheetViews>
    <sheetView showGridLines="0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33" width="13" style="12" customWidth="1"/>
  </cols>
  <sheetData>
    <row r="1" spans="1:33" ht="27.75" customHeight="1" x14ac:dyDescent="0.25">
      <c r="A1" s="22" t="s">
        <v>52</v>
      </c>
      <c r="B1" s="22" t="s">
        <v>111</v>
      </c>
      <c r="C1" s="22" t="s">
        <v>57</v>
      </c>
      <c r="D1" s="22" t="s">
        <v>58</v>
      </c>
      <c r="E1" s="22" t="s">
        <v>59</v>
      </c>
      <c r="F1" s="22" t="s">
        <v>60</v>
      </c>
      <c r="G1" s="22" t="s">
        <v>61</v>
      </c>
      <c r="H1" s="22" t="s">
        <v>62</v>
      </c>
      <c r="I1" s="22" t="s">
        <v>112</v>
      </c>
      <c r="J1" s="22" t="s">
        <v>63</v>
      </c>
      <c r="K1" s="22" t="s">
        <v>64</v>
      </c>
      <c r="L1" s="22" t="s">
        <v>113</v>
      </c>
      <c r="M1" s="22" t="s">
        <v>114</v>
      </c>
      <c r="N1" s="22" t="s">
        <v>115</v>
      </c>
      <c r="O1" s="22" t="s">
        <v>78</v>
      </c>
      <c r="P1" s="22" t="s">
        <v>116</v>
      </c>
      <c r="Q1" s="22" t="s">
        <v>117</v>
      </c>
      <c r="R1" s="22" t="s">
        <v>118</v>
      </c>
      <c r="S1" s="22" t="s">
        <v>119</v>
      </c>
      <c r="T1" s="22" t="s">
        <v>120</v>
      </c>
      <c r="U1" s="22" t="s">
        <v>121</v>
      </c>
      <c r="V1" s="22" t="s">
        <v>122</v>
      </c>
      <c r="W1" s="22" t="s">
        <v>123</v>
      </c>
      <c r="X1" s="22" t="s">
        <v>124</v>
      </c>
      <c r="Y1" s="22" t="s">
        <v>125</v>
      </c>
      <c r="Z1" s="22" t="s">
        <v>126</v>
      </c>
      <c r="AA1" s="22" t="s">
        <v>127</v>
      </c>
      <c r="AB1" s="22" t="s">
        <v>128</v>
      </c>
      <c r="AC1" s="22" t="s">
        <v>82</v>
      </c>
      <c r="AD1" s="22" t="s">
        <v>129</v>
      </c>
      <c r="AE1" s="22" t="s">
        <v>130</v>
      </c>
      <c r="AF1" s="22" t="s">
        <v>131</v>
      </c>
      <c r="AG1" s="22" t="s">
        <v>132</v>
      </c>
    </row>
    <row r="2" spans="1:33" ht="15" customHeight="1" x14ac:dyDescent="0.25">
      <c r="A2" s="12">
        <f>IF(Raw_Data!B5="","",Raw_Data!B5)</f>
        <v>46254</v>
      </c>
      <c r="B2" s="12" t="str">
        <f>IF(Raw_Data!X5&lt;&gt;"",Raw_Data!X5,Raw_Data!C5)</f>
        <v>[]</v>
      </c>
      <c r="C2" s="12" t="str">
        <f>IF(Raw_Data!G5="","",Raw_Data!G5)</f>
        <v>sante</v>
      </c>
      <c r="D2" s="12" t="str">
        <f>IF(Raw_Data!H5="","",Raw_Data!H5)</f>
        <v>tena kidy</v>
      </c>
      <c r="E2" s="12" t="str">
        <f>IF(Raw_Data!I5="","",Raw_Data!I5)</f>
        <v/>
      </c>
      <c r="F2" s="12" t="str">
        <f>IF(Raw_Data!J5="","",Raw_Data!J5)</f>
        <v>feminin</v>
      </c>
      <c r="G2" s="12">
        <f>IF(Raw_Data!AH5&lt;&gt;"",Raw_Data!AH5,IF(Raw_Data!K5&lt;&gt;"",Raw_Data!K5,""))</f>
        <v>44</v>
      </c>
      <c r="H2" s="12" t="str">
        <f>IF(Raw_Data!AI5&lt;&gt;"",Raw_Data!AI5,IF(Raw_Data!L5&lt;&gt;"",Raw_Data!L5,""))</f>
        <v>femme_enceinte_allaitante menage_monoparental</v>
      </c>
      <c r="I2" s="12" t="str">
        <f t="shared" ref="I2:I65" si="0">IF(H2="","",IF(H2&lt;18,"&lt;18 ans",IF(H2&lt;60,"18-59 ans","60 ans et +")))</f>
        <v>60 ans et +</v>
      </c>
      <c r="J2" s="12" t="str">
        <f>IF(Raw_Data!M5="","",Raw_Data!M5)</f>
        <v>femme_enceinte_allaitante menage_monoparental</v>
      </c>
      <c r="K2" s="12" t="str">
        <f>IF(Raw_Data!AJ5&lt;&gt;"",Raw_Data!AJ5,Raw_Data!N5)</f>
        <v>kit_abri</v>
      </c>
      <c r="L2" s="12">
        <f t="shared" ref="L2:L65" si="1">IF(K2="",0,1)</f>
        <v>1</v>
      </c>
      <c r="M2" s="12" t="str">
        <f>IF(Raw_Data!AK5="","",Raw_Data!AK5)</f>
        <v>non</v>
      </c>
      <c r="N2" s="12" t="str">
        <f>IF(Raw_Data!T5="","",Raw_Data!T5)</f>
        <v>satisfait</v>
      </c>
      <c r="O2" s="12">
        <f>IF(Raw_Data!AB5&lt;&gt;"",Raw_Data!AB5,IF(N2="tres_insatisfait",1,IF(N2="insatisfait",2,IF(N2="neutre",3,IF(N2="satisfait",4,IF(N2="tres_satisfait",5,""))))))</f>
        <v>4</v>
      </c>
      <c r="P2" s="12" t="str">
        <f>IF(Raw_Data!AL5&lt;&gt;"",Raw_Data!AL5,Raw_Data!R5)</f>
        <v>oui</v>
      </c>
      <c r="Q2" s="12">
        <f t="shared" ref="Q2:Q65" si="2">IF(P2="","",IF(P2="oui",1,0))</f>
        <v>1</v>
      </c>
      <c r="R2" s="12" t="str">
        <f>IF(Raw_Data!AM5="","",Raw_Data!AM5)</f>
        <v>non</v>
      </c>
      <c r="S2" s="12">
        <f t="shared" ref="S2:S65" si="3">IF(R2="","",IF(R2="oui",1,0))</f>
        <v>0</v>
      </c>
      <c r="T2" s="12" t="str">
        <f>IF(Raw_Data!AN5="","",Raw_Data!AN5)</f>
        <v>satisfait</v>
      </c>
      <c r="U2" s="12">
        <f t="shared" ref="U2:U65" si="4">IF(T2="","",IF(T2="oui",1,0))</f>
        <v>0</v>
      </c>
      <c r="V2" s="12">
        <f>IF(Raw_Data!AP5="","",IF(Raw_Data!AP5="oui",1,0))</f>
        <v>0</v>
      </c>
      <c r="W2" s="12">
        <f>IF(Raw_Data!AQ5="","",IF(Raw_Data!AQ5="oui",1,0))</f>
        <v>1</v>
      </c>
      <c r="X2" s="12">
        <f>IF(Raw_Data!AR5="","",IF(Raw_Data!AR5="oui",1,0))</f>
        <v>0</v>
      </c>
      <c r="Y2" s="12">
        <f>IF(Raw_Data!AS5="","",IF(Raw_Data!AS5="oui",1,0))</f>
        <v>0</v>
      </c>
      <c r="Z2" s="12">
        <f>IF(Raw_Data!V5="","",IF(Raw_Data!V5="oui",1,0))</f>
        <v>1</v>
      </c>
      <c r="AA2" s="12">
        <f>IF(Raw_Data!W5="","",IF(Raw_Data!W5="oui",1,0))</f>
        <v>0</v>
      </c>
      <c r="AB2" s="12">
        <f>IF(Raw_Data!Q5="","",IF(Raw_Data!Q5="oui",1,0))</f>
        <v>1</v>
      </c>
      <c r="AC2" s="12" t="str">
        <f>Raw_Data!AF5</f>
        <v>collect:9AAIFDC3ZZP7ATGn</v>
      </c>
      <c r="AD2" s="12" t="str">
        <f t="shared" ref="AD2:AD65" si="5">IF(A2="","",F2&amp;"|"&amp;E2&amp;"|"&amp;TEXT(B2,"YYYY-MM-DD"))</f>
        <v>feminin||[]</v>
      </c>
      <c r="AE2" s="12">
        <f t="shared" ref="AE2:AE65" si="6">IF(AD2="","",IF(COUNTIF($AD$2:$AD$1000,AD2)&gt;1,1,0))</f>
        <v>0</v>
      </c>
      <c r="AF2" s="12">
        <f t="shared" ref="AF2:AF65" si="7">IF(A2="","",IF(OR(C2="",D2="",G2="",H2="",N2=""),1,0))</f>
        <v>0</v>
      </c>
      <c r="AG2" s="12">
        <f t="shared" ref="AG2:AG65" si="8">IF(A2="",0,1)</f>
        <v>1</v>
      </c>
    </row>
    <row r="3" spans="1:33" ht="15" customHeight="1" x14ac:dyDescent="0.25">
      <c r="A3" s="12" t="str">
        <f>IF(Raw_Data!B6="","",Raw_Data!B6)</f>
        <v/>
      </c>
      <c r="B3" s="12">
        <f>IF(Raw_Data!X6&lt;&gt;"",Raw_Data!X6,Raw_Data!C6)</f>
        <v>0</v>
      </c>
      <c r="C3" s="12" t="str">
        <f>IF(Raw_Data!G6="","",Raw_Data!G6)</f>
        <v/>
      </c>
      <c r="D3" s="12" t="str">
        <f>IF(Raw_Data!H6="","",Raw_Data!H6)</f>
        <v/>
      </c>
      <c r="E3" s="12" t="str">
        <f>IF(Raw_Data!I6="","",Raw_Data!I6)</f>
        <v/>
      </c>
      <c r="F3" s="12" t="str">
        <f>IF(Raw_Data!J6="","",Raw_Data!J6)</f>
        <v/>
      </c>
      <c r="G3" s="12" t="str">
        <f>IF(Raw_Data!AH6&lt;&gt;"",Raw_Data!AH6,IF(Raw_Data!K6&lt;&gt;"",Raw_Data!K6,""))</f>
        <v/>
      </c>
      <c r="H3" s="12" t="str">
        <f>IF(Raw_Data!AI6&lt;&gt;"",Raw_Data!AI6,IF(Raw_Data!L6&lt;&gt;"",Raw_Data!L6,""))</f>
        <v/>
      </c>
      <c r="I3" s="12" t="str">
        <f t="shared" si="0"/>
        <v/>
      </c>
      <c r="J3" s="12" t="str">
        <f>IF(Raw_Data!M6="","",Raw_Data!M6)</f>
        <v/>
      </c>
      <c r="K3" s="12">
        <f>IF(Raw_Data!AJ6&lt;&gt;"",Raw_Data!AJ6,Raw_Data!N6)</f>
        <v>0</v>
      </c>
      <c r="L3" s="12">
        <f t="shared" si="1"/>
        <v>1</v>
      </c>
      <c r="M3" s="12" t="str">
        <f>IF(Raw_Data!AK6="","",Raw_Data!AK6)</f>
        <v/>
      </c>
      <c r="N3" s="12" t="str">
        <f>IF(Raw_Data!T6="","",Raw_Data!T6)</f>
        <v/>
      </c>
      <c r="O3" s="12" t="str">
        <f>IF(Raw_Data!AB6&lt;&gt;"",Raw_Data!AB6,IF(N3="tres_insatisfait",1,IF(N3="insatisfait",2,IF(N3="neutre",3,IF(N3="satisfait",4,IF(N3="tres_satisfait",5,""))))))</f>
        <v/>
      </c>
      <c r="P3" s="12">
        <f>IF(Raw_Data!AL6&lt;&gt;"",Raw_Data!AL6,Raw_Data!R6)</f>
        <v>0</v>
      </c>
      <c r="Q3" s="12">
        <f t="shared" si="2"/>
        <v>0</v>
      </c>
      <c r="R3" s="12" t="str">
        <f>IF(Raw_Data!AM6="","",Raw_Data!AM6)</f>
        <v/>
      </c>
      <c r="S3" s="12" t="str">
        <f t="shared" si="3"/>
        <v/>
      </c>
      <c r="T3" s="12" t="str">
        <f>IF(Raw_Data!AN6="","",Raw_Data!AN6)</f>
        <v/>
      </c>
      <c r="U3" s="12" t="str">
        <f t="shared" si="4"/>
        <v/>
      </c>
      <c r="V3" s="12" t="str">
        <f>IF(Raw_Data!AP6="","",IF(Raw_Data!AP6="oui",1,0))</f>
        <v/>
      </c>
      <c r="W3" s="12" t="str">
        <f>IF(Raw_Data!AQ6="","",IF(Raw_Data!AQ6="oui",1,0))</f>
        <v/>
      </c>
      <c r="X3" s="12" t="str">
        <f>IF(Raw_Data!AR6="","",IF(Raw_Data!AR6="oui",1,0))</f>
        <v/>
      </c>
      <c r="Y3" s="12" t="str">
        <f>IF(Raw_Data!AS6="","",IF(Raw_Data!AS6="oui",1,0))</f>
        <v/>
      </c>
      <c r="Z3" s="12" t="str">
        <f>IF(Raw_Data!V6="","",IF(Raw_Data!V6="oui",1,0))</f>
        <v/>
      </c>
      <c r="AA3" s="12" t="str">
        <f>IF(Raw_Data!W6="","",IF(Raw_Data!W6="oui",1,0))</f>
        <v/>
      </c>
      <c r="AB3" s="12" t="str">
        <f>IF(Raw_Data!Q6="","",IF(Raw_Data!Q6="oui",1,0))</f>
        <v/>
      </c>
      <c r="AC3" s="12">
        <f>Raw_Data!AF6</f>
        <v>0</v>
      </c>
      <c r="AD3" s="12" t="str">
        <f t="shared" si="5"/>
        <v/>
      </c>
      <c r="AE3" s="12" t="str">
        <f t="shared" si="6"/>
        <v/>
      </c>
      <c r="AF3" s="12" t="str">
        <f t="shared" si="7"/>
        <v/>
      </c>
      <c r="AG3" s="12">
        <f t="shared" si="8"/>
        <v>0</v>
      </c>
    </row>
    <row r="4" spans="1:33" ht="15" customHeight="1" x14ac:dyDescent="0.25">
      <c r="A4" s="12" t="str">
        <f>IF(Raw_Data!B7="","",Raw_Data!B7)</f>
        <v/>
      </c>
      <c r="B4" s="12">
        <f>IF(Raw_Data!X7&lt;&gt;"",Raw_Data!X7,Raw_Data!C7)</f>
        <v>0</v>
      </c>
      <c r="C4" s="12" t="str">
        <f>IF(Raw_Data!G7="","",Raw_Data!G7)</f>
        <v/>
      </c>
      <c r="D4" s="12" t="str">
        <f>IF(Raw_Data!H7="","",Raw_Data!H7)</f>
        <v/>
      </c>
      <c r="E4" s="12" t="str">
        <f>IF(Raw_Data!I7="","",Raw_Data!I7)</f>
        <v/>
      </c>
      <c r="F4" s="12" t="str">
        <f>IF(Raw_Data!J7="","",Raw_Data!J7)</f>
        <v/>
      </c>
      <c r="G4" s="12" t="str">
        <f>IF(Raw_Data!AH7&lt;&gt;"",Raw_Data!AH7,IF(Raw_Data!K7&lt;&gt;"",Raw_Data!K7,""))</f>
        <v/>
      </c>
      <c r="H4" s="12" t="str">
        <f>IF(Raw_Data!AI7&lt;&gt;"",Raw_Data!AI7,IF(Raw_Data!L7&lt;&gt;"",Raw_Data!L7,""))</f>
        <v/>
      </c>
      <c r="I4" s="12" t="str">
        <f t="shared" si="0"/>
        <v/>
      </c>
      <c r="J4" s="12" t="str">
        <f>IF(Raw_Data!M7="","",Raw_Data!M7)</f>
        <v/>
      </c>
      <c r="K4" s="12">
        <f>IF(Raw_Data!AJ7&lt;&gt;"",Raw_Data!AJ7,Raw_Data!N7)</f>
        <v>0</v>
      </c>
      <c r="L4" s="12">
        <f t="shared" si="1"/>
        <v>1</v>
      </c>
      <c r="M4" s="12" t="str">
        <f>IF(Raw_Data!AK7="","",Raw_Data!AK7)</f>
        <v/>
      </c>
      <c r="N4" s="12" t="str">
        <f>IF(Raw_Data!T7="","",Raw_Data!T7)</f>
        <v/>
      </c>
      <c r="O4" s="12" t="str">
        <f>IF(Raw_Data!AB7&lt;&gt;"",Raw_Data!AB7,IF(N4="tres_insatisfait",1,IF(N4="insatisfait",2,IF(N4="neutre",3,IF(N4="satisfait",4,IF(N4="tres_satisfait",5,""))))))</f>
        <v/>
      </c>
      <c r="P4" s="12">
        <f>IF(Raw_Data!AL7&lt;&gt;"",Raw_Data!AL7,Raw_Data!R7)</f>
        <v>0</v>
      </c>
      <c r="Q4" s="12">
        <f t="shared" si="2"/>
        <v>0</v>
      </c>
      <c r="R4" s="12" t="str">
        <f>IF(Raw_Data!AM7="","",Raw_Data!AM7)</f>
        <v/>
      </c>
      <c r="S4" s="12" t="str">
        <f t="shared" si="3"/>
        <v/>
      </c>
      <c r="T4" s="12" t="str">
        <f>IF(Raw_Data!AN7="","",Raw_Data!AN7)</f>
        <v/>
      </c>
      <c r="U4" s="12" t="str">
        <f t="shared" si="4"/>
        <v/>
      </c>
      <c r="V4" s="12" t="str">
        <f>IF(Raw_Data!AP7="","",IF(Raw_Data!AP7="oui",1,0))</f>
        <v/>
      </c>
      <c r="W4" s="12" t="str">
        <f>IF(Raw_Data!AQ7="","",IF(Raw_Data!AQ7="oui",1,0))</f>
        <v/>
      </c>
      <c r="X4" s="12" t="str">
        <f>IF(Raw_Data!AR7="","",IF(Raw_Data!AR7="oui",1,0))</f>
        <v/>
      </c>
      <c r="Y4" s="12" t="str">
        <f>IF(Raw_Data!AS7="","",IF(Raw_Data!AS7="oui",1,0))</f>
        <v/>
      </c>
      <c r="Z4" s="12" t="str">
        <f>IF(Raw_Data!V7="","",IF(Raw_Data!V7="oui",1,0))</f>
        <v/>
      </c>
      <c r="AA4" s="12" t="str">
        <f>IF(Raw_Data!W7="","",IF(Raw_Data!W7="oui",1,0))</f>
        <v/>
      </c>
      <c r="AB4" s="12" t="str">
        <f>IF(Raw_Data!Q7="","",IF(Raw_Data!Q7="oui",1,0))</f>
        <v/>
      </c>
      <c r="AC4" s="12">
        <f>Raw_Data!AF7</f>
        <v>0</v>
      </c>
      <c r="AD4" s="12" t="str">
        <f t="shared" si="5"/>
        <v/>
      </c>
      <c r="AE4" s="12" t="str">
        <f t="shared" si="6"/>
        <v/>
      </c>
      <c r="AF4" s="12" t="str">
        <f t="shared" si="7"/>
        <v/>
      </c>
      <c r="AG4" s="12">
        <f t="shared" si="8"/>
        <v>0</v>
      </c>
    </row>
    <row r="5" spans="1:33" ht="15" customHeight="1" x14ac:dyDescent="0.25">
      <c r="A5" s="12" t="str">
        <f>IF(Raw_Data!B8="","",Raw_Data!B8)</f>
        <v/>
      </c>
      <c r="B5" s="12">
        <f>IF(Raw_Data!X8&lt;&gt;"",Raw_Data!X8,Raw_Data!C8)</f>
        <v>0</v>
      </c>
      <c r="C5" s="12" t="str">
        <f>IF(Raw_Data!G8="","",Raw_Data!G8)</f>
        <v/>
      </c>
      <c r="D5" s="12" t="str">
        <f>IF(Raw_Data!H8="","",Raw_Data!H8)</f>
        <v/>
      </c>
      <c r="E5" s="12" t="str">
        <f>IF(Raw_Data!I8="","",Raw_Data!I8)</f>
        <v/>
      </c>
      <c r="F5" s="12" t="str">
        <f>IF(Raw_Data!J8="","",Raw_Data!J8)</f>
        <v/>
      </c>
      <c r="G5" s="12" t="str">
        <f>IF(Raw_Data!AH8&lt;&gt;"",Raw_Data!AH8,IF(Raw_Data!K8&lt;&gt;"",Raw_Data!K8,""))</f>
        <v/>
      </c>
      <c r="H5" s="12" t="str">
        <f>IF(Raw_Data!AI8&lt;&gt;"",Raw_Data!AI8,IF(Raw_Data!L8&lt;&gt;"",Raw_Data!L8,""))</f>
        <v/>
      </c>
      <c r="I5" s="12" t="str">
        <f t="shared" si="0"/>
        <v/>
      </c>
      <c r="J5" s="12" t="str">
        <f>IF(Raw_Data!M8="","",Raw_Data!M8)</f>
        <v/>
      </c>
      <c r="K5" s="12">
        <f>IF(Raw_Data!AJ8&lt;&gt;"",Raw_Data!AJ8,Raw_Data!N8)</f>
        <v>0</v>
      </c>
      <c r="L5" s="12">
        <f t="shared" si="1"/>
        <v>1</v>
      </c>
      <c r="M5" s="12" t="str">
        <f>IF(Raw_Data!AK8="","",Raw_Data!AK8)</f>
        <v/>
      </c>
      <c r="N5" s="12" t="str">
        <f>IF(Raw_Data!T8="","",Raw_Data!T8)</f>
        <v/>
      </c>
      <c r="O5" s="12" t="str">
        <f>IF(Raw_Data!AB8&lt;&gt;"",Raw_Data!AB8,IF(N5="tres_insatisfait",1,IF(N5="insatisfait",2,IF(N5="neutre",3,IF(N5="satisfait",4,IF(N5="tres_satisfait",5,""))))))</f>
        <v/>
      </c>
      <c r="P5" s="12">
        <f>IF(Raw_Data!AL8&lt;&gt;"",Raw_Data!AL8,Raw_Data!R8)</f>
        <v>0</v>
      </c>
      <c r="Q5" s="12">
        <f t="shared" si="2"/>
        <v>0</v>
      </c>
      <c r="R5" s="12" t="str">
        <f>IF(Raw_Data!AM8="","",Raw_Data!AM8)</f>
        <v/>
      </c>
      <c r="S5" s="12" t="str">
        <f t="shared" si="3"/>
        <v/>
      </c>
      <c r="T5" s="12" t="str">
        <f>IF(Raw_Data!AN8="","",Raw_Data!AN8)</f>
        <v/>
      </c>
      <c r="U5" s="12" t="str">
        <f t="shared" si="4"/>
        <v/>
      </c>
      <c r="V5" s="12" t="str">
        <f>IF(Raw_Data!AP8="","",IF(Raw_Data!AP8="oui",1,0))</f>
        <v/>
      </c>
      <c r="W5" s="12" t="str">
        <f>IF(Raw_Data!AQ8="","",IF(Raw_Data!AQ8="oui",1,0))</f>
        <v/>
      </c>
      <c r="X5" s="12" t="str">
        <f>IF(Raw_Data!AR8="","",IF(Raw_Data!AR8="oui",1,0))</f>
        <v/>
      </c>
      <c r="Y5" s="12" t="str">
        <f>IF(Raw_Data!AS8="","",IF(Raw_Data!AS8="oui",1,0))</f>
        <v/>
      </c>
      <c r="Z5" s="12" t="str">
        <f>IF(Raw_Data!V8="","",IF(Raw_Data!V8="oui",1,0))</f>
        <v/>
      </c>
      <c r="AA5" s="12" t="str">
        <f>IF(Raw_Data!W8="","",IF(Raw_Data!W8="oui",1,0))</f>
        <v/>
      </c>
      <c r="AB5" s="12" t="str">
        <f>IF(Raw_Data!Q8="","",IF(Raw_Data!Q8="oui",1,0))</f>
        <v/>
      </c>
      <c r="AC5" s="12">
        <f>Raw_Data!AF8</f>
        <v>0</v>
      </c>
      <c r="AD5" s="12" t="str">
        <f t="shared" si="5"/>
        <v/>
      </c>
      <c r="AE5" s="12" t="str">
        <f t="shared" si="6"/>
        <v/>
      </c>
      <c r="AF5" s="12" t="str">
        <f t="shared" si="7"/>
        <v/>
      </c>
      <c r="AG5" s="12">
        <f t="shared" si="8"/>
        <v>0</v>
      </c>
    </row>
    <row r="6" spans="1:33" ht="15" customHeight="1" x14ac:dyDescent="0.25">
      <c r="A6" s="12" t="str">
        <f>IF(Raw_Data!B9="","",Raw_Data!B9)</f>
        <v/>
      </c>
      <c r="B6" s="12">
        <f>IF(Raw_Data!X9&lt;&gt;"",Raw_Data!X9,Raw_Data!C9)</f>
        <v>0</v>
      </c>
      <c r="C6" s="12" t="str">
        <f>IF(Raw_Data!G9="","",Raw_Data!G9)</f>
        <v/>
      </c>
      <c r="D6" s="12" t="str">
        <f>IF(Raw_Data!H9="","",Raw_Data!H9)</f>
        <v/>
      </c>
      <c r="E6" s="12" t="str">
        <f>IF(Raw_Data!I9="","",Raw_Data!I9)</f>
        <v/>
      </c>
      <c r="F6" s="12" t="str">
        <f>IF(Raw_Data!J9="","",Raw_Data!J9)</f>
        <v/>
      </c>
      <c r="G6" s="12" t="str">
        <f>IF(Raw_Data!AH9&lt;&gt;"",Raw_Data!AH9,IF(Raw_Data!K9&lt;&gt;"",Raw_Data!K9,""))</f>
        <v/>
      </c>
      <c r="H6" s="12" t="str">
        <f>IF(Raw_Data!AI9&lt;&gt;"",Raw_Data!AI9,IF(Raw_Data!L9&lt;&gt;"",Raw_Data!L9,""))</f>
        <v/>
      </c>
      <c r="I6" s="12" t="str">
        <f t="shared" si="0"/>
        <v/>
      </c>
      <c r="J6" s="12" t="str">
        <f>IF(Raw_Data!M9="","",Raw_Data!M9)</f>
        <v/>
      </c>
      <c r="K6" s="12">
        <f>IF(Raw_Data!AJ9&lt;&gt;"",Raw_Data!AJ9,Raw_Data!N9)</f>
        <v>0</v>
      </c>
      <c r="L6" s="12">
        <f t="shared" si="1"/>
        <v>1</v>
      </c>
      <c r="M6" s="12" t="str">
        <f>IF(Raw_Data!AK9="","",Raw_Data!AK9)</f>
        <v/>
      </c>
      <c r="N6" s="12" t="str">
        <f>IF(Raw_Data!T9="","",Raw_Data!T9)</f>
        <v/>
      </c>
      <c r="O6" s="12" t="str">
        <f>IF(Raw_Data!AB9&lt;&gt;"",Raw_Data!AB9,IF(N6="tres_insatisfait",1,IF(N6="insatisfait",2,IF(N6="neutre",3,IF(N6="satisfait",4,IF(N6="tres_satisfait",5,""))))))</f>
        <v/>
      </c>
      <c r="P6" s="12">
        <f>IF(Raw_Data!AL9&lt;&gt;"",Raw_Data!AL9,Raw_Data!R9)</f>
        <v>0</v>
      </c>
      <c r="Q6" s="12">
        <f t="shared" si="2"/>
        <v>0</v>
      </c>
      <c r="R6" s="12" t="str">
        <f>IF(Raw_Data!AM9="","",Raw_Data!AM9)</f>
        <v/>
      </c>
      <c r="S6" s="12" t="str">
        <f t="shared" si="3"/>
        <v/>
      </c>
      <c r="T6" s="12" t="str">
        <f>IF(Raw_Data!AN9="","",Raw_Data!AN9)</f>
        <v/>
      </c>
      <c r="U6" s="12" t="str">
        <f t="shared" si="4"/>
        <v/>
      </c>
      <c r="V6" s="12" t="str">
        <f>IF(Raw_Data!AP9="","",IF(Raw_Data!AP9="oui",1,0))</f>
        <v/>
      </c>
      <c r="W6" s="12" t="str">
        <f>IF(Raw_Data!AQ9="","",IF(Raw_Data!AQ9="oui",1,0))</f>
        <v/>
      </c>
      <c r="X6" s="12" t="str">
        <f>IF(Raw_Data!AR9="","",IF(Raw_Data!AR9="oui",1,0))</f>
        <v/>
      </c>
      <c r="Y6" s="12" t="str">
        <f>IF(Raw_Data!AS9="","",IF(Raw_Data!AS9="oui",1,0))</f>
        <v/>
      </c>
      <c r="Z6" s="12" t="str">
        <f>IF(Raw_Data!V9="","",IF(Raw_Data!V9="oui",1,0))</f>
        <v/>
      </c>
      <c r="AA6" s="12" t="str">
        <f>IF(Raw_Data!W9="","",IF(Raw_Data!W9="oui",1,0))</f>
        <v/>
      </c>
      <c r="AB6" s="12" t="str">
        <f>IF(Raw_Data!Q9="","",IF(Raw_Data!Q9="oui",1,0))</f>
        <v/>
      </c>
      <c r="AC6" s="12">
        <f>Raw_Data!AF9</f>
        <v>0</v>
      </c>
      <c r="AD6" s="12" t="str">
        <f t="shared" si="5"/>
        <v/>
      </c>
      <c r="AE6" s="12" t="str">
        <f t="shared" si="6"/>
        <v/>
      </c>
      <c r="AF6" s="12" t="str">
        <f t="shared" si="7"/>
        <v/>
      </c>
      <c r="AG6" s="12">
        <f t="shared" si="8"/>
        <v>0</v>
      </c>
    </row>
    <row r="7" spans="1:33" ht="15" customHeight="1" x14ac:dyDescent="0.25">
      <c r="A7" s="12" t="str">
        <f>IF(Raw_Data!B10="","",Raw_Data!B10)</f>
        <v/>
      </c>
      <c r="B7" s="12">
        <f>IF(Raw_Data!X10&lt;&gt;"",Raw_Data!X10,Raw_Data!C10)</f>
        <v>0</v>
      </c>
      <c r="C7" s="12" t="str">
        <f>IF(Raw_Data!G10="","",Raw_Data!G10)</f>
        <v/>
      </c>
      <c r="D7" s="12" t="str">
        <f>IF(Raw_Data!H10="","",Raw_Data!H10)</f>
        <v/>
      </c>
      <c r="E7" s="12" t="str">
        <f>IF(Raw_Data!I10="","",Raw_Data!I10)</f>
        <v/>
      </c>
      <c r="F7" s="12" t="str">
        <f>IF(Raw_Data!J10="","",Raw_Data!J10)</f>
        <v/>
      </c>
      <c r="G7" s="12" t="str">
        <f>IF(Raw_Data!AH10&lt;&gt;"",Raw_Data!AH10,IF(Raw_Data!K10&lt;&gt;"",Raw_Data!K10,""))</f>
        <v/>
      </c>
      <c r="H7" s="12" t="str">
        <f>IF(Raw_Data!AI10&lt;&gt;"",Raw_Data!AI10,IF(Raw_Data!L10&lt;&gt;"",Raw_Data!L10,""))</f>
        <v/>
      </c>
      <c r="I7" s="12" t="str">
        <f t="shared" si="0"/>
        <v/>
      </c>
      <c r="J7" s="12" t="str">
        <f>IF(Raw_Data!M10="","",Raw_Data!M10)</f>
        <v/>
      </c>
      <c r="K7" s="12">
        <f>IF(Raw_Data!AJ10&lt;&gt;"",Raw_Data!AJ10,Raw_Data!N10)</f>
        <v>0</v>
      </c>
      <c r="L7" s="12">
        <f t="shared" si="1"/>
        <v>1</v>
      </c>
      <c r="M7" s="12" t="str">
        <f>IF(Raw_Data!AK10="","",Raw_Data!AK10)</f>
        <v/>
      </c>
      <c r="N7" s="12" t="str">
        <f>IF(Raw_Data!T10="","",Raw_Data!T10)</f>
        <v/>
      </c>
      <c r="O7" s="12" t="str">
        <f>IF(Raw_Data!AB10&lt;&gt;"",Raw_Data!AB10,IF(N7="tres_insatisfait",1,IF(N7="insatisfait",2,IF(N7="neutre",3,IF(N7="satisfait",4,IF(N7="tres_satisfait",5,""))))))</f>
        <v/>
      </c>
      <c r="P7" s="12">
        <f>IF(Raw_Data!AL10&lt;&gt;"",Raw_Data!AL10,Raw_Data!R10)</f>
        <v>0</v>
      </c>
      <c r="Q7" s="12">
        <f t="shared" si="2"/>
        <v>0</v>
      </c>
      <c r="R7" s="12" t="str">
        <f>IF(Raw_Data!AM10="","",Raw_Data!AM10)</f>
        <v/>
      </c>
      <c r="S7" s="12" t="str">
        <f t="shared" si="3"/>
        <v/>
      </c>
      <c r="T7" s="12" t="str">
        <f>IF(Raw_Data!AN10="","",Raw_Data!AN10)</f>
        <v/>
      </c>
      <c r="U7" s="12" t="str">
        <f t="shared" si="4"/>
        <v/>
      </c>
      <c r="V7" s="12" t="str">
        <f>IF(Raw_Data!AP10="","",IF(Raw_Data!AP10="oui",1,0))</f>
        <v/>
      </c>
      <c r="W7" s="12" t="str">
        <f>IF(Raw_Data!AQ10="","",IF(Raw_Data!AQ10="oui",1,0))</f>
        <v/>
      </c>
      <c r="X7" s="12" t="str">
        <f>IF(Raw_Data!AR10="","",IF(Raw_Data!AR10="oui",1,0))</f>
        <v/>
      </c>
      <c r="Y7" s="12" t="str">
        <f>IF(Raw_Data!AS10="","",IF(Raw_Data!AS10="oui",1,0))</f>
        <v/>
      </c>
      <c r="Z7" s="12" t="str">
        <f>IF(Raw_Data!V10="","",IF(Raw_Data!V10="oui",1,0))</f>
        <v/>
      </c>
      <c r="AA7" s="12" t="str">
        <f>IF(Raw_Data!W10="","",IF(Raw_Data!W10="oui",1,0))</f>
        <v/>
      </c>
      <c r="AB7" s="12" t="str">
        <f>IF(Raw_Data!Q10="","",IF(Raw_Data!Q10="oui",1,0))</f>
        <v/>
      </c>
      <c r="AC7" s="12">
        <f>Raw_Data!AF10</f>
        <v>0</v>
      </c>
      <c r="AD7" s="12" t="str">
        <f t="shared" si="5"/>
        <v/>
      </c>
      <c r="AE7" s="12" t="str">
        <f t="shared" si="6"/>
        <v/>
      </c>
      <c r="AF7" s="12" t="str">
        <f t="shared" si="7"/>
        <v/>
      </c>
      <c r="AG7" s="12">
        <f t="shared" si="8"/>
        <v>0</v>
      </c>
    </row>
    <row r="8" spans="1:33" ht="15" customHeight="1" x14ac:dyDescent="0.25">
      <c r="A8" s="12" t="str">
        <f>IF(Raw_Data!B11="","",Raw_Data!B11)</f>
        <v/>
      </c>
      <c r="B8" s="12">
        <f>IF(Raw_Data!X11&lt;&gt;"",Raw_Data!X11,Raw_Data!C11)</f>
        <v>0</v>
      </c>
      <c r="C8" s="12" t="str">
        <f>IF(Raw_Data!G11="","",Raw_Data!G11)</f>
        <v/>
      </c>
      <c r="D8" s="12" t="str">
        <f>IF(Raw_Data!H11="","",Raw_Data!H11)</f>
        <v/>
      </c>
      <c r="E8" s="12" t="str">
        <f>IF(Raw_Data!I11="","",Raw_Data!I11)</f>
        <v/>
      </c>
      <c r="F8" s="12" t="str">
        <f>IF(Raw_Data!J11="","",Raw_Data!J11)</f>
        <v/>
      </c>
      <c r="G8" s="12" t="str">
        <f>IF(Raw_Data!AH11&lt;&gt;"",Raw_Data!AH11,IF(Raw_Data!K11&lt;&gt;"",Raw_Data!K11,""))</f>
        <v/>
      </c>
      <c r="H8" s="12" t="str">
        <f>IF(Raw_Data!AI11&lt;&gt;"",Raw_Data!AI11,IF(Raw_Data!L11&lt;&gt;"",Raw_Data!L11,""))</f>
        <v/>
      </c>
      <c r="I8" s="12" t="str">
        <f t="shared" si="0"/>
        <v/>
      </c>
      <c r="J8" s="12" t="str">
        <f>IF(Raw_Data!M11="","",Raw_Data!M11)</f>
        <v/>
      </c>
      <c r="K8" s="12">
        <f>IF(Raw_Data!AJ11&lt;&gt;"",Raw_Data!AJ11,Raw_Data!N11)</f>
        <v>0</v>
      </c>
      <c r="L8" s="12">
        <f t="shared" si="1"/>
        <v>1</v>
      </c>
      <c r="M8" s="12" t="str">
        <f>IF(Raw_Data!AK11="","",Raw_Data!AK11)</f>
        <v/>
      </c>
      <c r="N8" s="12" t="str">
        <f>IF(Raw_Data!T11="","",Raw_Data!T11)</f>
        <v/>
      </c>
      <c r="O8" s="12" t="str">
        <f>IF(Raw_Data!AB11&lt;&gt;"",Raw_Data!AB11,IF(N8="tres_insatisfait",1,IF(N8="insatisfait",2,IF(N8="neutre",3,IF(N8="satisfait",4,IF(N8="tres_satisfait",5,""))))))</f>
        <v/>
      </c>
      <c r="P8" s="12">
        <f>IF(Raw_Data!AL11&lt;&gt;"",Raw_Data!AL11,Raw_Data!R11)</f>
        <v>0</v>
      </c>
      <c r="Q8" s="12">
        <f t="shared" si="2"/>
        <v>0</v>
      </c>
      <c r="R8" s="12" t="str">
        <f>IF(Raw_Data!AM11="","",Raw_Data!AM11)</f>
        <v/>
      </c>
      <c r="S8" s="12" t="str">
        <f t="shared" si="3"/>
        <v/>
      </c>
      <c r="T8" s="12" t="str">
        <f>IF(Raw_Data!AN11="","",Raw_Data!AN11)</f>
        <v/>
      </c>
      <c r="U8" s="12" t="str">
        <f t="shared" si="4"/>
        <v/>
      </c>
      <c r="V8" s="12" t="str">
        <f>IF(Raw_Data!AP11="","",IF(Raw_Data!AP11="oui",1,0))</f>
        <v/>
      </c>
      <c r="W8" s="12" t="str">
        <f>IF(Raw_Data!AQ11="","",IF(Raw_Data!AQ11="oui",1,0))</f>
        <v/>
      </c>
      <c r="X8" s="12" t="str">
        <f>IF(Raw_Data!AR11="","",IF(Raw_Data!AR11="oui",1,0))</f>
        <v/>
      </c>
      <c r="Y8" s="12" t="str">
        <f>IF(Raw_Data!AS11="","",IF(Raw_Data!AS11="oui",1,0))</f>
        <v/>
      </c>
      <c r="Z8" s="12" t="str">
        <f>IF(Raw_Data!V11="","",IF(Raw_Data!V11="oui",1,0))</f>
        <v/>
      </c>
      <c r="AA8" s="12" t="str">
        <f>IF(Raw_Data!W11="","",IF(Raw_Data!W11="oui",1,0))</f>
        <v/>
      </c>
      <c r="AB8" s="12" t="str">
        <f>IF(Raw_Data!Q11="","",IF(Raw_Data!Q11="oui",1,0))</f>
        <v/>
      </c>
      <c r="AC8" s="12">
        <f>Raw_Data!AF11</f>
        <v>0</v>
      </c>
      <c r="AD8" s="12" t="str">
        <f t="shared" si="5"/>
        <v/>
      </c>
      <c r="AE8" s="12" t="str">
        <f t="shared" si="6"/>
        <v/>
      </c>
      <c r="AF8" s="12" t="str">
        <f t="shared" si="7"/>
        <v/>
      </c>
      <c r="AG8" s="12">
        <f t="shared" si="8"/>
        <v>0</v>
      </c>
    </row>
    <row r="9" spans="1:33" ht="15" customHeight="1" x14ac:dyDescent="0.25">
      <c r="A9" s="12" t="str">
        <f>IF(Raw_Data!B12="","",Raw_Data!B12)</f>
        <v/>
      </c>
      <c r="B9" s="12">
        <f>IF(Raw_Data!X12&lt;&gt;"",Raw_Data!X12,Raw_Data!C12)</f>
        <v>0</v>
      </c>
      <c r="C9" s="12" t="str">
        <f>IF(Raw_Data!G12="","",Raw_Data!G12)</f>
        <v/>
      </c>
      <c r="D9" s="12" t="str">
        <f>IF(Raw_Data!H12="","",Raw_Data!H12)</f>
        <v/>
      </c>
      <c r="E9" s="12" t="str">
        <f>IF(Raw_Data!I12="","",Raw_Data!I12)</f>
        <v/>
      </c>
      <c r="F9" s="12" t="str">
        <f>IF(Raw_Data!J12="","",Raw_Data!J12)</f>
        <v/>
      </c>
      <c r="G9" s="12" t="str">
        <f>IF(Raw_Data!AH12&lt;&gt;"",Raw_Data!AH12,IF(Raw_Data!K12&lt;&gt;"",Raw_Data!K12,""))</f>
        <v/>
      </c>
      <c r="H9" s="12" t="str">
        <f>IF(Raw_Data!AI12&lt;&gt;"",Raw_Data!AI12,IF(Raw_Data!L12&lt;&gt;"",Raw_Data!L12,""))</f>
        <v/>
      </c>
      <c r="I9" s="12" t="str">
        <f t="shared" si="0"/>
        <v/>
      </c>
      <c r="J9" s="12" t="str">
        <f>IF(Raw_Data!M12="","",Raw_Data!M12)</f>
        <v/>
      </c>
      <c r="K9" s="12">
        <f>IF(Raw_Data!AJ12&lt;&gt;"",Raw_Data!AJ12,Raw_Data!N12)</f>
        <v>0</v>
      </c>
      <c r="L9" s="12">
        <f t="shared" si="1"/>
        <v>1</v>
      </c>
      <c r="M9" s="12" t="str">
        <f>IF(Raw_Data!AK12="","",Raw_Data!AK12)</f>
        <v/>
      </c>
      <c r="N9" s="12" t="str">
        <f>IF(Raw_Data!T12="","",Raw_Data!T12)</f>
        <v/>
      </c>
      <c r="O9" s="12" t="str">
        <f>IF(Raw_Data!AB12&lt;&gt;"",Raw_Data!AB12,IF(N9="tres_insatisfait",1,IF(N9="insatisfait",2,IF(N9="neutre",3,IF(N9="satisfait",4,IF(N9="tres_satisfait",5,""))))))</f>
        <v/>
      </c>
      <c r="P9" s="12">
        <f>IF(Raw_Data!AL12&lt;&gt;"",Raw_Data!AL12,Raw_Data!R12)</f>
        <v>0</v>
      </c>
      <c r="Q9" s="12">
        <f t="shared" si="2"/>
        <v>0</v>
      </c>
      <c r="R9" s="12" t="str">
        <f>IF(Raw_Data!AM12="","",Raw_Data!AM12)</f>
        <v/>
      </c>
      <c r="S9" s="12" t="str">
        <f t="shared" si="3"/>
        <v/>
      </c>
      <c r="T9" s="12" t="str">
        <f>IF(Raw_Data!AN12="","",Raw_Data!AN12)</f>
        <v/>
      </c>
      <c r="U9" s="12" t="str">
        <f t="shared" si="4"/>
        <v/>
      </c>
      <c r="V9" s="12" t="str">
        <f>IF(Raw_Data!AP12="","",IF(Raw_Data!AP12="oui",1,0))</f>
        <v/>
      </c>
      <c r="W9" s="12" t="str">
        <f>IF(Raw_Data!AQ12="","",IF(Raw_Data!AQ12="oui",1,0))</f>
        <v/>
      </c>
      <c r="X9" s="12" t="str">
        <f>IF(Raw_Data!AR12="","",IF(Raw_Data!AR12="oui",1,0))</f>
        <v/>
      </c>
      <c r="Y9" s="12" t="str">
        <f>IF(Raw_Data!AS12="","",IF(Raw_Data!AS12="oui",1,0))</f>
        <v/>
      </c>
      <c r="Z9" s="12" t="str">
        <f>IF(Raw_Data!V12="","",IF(Raw_Data!V12="oui",1,0))</f>
        <v/>
      </c>
      <c r="AA9" s="12" t="str">
        <f>IF(Raw_Data!W12="","",IF(Raw_Data!W12="oui",1,0))</f>
        <v/>
      </c>
      <c r="AB9" s="12" t="str">
        <f>IF(Raw_Data!Q12="","",IF(Raw_Data!Q12="oui",1,0))</f>
        <v/>
      </c>
      <c r="AC9" s="12">
        <f>Raw_Data!AF12</f>
        <v>0</v>
      </c>
      <c r="AD9" s="12" t="str">
        <f t="shared" si="5"/>
        <v/>
      </c>
      <c r="AE9" s="12" t="str">
        <f t="shared" si="6"/>
        <v/>
      </c>
      <c r="AF9" s="12" t="str">
        <f t="shared" si="7"/>
        <v/>
      </c>
      <c r="AG9" s="12">
        <f t="shared" si="8"/>
        <v>0</v>
      </c>
    </row>
    <row r="10" spans="1:33" ht="15" customHeight="1" x14ac:dyDescent="0.25">
      <c r="A10" s="12" t="str">
        <f>IF(Raw_Data!B13="","",Raw_Data!B13)</f>
        <v/>
      </c>
      <c r="B10" s="12">
        <f>IF(Raw_Data!X13&lt;&gt;"",Raw_Data!X13,Raw_Data!C13)</f>
        <v>0</v>
      </c>
      <c r="C10" s="12" t="str">
        <f>IF(Raw_Data!G13="","",Raw_Data!G13)</f>
        <v/>
      </c>
      <c r="D10" s="12" t="str">
        <f>IF(Raw_Data!H13="","",Raw_Data!H13)</f>
        <v/>
      </c>
      <c r="E10" s="12" t="str">
        <f>IF(Raw_Data!I13="","",Raw_Data!I13)</f>
        <v/>
      </c>
      <c r="F10" s="12" t="str">
        <f>IF(Raw_Data!J13="","",Raw_Data!J13)</f>
        <v/>
      </c>
      <c r="G10" s="12" t="str">
        <f>IF(Raw_Data!AH13&lt;&gt;"",Raw_Data!AH13,IF(Raw_Data!K13&lt;&gt;"",Raw_Data!K13,""))</f>
        <v/>
      </c>
      <c r="H10" s="12" t="str">
        <f>IF(Raw_Data!AI13&lt;&gt;"",Raw_Data!AI13,IF(Raw_Data!L13&lt;&gt;"",Raw_Data!L13,""))</f>
        <v/>
      </c>
      <c r="I10" s="12" t="str">
        <f t="shared" si="0"/>
        <v/>
      </c>
      <c r="J10" s="12" t="str">
        <f>IF(Raw_Data!M13="","",Raw_Data!M13)</f>
        <v/>
      </c>
      <c r="K10" s="12">
        <f>IF(Raw_Data!AJ13&lt;&gt;"",Raw_Data!AJ13,Raw_Data!N13)</f>
        <v>0</v>
      </c>
      <c r="L10" s="12">
        <f t="shared" si="1"/>
        <v>1</v>
      </c>
      <c r="M10" s="12" t="str">
        <f>IF(Raw_Data!AK13="","",Raw_Data!AK13)</f>
        <v/>
      </c>
      <c r="N10" s="12" t="str">
        <f>IF(Raw_Data!T13="","",Raw_Data!T13)</f>
        <v/>
      </c>
      <c r="O10" s="12" t="str">
        <f>IF(Raw_Data!AB13&lt;&gt;"",Raw_Data!AB13,IF(N10="tres_insatisfait",1,IF(N10="insatisfait",2,IF(N10="neutre",3,IF(N10="satisfait",4,IF(N10="tres_satisfait",5,""))))))</f>
        <v/>
      </c>
      <c r="P10" s="12">
        <f>IF(Raw_Data!AL13&lt;&gt;"",Raw_Data!AL13,Raw_Data!R13)</f>
        <v>0</v>
      </c>
      <c r="Q10" s="12">
        <f t="shared" si="2"/>
        <v>0</v>
      </c>
      <c r="R10" s="12" t="str">
        <f>IF(Raw_Data!AM13="","",Raw_Data!AM13)</f>
        <v/>
      </c>
      <c r="S10" s="12" t="str">
        <f t="shared" si="3"/>
        <v/>
      </c>
      <c r="T10" s="12" t="str">
        <f>IF(Raw_Data!AN13="","",Raw_Data!AN13)</f>
        <v/>
      </c>
      <c r="U10" s="12" t="str">
        <f t="shared" si="4"/>
        <v/>
      </c>
      <c r="V10" s="12" t="str">
        <f>IF(Raw_Data!AP13="","",IF(Raw_Data!AP13="oui",1,0))</f>
        <v/>
      </c>
      <c r="W10" s="12" t="str">
        <f>IF(Raw_Data!AQ13="","",IF(Raw_Data!AQ13="oui",1,0))</f>
        <v/>
      </c>
      <c r="X10" s="12" t="str">
        <f>IF(Raw_Data!AR13="","",IF(Raw_Data!AR13="oui",1,0))</f>
        <v/>
      </c>
      <c r="Y10" s="12" t="str">
        <f>IF(Raw_Data!AS13="","",IF(Raw_Data!AS13="oui",1,0))</f>
        <v/>
      </c>
      <c r="Z10" s="12" t="str">
        <f>IF(Raw_Data!V13="","",IF(Raw_Data!V13="oui",1,0))</f>
        <v/>
      </c>
      <c r="AA10" s="12" t="str">
        <f>IF(Raw_Data!W13="","",IF(Raw_Data!W13="oui",1,0))</f>
        <v/>
      </c>
      <c r="AB10" s="12" t="str">
        <f>IF(Raw_Data!Q13="","",IF(Raw_Data!Q13="oui",1,0))</f>
        <v/>
      </c>
      <c r="AC10" s="12">
        <f>Raw_Data!AF13</f>
        <v>0</v>
      </c>
      <c r="AD10" s="12" t="str">
        <f t="shared" si="5"/>
        <v/>
      </c>
      <c r="AE10" s="12" t="str">
        <f t="shared" si="6"/>
        <v/>
      </c>
      <c r="AF10" s="12" t="str">
        <f t="shared" si="7"/>
        <v/>
      </c>
      <c r="AG10" s="12">
        <f t="shared" si="8"/>
        <v>0</v>
      </c>
    </row>
    <row r="11" spans="1:33" ht="15" customHeight="1" x14ac:dyDescent="0.25">
      <c r="A11" s="12" t="str">
        <f>IF(Raw_Data!B14="","",Raw_Data!B14)</f>
        <v/>
      </c>
      <c r="B11" s="12">
        <f>IF(Raw_Data!X14&lt;&gt;"",Raw_Data!X14,Raw_Data!C14)</f>
        <v>0</v>
      </c>
      <c r="C11" s="12" t="str">
        <f>IF(Raw_Data!G14="","",Raw_Data!G14)</f>
        <v/>
      </c>
      <c r="D11" s="12" t="str">
        <f>IF(Raw_Data!H14="","",Raw_Data!H14)</f>
        <v/>
      </c>
      <c r="E11" s="12" t="str">
        <f>IF(Raw_Data!I14="","",Raw_Data!I14)</f>
        <v/>
      </c>
      <c r="F11" s="12" t="str">
        <f>IF(Raw_Data!J14="","",Raw_Data!J14)</f>
        <v/>
      </c>
      <c r="G11" s="12" t="str">
        <f>IF(Raw_Data!AH14&lt;&gt;"",Raw_Data!AH14,IF(Raw_Data!K14&lt;&gt;"",Raw_Data!K14,""))</f>
        <v/>
      </c>
      <c r="H11" s="12" t="str">
        <f>IF(Raw_Data!AI14&lt;&gt;"",Raw_Data!AI14,IF(Raw_Data!L14&lt;&gt;"",Raw_Data!L14,""))</f>
        <v/>
      </c>
      <c r="I11" s="12" t="str">
        <f t="shared" si="0"/>
        <v/>
      </c>
      <c r="J11" s="12" t="str">
        <f>IF(Raw_Data!M14="","",Raw_Data!M14)</f>
        <v/>
      </c>
      <c r="K11" s="12">
        <f>IF(Raw_Data!AJ14&lt;&gt;"",Raw_Data!AJ14,Raw_Data!N14)</f>
        <v>0</v>
      </c>
      <c r="L11" s="12">
        <f t="shared" si="1"/>
        <v>1</v>
      </c>
      <c r="M11" s="12" t="str">
        <f>IF(Raw_Data!AK14="","",Raw_Data!AK14)</f>
        <v/>
      </c>
      <c r="N11" s="12" t="str">
        <f>IF(Raw_Data!T14="","",Raw_Data!T14)</f>
        <v/>
      </c>
      <c r="O11" s="12" t="str">
        <f>IF(Raw_Data!AB14&lt;&gt;"",Raw_Data!AB14,IF(N11="tres_insatisfait",1,IF(N11="insatisfait",2,IF(N11="neutre",3,IF(N11="satisfait",4,IF(N11="tres_satisfait",5,""))))))</f>
        <v/>
      </c>
      <c r="P11" s="12">
        <f>IF(Raw_Data!AL14&lt;&gt;"",Raw_Data!AL14,Raw_Data!R14)</f>
        <v>0</v>
      </c>
      <c r="Q11" s="12">
        <f t="shared" si="2"/>
        <v>0</v>
      </c>
      <c r="R11" s="12" t="str">
        <f>IF(Raw_Data!AM14="","",Raw_Data!AM14)</f>
        <v/>
      </c>
      <c r="S11" s="12" t="str">
        <f t="shared" si="3"/>
        <v/>
      </c>
      <c r="T11" s="12" t="str">
        <f>IF(Raw_Data!AN14="","",Raw_Data!AN14)</f>
        <v/>
      </c>
      <c r="U11" s="12" t="str">
        <f t="shared" si="4"/>
        <v/>
      </c>
      <c r="V11" s="12" t="str">
        <f>IF(Raw_Data!AP14="","",IF(Raw_Data!AP14="oui",1,0))</f>
        <v/>
      </c>
      <c r="W11" s="12" t="str">
        <f>IF(Raw_Data!AQ14="","",IF(Raw_Data!AQ14="oui",1,0))</f>
        <v/>
      </c>
      <c r="X11" s="12" t="str">
        <f>IF(Raw_Data!AR14="","",IF(Raw_Data!AR14="oui",1,0))</f>
        <v/>
      </c>
      <c r="Y11" s="12" t="str">
        <f>IF(Raw_Data!AS14="","",IF(Raw_Data!AS14="oui",1,0))</f>
        <v/>
      </c>
      <c r="Z11" s="12" t="str">
        <f>IF(Raw_Data!V14="","",IF(Raw_Data!V14="oui",1,0))</f>
        <v/>
      </c>
      <c r="AA11" s="12" t="str">
        <f>IF(Raw_Data!W14="","",IF(Raw_Data!W14="oui",1,0))</f>
        <v/>
      </c>
      <c r="AB11" s="12" t="str">
        <f>IF(Raw_Data!Q14="","",IF(Raw_Data!Q14="oui",1,0))</f>
        <v/>
      </c>
      <c r="AC11" s="12">
        <f>Raw_Data!AF14</f>
        <v>0</v>
      </c>
      <c r="AD11" s="12" t="str">
        <f t="shared" si="5"/>
        <v/>
      </c>
      <c r="AE11" s="12" t="str">
        <f t="shared" si="6"/>
        <v/>
      </c>
      <c r="AF11" s="12" t="str">
        <f t="shared" si="7"/>
        <v/>
      </c>
      <c r="AG11" s="12">
        <f t="shared" si="8"/>
        <v>0</v>
      </c>
    </row>
    <row r="12" spans="1:33" ht="15" customHeight="1" x14ac:dyDescent="0.25">
      <c r="A12" s="12" t="str">
        <f>IF(Raw_Data!B15="","",Raw_Data!B15)</f>
        <v/>
      </c>
      <c r="B12" s="12">
        <f>IF(Raw_Data!X15&lt;&gt;"",Raw_Data!X15,Raw_Data!C15)</f>
        <v>0</v>
      </c>
      <c r="C12" s="12" t="str">
        <f>IF(Raw_Data!G15="","",Raw_Data!G15)</f>
        <v/>
      </c>
      <c r="D12" s="12" t="str">
        <f>IF(Raw_Data!H15="","",Raw_Data!H15)</f>
        <v/>
      </c>
      <c r="E12" s="12" t="str">
        <f>IF(Raw_Data!I15="","",Raw_Data!I15)</f>
        <v/>
      </c>
      <c r="F12" s="12" t="str">
        <f>IF(Raw_Data!J15="","",Raw_Data!J15)</f>
        <v/>
      </c>
      <c r="G12" s="12" t="str">
        <f>IF(Raw_Data!AH15&lt;&gt;"",Raw_Data!AH15,IF(Raw_Data!K15&lt;&gt;"",Raw_Data!K15,""))</f>
        <v/>
      </c>
      <c r="H12" s="12" t="str">
        <f>IF(Raw_Data!AI15&lt;&gt;"",Raw_Data!AI15,IF(Raw_Data!L15&lt;&gt;"",Raw_Data!L15,""))</f>
        <v/>
      </c>
      <c r="I12" s="12" t="str">
        <f t="shared" si="0"/>
        <v/>
      </c>
      <c r="J12" s="12" t="str">
        <f>IF(Raw_Data!M15="","",Raw_Data!M15)</f>
        <v/>
      </c>
      <c r="K12" s="12">
        <f>IF(Raw_Data!AJ15&lt;&gt;"",Raw_Data!AJ15,Raw_Data!N15)</f>
        <v>0</v>
      </c>
      <c r="L12" s="12">
        <f t="shared" si="1"/>
        <v>1</v>
      </c>
      <c r="M12" s="12" t="str">
        <f>IF(Raw_Data!AK15="","",Raw_Data!AK15)</f>
        <v/>
      </c>
      <c r="N12" s="12" t="str">
        <f>IF(Raw_Data!T15="","",Raw_Data!T15)</f>
        <v/>
      </c>
      <c r="O12" s="12" t="str">
        <f>IF(Raw_Data!AB15&lt;&gt;"",Raw_Data!AB15,IF(N12="tres_insatisfait",1,IF(N12="insatisfait",2,IF(N12="neutre",3,IF(N12="satisfait",4,IF(N12="tres_satisfait",5,""))))))</f>
        <v/>
      </c>
      <c r="P12" s="12">
        <f>IF(Raw_Data!AL15&lt;&gt;"",Raw_Data!AL15,Raw_Data!R15)</f>
        <v>0</v>
      </c>
      <c r="Q12" s="12">
        <f t="shared" si="2"/>
        <v>0</v>
      </c>
      <c r="R12" s="12" t="str">
        <f>IF(Raw_Data!AM15="","",Raw_Data!AM15)</f>
        <v/>
      </c>
      <c r="S12" s="12" t="str">
        <f t="shared" si="3"/>
        <v/>
      </c>
      <c r="T12" s="12" t="str">
        <f>IF(Raw_Data!AN15="","",Raw_Data!AN15)</f>
        <v/>
      </c>
      <c r="U12" s="12" t="str">
        <f t="shared" si="4"/>
        <v/>
      </c>
      <c r="V12" s="12" t="str">
        <f>IF(Raw_Data!AP15="","",IF(Raw_Data!AP15="oui",1,0))</f>
        <v/>
      </c>
      <c r="W12" s="12" t="str">
        <f>IF(Raw_Data!AQ15="","",IF(Raw_Data!AQ15="oui",1,0))</f>
        <v/>
      </c>
      <c r="X12" s="12" t="str">
        <f>IF(Raw_Data!AR15="","",IF(Raw_Data!AR15="oui",1,0))</f>
        <v/>
      </c>
      <c r="Y12" s="12" t="str">
        <f>IF(Raw_Data!AS15="","",IF(Raw_Data!AS15="oui",1,0))</f>
        <v/>
      </c>
      <c r="Z12" s="12" t="str">
        <f>IF(Raw_Data!V15="","",IF(Raw_Data!V15="oui",1,0))</f>
        <v/>
      </c>
      <c r="AA12" s="12" t="str">
        <f>IF(Raw_Data!W15="","",IF(Raw_Data!W15="oui",1,0))</f>
        <v/>
      </c>
      <c r="AB12" s="12" t="str">
        <f>IF(Raw_Data!Q15="","",IF(Raw_Data!Q15="oui",1,0))</f>
        <v/>
      </c>
      <c r="AC12" s="12">
        <f>Raw_Data!AF15</f>
        <v>0</v>
      </c>
      <c r="AD12" s="12" t="str">
        <f t="shared" si="5"/>
        <v/>
      </c>
      <c r="AE12" s="12" t="str">
        <f t="shared" si="6"/>
        <v/>
      </c>
      <c r="AF12" s="12" t="str">
        <f t="shared" si="7"/>
        <v/>
      </c>
      <c r="AG12" s="12">
        <f t="shared" si="8"/>
        <v>0</v>
      </c>
    </row>
    <row r="13" spans="1:33" ht="15" customHeight="1" x14ac:dyDescent="0.25">
      <c r="A13" s="12" t="str">
        <f>IF(Raw_Data!B16="","",Raw_Data!B16)</f>
        <v/>
      </c>
      <c r="B13" s="12">
        <f>IF(Raw_Data!X16&lt;&gt;"",Raw_Data!X16,Raw_Data!C16)</f>
        <v>0</v>
      </c>
      <c r="C13" s="12" t="str">
        <f>IF(Raw_Data!G16="","",Raw_Data!G16)</f>
        <v/>
      </c>
      <c r="D13" s="12" t="str">
        <f>IF(Raw_Data!H16="","",Raw_Data!H16)</f>
        <v/>
      </c>
      <c r="E13" s="12" t="str">
        <f>IF(Raw_Data!I16="","",Raw_Data!I16)</f>
        <v/>
      </c>
      <c r="F13" s="12" t="str">
        <f>IF(Raw_Data!J16="","",Raw_Data!J16)</f>
        <v/>
      </c>
      <c r="G13" s="12" t="str">
        <f>IF(Raw_Data!AH16&lt;&gt;"",Raw_Data!AH16,IF(Raw_Data!K16&lt;&gt;"",Raw_Data!K16,""))</f>
        <v/>
      </c>
      <c r="H13" s="12" t="str">
        <f>IF(Raw_Data!AI16&lt;&gt;"",Raw_Data!AI16,IF(Raw_Data!L16&lt;&gt;"",Raw_Data!L16,""))</f>
        <v/>
      </c>
      <c r="I13" s="12" t="str">
        <f t="shared" si="0"/>
        <v/>
      </c>
      <c r="J13" s="12" t="str">
        <f>IF(Raw_Data!M16="","",Raw_Data!M16)</f>
        <v/>
      </c>
      <c r="K13" s="12">
        <f>IF(Raw_Data!AJ16&lt;&gt;"",Raw_Data!AJ16,Raw_Data!N16)</f>
        <v>0</v>
      </c>
      <c r="L13" s="12">
        <f t="shared" si="1"/>
        <v>1</v>
      </c>
      <c r="M13" s="12" t="str">
        <f>IF(Raw_Data!AK16="","",Raw_Data!AK16)</f>
        <v/>
      </c>
      <c r="N13" s="12" t="str">
        <f>IF(Raw_Data!T16="","",Raw_Data!T16)</f>
        <v/>
      </c>
      <c r="O13" s="12" t="str">
        <f>IF(Raw_Data!AB16&lt;&gt;"",Raw_Data!AB16,IF(N13="tres_insatisfait",1,IF(N13="insatisfait",2,IF(N13="neutre",3,IF(N13="satisfait",4,IF(N13="tres_satisfait",5,""))))))</f>
        <v/>
      </c>
      <c r="P13" s="12">
        <f>IF(Raw_Data!AL16&lt;&gt;"",Raw_Data!AL16,Raw_Data!R16)</f>
        <v>0</v>
      </c>
      <c r="Q13" s="12">
        <f t="shared" si="2"/>
        <v>0</v>
      </c>
      <c r="R13" s="12" t="str">
        <f>IF(Raw_Data!AM16="","",Raw_Data!AM16)</f>
        <v/>
      </c>
      <c r="S13" s="12" t="str">
        <f t="shared" si="3"/>
        <v/>
      </c>
      <c r="T13" s="12" t="str">
        <f>IF(Raw_Data!AN16="","",Raw_Data!AN16)</f>
        <v/>
      </c>
      <c r="U13" s="12" t="str">
        <f t="shared" si="4"/>
        <v/>
      </c>
      <c r="V13" s="12" t="str">
        <f>IF(Raw_Data!AP16="","",IF(Raw_Data!AP16="oui",1,0))</f>
        <v/>
      </c>
      <c r="W13" s="12" t="str">
        <f>IF(Raw_Data!AQ16="","",IF(Raw_Data!AQ16="oui",1,0))</f>
        <v/>
      </c>
      <c r="X13" s="12" t="str">
        <f>IF(Raw_Data!AR16="","",IF(Raw_Data!AR16="oui",1,0))</f>
        <v/>
      </c>
      <c r="Y13" s="12" t="str">
        <f>IF(Raw_Data!AS16="","",IF(Raw_Data!AS16="oui",1,0))</f>
        <v/>
      </c>
      <c r="Z13" s="12" t="str">
        <f>IF(Raw_Data!V16="","",IF(Raw_Data!V16="oui",1,0))</f>
        <v/>
      </c>
      <c r="AA13" s="12" t="str">
        <f>IF(Raw_Data!W16="","",IF(Raw_Data!W16="oui",1,0))</f>
        <v/>
      </c>
      <c r="AB13" s="12" t="str">
        <f>IF(Raw_Data!Q16="","",IF(Raw_Data!Q16="oui",1,0))</f>
        <v/>
      </c>
      <c r="AC13" s="12">
        <f>Raw_Data!AF16</f>
        <v>0</v>
      </c>
      <c r="AD13" s="12" t="str">
        <f t="shared" si="5"/>
        <v/>
      </c>
      <c r="AE13" s="12" t="str">
        <f t="shared" si="6"/>
        <v/>
      </c>
      <c r="AF13" s="12" t="str">
        <f t="shared" si="7"/>
        <v/>
      </c>
      <c r="AG13" s="12">
        <f t="shared" si="8"/>
        <v>0</v>
      </c>
    </row>
    <row r="14" spans="1:33" ht="15" customHeight="1" x14ac:dyDescent="0.25">
      <c r="A14" s="12" t="str">
        <f>IF(Raw_Data!B17="","",Raw_Data!B17)</f>
        <v/>
      </c>
      <c r="B14" s="12">
        <f>IF(Raw_Data!X17&lt;&gt;"",Raw_Data!X17,Raw_Data!C17)</f>
        <v>0</v>
      </c>
      <c r="C14" s="12" t="str">
        <f>IF(Raw_Data!G17="","",Raw_Data!G17)</f>
        <v/>
      </c>
      <c r="D14" s="12" t="str">
        <f>IF(Raw_Data!H17="","",Raw_Data!H17)</f>
        <v/>
      </c>
      <c r="E14" s="12" t="str">
        <f>IF(Raw_Data!I17="","",Raw_Data!I17)</f>
        <v/>
      </c>
      <c r="F14" s="12" t="str">
        <f>IF(Raw_Data!J17="","",Raw_Data!J17)</f>
        <v/>
      </c>
      <c r="G14" s="12" t="str">
        <f>IF(Raw_Data!AH17&lt;&gt;"",Raw_Data!AH17,IF(Raw_Data!K17&lt;&gt;"",Raw_Data!K17,""))</f>
        <v/>
      </c>
      <c r="H14" s="12" t="str">
        <f>IF(Raw_Data!AI17&lt;&gt;"",Raw_Data!AI17,IF(Raw_Data!L17&lt;&gt;"",Raw_Data!L17,""))</f>
        <v/>
      </c>
      <c r="I14" s="12" t="str">
        <f t="shared" si="0"/>
        <v/>
      </c>
      <c r="J14" s="12" t="str">
        <f>IF(Raw_Data!M17="","",Raw_Data!M17)</f>
        <v/>
      </c>
      <c r="K14" s="12">
        <f>IF(Raw_Data!AJ17&lt;&gt;"",Raw_Data!AJ17,Raw_Data!N17)</f>
        <v>0</v>
      </c>
      <c r="L14" s="12">
        <f t="shared" si="1"/>
        <v>1</v>
      </c>
      <c r="M14" s="12" t="str">
        <f>IF(Raw_Data!AK17="","",Raw_Data!AK17)</f>
        <v/>
      </c>
      <c r="N14" s="12" t="str">
        <f>IF(Raw_Data!T17="","",Raw_Data!T17)</f>
        <v/>
      </c>
      <c r="O14" s="12" t="str">
        <f>IF(Raw_Data!AB17&lt;&gt;"",Raw_Data!AB17,IF(N14="tres_insatisfait",1,IF(N14="insatisfait",2,IF(N14="neutre",3,IF(N14="satisfait",4,IF(N14="tres_satisfait",5,""))))))</f>
        <v/>
      </c>
      <c r="P14" s="12">
        <f>IF(Raw_Data!AL17&lt;&gt;"",Raw_Data!AL17,Raw_Data!R17)</f>
        <v>0</v>
      </c>
      <c r="Q14" s="12">
        <f t="shared" si="2"/>
        <v>0</v>
      </c>
      <c r="R14" s="12" t="str">
        <f>IF(Raw_Data!AM17="","",Raw_Data!AM17)</f>
        <v/>
      </c>
      <c r="S14" s="12" t="str">
        <f t="shared" si="3"/>
        <v/>
      </c>
      <c r="T14" s="12" t="str">
        <f>IF(Raw_Data!AN17="","",Raw_Data!AN17)</f>
        <v/>
      </c>
      <c r="U14" s="12" t="str">
        <f t="shared" si="4"/>
        <v/>
      </c>
      <c r="V14" s="12" t="str">
        <f>IF(Raw_Data!AP17="","",IF(Raw_Data!AP17="oui",1,0))</f>
        <v/>
      </c>
      <c r="W14" s="12" t="str">
        <f>IF(Raw_Data!AQ17="","",IF(Raw_Data!AQ17="oui",1,0))</f>
        <v/>
      </c>
      <c r="X14" s="12" t="str">
        <f>IF(Raw_Data!AR17="","",IF(Raw_Data!AR17="oui",1,0))</f>
        <v/>
      </c>
      <c r="Y14" s="12" t="str">
        <f>IF(Raw_Data!AS17="","",IF(Raw_Data!AS17="oui",1,0))</f>
        <v/>
      </c>
      <c r="Z14" s="12" t="str">
        <f>IF(Raw_Data!V17="","",IF(Raw_Data!V17="oui",1,0))</f>
        <v/>
      </c>
      <c r="AA14" s="12" t="str">
        <f>IF(Raw_Data!W17="","",IF(Raw_Data!W17="oui",1,0))</f>
        <v/>
      </c>
      <c r="AB14" s="12" t="str">
        <f>IF(Raw_Data!Q17="","",IF(Raw_Data!Q17="oui",1,0))</f>
        <v/>
      </c>
      <c r="AC14" s="12">
        <f>Raw_Data!AF17</f>
        <v>0</v>
      </c>
      <c r="AD14" s="12" t="str">
        <f t="shared" si="5"/>
        <v/>
      </c>
      <c r="AE14" s="12" t="str">
        <f t="shared" si="6"/>
        <v/>
      </c>
      <c r="AF14" s="12" t="str">
        <f t="shared" si="7"/>
        <v/>
      </c>
      <c r="AG14" s="12">
        <f t="shared" si="8"/>
        <v>0</v>
      </c>
    </row>
    <row r="15" spans="1:33" ht="15" customHeight="1" x14ac:dyDescent="0.25">
      <c r="A15" s="12" t="str">
        <f>IF(Raw_Data!B18="","",Raw_Data!B18)</f>
        <v/>
      </c>
      <c r="B15" s="12">
        <f>IF(Raw_Data!X18&lt;&gt;"",Raw_Data!X18,Raw_Data!C18)</f>
        <v>0</v>
      </c>
      <c r="C15" s="12" t="str">
        <f>IF(Raw_Data!G18="","",Raw_Data!G18)</f>
        <v/>
      </c>
      <c r="D15" s="12" t="str">
        <f>IF(Raw_Data!H18="","",Raw_Data!H18)</f>
        <v/>
      </c>
      <c r="E15" s="12" t="str">
        <f>IF(Raw_Data!I18="","",Raw_Data!I18)</f>
        <v/>
      </c>
      <c r="F15" s="12" t="str">
        <f>IF(Raw_Data!J18="","",Raw_Data!J18)</f>
        <v/>
      </c>
      <c r="G15" s="12" t="str">
        <f>IF(Raw_Data!AH18&lt;&gt;"",Raw_Data!AH18,IF(Raw_Data!K18&lt;&gt;"",Raw_Data!K18,""))</f>
        <v/>
      </c>
      <c r="H15" s="12" t="str">
        <f>IF(Raw_Data!AI18&lt;&gt;"",Raw_Data!AI18,IF(Raw_Data!L18&lt;&gt;"",Raw_Data!L18,""))</f>
        <v/>
      </c>
      <c r="I15" s="12" t="str">
        <f t="shared" si="0"/>
        <v/>
      </c>
      <c r="J15" s="12" t="str">
        <f>IF(Raw_Data!M18="","",Raw_Data!M18)</f>
        <v/>
      </c>
      <c r="K15" s="12">
        <f>IF(Raw_Data!AJ18&lt;&gt;"",Raw_Data!AJ18,Raw_Data!N18)</f>
        <v>0</v>
      </c>
      <c r="L15" s="12">
        <f t="shared" si="1"/>
        <v>1</v>
      </c>
      <c r="M15" s="12" t="str">
        <f>IF(Raw_Data!AK18="","",Raw_Data!AK18)</f>
        <v/>
      </c>
      <c r="N15" s="12" t="str">
        <f>IF(Raw_Data!T18="","",Raw_Data!T18)</f>
        <v/>
      </c>
      <c r="O15" s="12" t="str">
        <f>IF(Raw_Data!AB18&lt;&gt;"",Raw_Data!AB18,IF(N15="tres_insatisfait",1,IF(N15="insatisfait",2,IF(N15="neutre",3,IF(N15="satisfait",4,IF(N15="tres_satisfait",5,""))))))</f>
        <v/>
      </c>
      <c r="P15" s="12">
        <f>IF(Raw_Data!AL18&lt;&gt;"",Raw_Data!AL18,Raw_Data!R18)</f>
        <v>0</v>
      </c>
      <c r="Q15" s="12">
        <f t="shared" si="2"/>
        <v>0</v>
      </c>
      <c r="R15" s="12" t="str">
        <f>IF(Raw_Data!AM18="","",Raw_Data!AM18)</f>
        <v/>
      </c>
      <c r="S15" s="12" t="str">
        <f t="shared" si="3"/>
        <v/>
      </c>
      <c r="T15" s="12" t="str">
        <f>IF(Raw_Data!AN18="","",Raw_Data!AN18)</f>
        <v/>
      </c>
      <c r="U15" s="12" t="str">
        <f t="shared" si="4"/>
        <v/>
      </c>
      <c r="V15" s="12" t="str">
        <f>IF(Raw_Data!AP18="","",IF(Raw_Data!AP18="oui",1,0))</f>
        <v/>
      </c>
      <c r="W15" s="12" t="str">
        <f>IF(Raw_Data!AQ18="","",IF(Raw_Data!AQ18="oui",1,0))</f>
        <v/>
      </c>
      <c r="X15" s="12" t="str">
        <f>IF(Raw_Data!AR18="","",IF(Raw_Data!AR18="oui",1,0))</f>
        <v/>
      </c>
      <c r="Y15" s="12" t="str">
        <f>IF(Raw_Data!AS18="","",IF(Raw_Data!AS18="oui",1,0))</f>
        <v/>
      </c>
      <c r="Z15" s="12" t="str">
        <f>IF(Raw_Data!V18="","",IF(Raw_Data!V18="oui",1,0))</f>
        <v/>
      </c>
      <c r="AA15" s="12" t="str">
        <f>IF(Raw_Data!W18="","",IF(Raw_Data!W18="oui",1,0))</f>
        <v/>
      </c>
      <c r="AB15" s="12" t="str">
        <f>IF(Raw_Data!Q18="","",IF(Raw_Data!Q18="oui",1,0))</f>
        <v/>
      </c>
      <c r="AC15" s="12">
        <f>Raw_Data!AF18</f>
        <v>0</v>
      </c>
      <c r="AD15" s="12" t="str">
        <f t="shared" si="5"/>
        <v/>
      </c>
      <c r="AE15" s="12" t="str">
        <f t="shared" si="6"/>
        <v/>
      </c>
      <c r="AF15" s="12" t="str">
        <f t="shared" si="7"/>
        <v/>
      </c>
      <c r="AG15" s="12">
        <f t="shared" si="8"/>
        <v>0</v>
      </c>
    </row>
    <row r="16" spans="1:33" ht="15" customHeight="1" x14ac:dyDescent="0.25">
      <c r="A16" s="12" t="str">
        <f>IF(Raw_Data!B19="","",Raw_Data!B19)</f>
        <v/>
      </c>
      <c r="B16" s="12">
        <f>IF(Raw_Data!X19&lt;&gt;"",Raw_Data!X19,Raw_Data!C19)</f>
        <v>0</v>
      </c>
      <c r="C16" s="12" t="str">
        <f>IF(Raw_Data!G19="","",Raw_Data!G19)</f>
        <v/>
      </c>
      <c r="D16" s="12" t="str">
        <f>IF(Raw_Data!H19="","",Raw_Data!H19)</f>
        <v/>
      </c>
      <c r="E16" s="12" t="str">
        <f>IF(Raw_Data!I19="","",Raw_Data!I19)</f>
        <v/>
      </c>
      <c r="F16" s="12" t="str">
        <f>IF(Raw_Data!J19="","",Raw_Data!J19)</f>
        <v/>
      </c>
      <c r="G16" s="12" t="str">
        <f>IF(Raw_Data!AH19&lt;&gt;"",Raw_Data!AH19,IF(Raw_Data!K19&lt;&gt;"",Raw_Data!K19,""))</f>
        <v/>
      </c>
      <c r="H16" s="12" t="str">
        <f>IF(Raw_Data!AI19&lt;&gt;"",Raw_Data!AI19,IF(Raw_Data!L19&lt;&gt;"",Raw_Data!L19,""))</f>
        <v/>
      </c>
      <c r="I16" s="12" t="str">
        <f t="shared" si="0"/>
        <v/>
      </c>
      <c r="J16" s="12" t="str">
        <f>IF(Raw_Data!M19="","",Raw_Data!M19)</f>
        <v/>
      </c>
      <c r="K16" s="12">
        <f>IF(Raw_Data!AJ19&lt;&gt;"",Raw_Data!AJ19,Raw_Data!N19)</f>
        <v>0</v>
      </c>
      <c r="L16" s="12">
        <f t="shared" si="1"/>
        <v>1</v>
      </c>
      <c r="M16" s="12" t="str">
        <f>IF(Raw_Data!AK19="","",Raw_Data!AK19)</f>
        <v/>
      </c>
      <c r="N16" s="12" t="str">
        <f>IF(Raw_Data!T19="","",Raw_Data!T19)</f>
        <v/>
      </c>
      <c r="O16" s="12" t="str">
        <f>IF(Raw_Data!AB19&lt;&gt;"",Raw_Data!AB19,IF(N16="tres_insatisfait",1,IF(N16="insatisfait",2,IF(N16="neutre",3,IF(N16="satisfait",4,IF(N16="tres_satisfait",5,""))))))</f>
        <v/>
      </c>
      <c r="P16" s="12">
        <f>IF(Raw_Data!AL19&lt;&gt;"",Raw_Data!AL19,Raw_Data!R19)</f>
        <v>0</v>
      </c>
      <c r="Q16" s="12">
        <f t="shared" si="2"/>
        <v>0</v>
      </c>
      <c r="R16" s="12" t="str">
        <f>IF(Raw_Data!AM19="","",Raw_Data!AM19)</f>
        <v/>
      </c>
      <c r="S16" s="12" t="str">
        <f t="shared" si="3"/>
        <v/>
      </c>
      <c r="T16" s="12" t="str">
        <f>IF(Raw_Data!AN19="","",Raw_Data!AN19)</f>
        <v/>
      </c>
      <c r="U16" s="12" t="str">
        <f t="shared" si="4"/>
        <v/>
      </c>
      <c r="V16" s="12" t="str">
        <f>IF(Raw_Data!AP19="","",IF(Raw_Data!AP19="oui",1,0))</f>
        <v/>
      </c>
      <c r="W16" s="12" t="str">
        <f>IF(Raw_Data!AQ19="","",IF(Raw_Data!AQ19="oui",1,0))</f>
        <v/>
      </c>
      <c r="X16" s="12" t="str">
        <f>IF(Raw_Data!AR19="","",IF(Raw_Data!AR19="oui",1,0))</f>
        <v/>
      </c>
      <c r="Y16" s="12" t="str">
        <f>IF(Raw_Data!AS19="","",IF(Raw_Data!AS19="oui",1,0))</f>
        <v/>
      </c>
      <c r="Z16" s="12" t="str">
        <f>IF(Raw_Data!V19="","",IF(Raw_Data!V19="oui",1,0))</f>
        <v/>
      </c>
      <c r="AA16" s="12" t="str">
        <f>IF(Raw_Data!W19="","",IF(Raw_Data!W19="oui",1,0))</f>
        <v/>
      </c>
      <c r="AB16" s="12" t="str">
        <f>IF(Raw_Data!Q19="","",IF(Raw_Data!Q19="oui",1,0))</f>
        <v/>
      </c>
      <c r="AC16" s="12">
        <f>Raw_Data!AF19</f>
        <v>0</v>
      </c>
      <c r="AD16" s="12" t="str">
        <f t="shared" si="5"/>
        <v/>
      </c>
      <c r="AE16" s="12" t="str">
        <f t="shared" si="6"/>
        <v/>
      </c>
      <c r="AF16" s="12" t="str">
        <f t="shared" si="7"/>
        <v/>
      </c>
      <c r="AG16" s="12">
        <f t="shared" si="8"/>
        <v>0</v>
      </c>
    </row>
    <row r="17" spans="1:33" ht="15" customHeight="1" x14ac:dyDescent="0.25">
      <c r="A17" s="12" t="str">
        <f>IF(Raw_Data!B20="","",Raw_Data!B20)</f>
        <v/>
      </c>
      <c r="B17" s="12">
        <f>IF(Raw_Data!X20&lt;&gt;"",Raw_Data!X20,Raw_Data!C20)</f>
        <v>0</v>
      </c>
      <c r="C17" s="12" t="str">
        <f>IF(Raw_Data!G20="","",Raw_Data!G20)</f>
        <v/>
      </c>
      <c r="D17" s="12" t="str">
        <f>IF(Raw_Data!H20="","",Raw_Data!H20)</f>
        <v/>
      </c>
      <c r="E17" s="12" t="str">
        <f>IF(Raw_Data!I20="","",Raw_Data!I20)</f>
        <v/>
      </c>
      <c r="F17" s="12" t="str">
        <f>IF(Raw_Data!J20="","",Raw_Data!J20)</f>
        <v/>
      </c>
      <c r="G17" s="12" t="str">
        <f>IF(Raw_Data!AH20&lt;&gt;"",Raw_Data!AH20,IF(Raw_Data!K20&lt;&gt;"",Raw_Data!K20,""))</f>
        <v/>
      </c>
      <c r="H17" s="12" t="str">
        <f>IF(Raw_Data!AI20&lt;&gt;"",Raw_Data!AI20,IF(Raw_Data!L20&lt;&gt;"",Raw_Data!L20,""))</f>
        <v/>
      </c>
      <c r="I17" s="12" t="str">
        <f t="shared" si="0"/>
        <v/>
      </c>
      <c r="J17" s="12" t="str">
        <f>IF(Raw_Data!M20="","",Raw_Data!M20)</f>
        <v/>
      </c>
      <c r="K17" s="12">
        <f>IF(Raw_Data!AJ20&lt;&gt;"",Raw_Data!AJ20,Raw_Data!N20)</f>
        <v>0</v>
      </c>
      <c r="L17" s="12">
        <f t="shared" si="1"/>
        <v>1</v>
      </c>
      <c r="M17" s="12" t="str">
        <f>IF(Raw_Data!AK20="","",Raw_Data!AK20)</f>
        <v/>
      </c>
      <c r="N17" s="12" t="str">
        <f>IF(Raw_Data!T20="","",Raw_Data!T20)</f>
        <v/>
      </c>
      <c r="O17" s="12" t="str">
        <f>IF(Raw_Data!AB20&lt;&gt;"",Raw_Data!AB20,IF(N17="tres_insatisfait",1,IF(N17="insatisfait",2,IF(N17="neutre",3,IF(N17="satisfait",4,IF(N17="tres_satisfait",5,""))))))</f>
        <v/>
      </c>
      <c r="P17" s="12">
        <f>IF(Raw_Data!AL20&lt;&gt;"",Raw_Data!AL20,Raw_Data!R20)</f>
        <v>0</v>
      </c>
      <c r="Q17" s="12">
        <f t="shared" si="2"/>
        <v>0</v>
      </c>
      <c r="R17" s="12" t="str">
        <f>IF(Raw_Data!AM20="","",Raw_Data!AM20)</f>
        <v/>
      </c>
      <c r="S17" s="12" t="str">
        <f t="shared" si="3"/>
        <v/>
      </c>
      <c r="T17" s="12" t="str">
        <f>IF(Raw_Data!AN20="","",Raw_Data!AN20)</f>
        <v/>
      </c>
      <c r="U17" s="12" t="str">
        <f t="shared" si="4"/>
        <v/>
      </c>
      <c r="V17" s="12" t="str">
        <f>IF(Raw_Data!AP20="","",IF(Raw_Data!AP20="oui",1,0))</f>
        <v/>
      </c>
      <c r="W17" s="12" t="str">
        <f>IF(Raw_Data!AQ20="","",IF(Raw_Data!AQ20="oui",1,0))</f>
        <v/>
      </c>
      <c r="X17" s="12" t="str">
        <f>IF(Raw_Data!AR20="","",IF(Raw_Data!AR20="oui",1,0))</f>
        <v/>
      </c>
      <c r="Y17" s="12" t="str">
        <f>IF(Raw_Data!AS20="","",IF(Raw_Data!AS20="oui",1,0))</f>
        <v/>
      </c>
      <c r="Z17" s="12" t="str">
        <f>IF(Raw_Data!V20="","",IF(Raw_Data!V20="oui",1,0))</f>
        <v/>
      </c>
      <c r="AA17" s="12" t="str">
        <f>IF(Raw_Data!W20="","",IF(Raw_Data!W20="oui",1,0))</f>
        <v/>
      </c>
      <c r="AB17" s="12" t="str">
        <f>IF(Raw_Data!Q20="","",IF(Raw_Data!Q20="oui",1,0))</f>
        <v/>
      </c>
      <c r="AC17" s="12">
        <f>Raw_Data!AF20</f>
        <v>0</v>
      </c>
      <c r="AD17" s="12" t="str">
        <f t="shared" si="5"/>
        <v/>
      </c>
      <c r="AE17" s="12" t="str">
        <f t="shared" si="6"/>
        <v/>
      </c>
      <c r="AF17" s="12" t="str">
        <f t="shared" si="7"/>
        <v/>
      </c>
      <c r="AG17" s="12">
        <f t="shared" si="8"/>
        <v>0</v>
      </c>
    </row>
    <row r="18" spans="1:33" ht="15" customHeight="1" x14ac:dyDescent="0.25">
      <c r="A18" s="12" t="str">
        <f>IF(Raw_Data!B21="","",Raw_Data!B21)</f>
        <v/>
      </c>
      <c r="B18" s="12">
        <f>IF(Raw_Data!X21&lt;&gt;"",Raw_Data!X21,Raw_Data!C21)</f>
        <v>0</v>
      </c>
      <c r="C18" s="12" t="str">
        <f>IF(Raw_Data!G21="","",Raw_Data!G21)</f>
        <v/>
      </c>
      <c r="D18" s="12" t="str">
        <f>IF(Raw_Data!H21="","",Raw_Data!H21)</f>
        <v/>
      </c>
      <c r="E18" s="12" t="str">
        <f>IF(Raw_Data!I21="","",Raw_Data!I21)</f>
        <v/>
      </c>
      <c r="F18" s="12" t="str">
        <f>IF(Raw_Data!J21="","",Raw_Data!J21)</f>
        <v/>
      </c>
      <c r="G18" s="12" t="str">
        <f>IF(Raw_Data!AH21&lt;&gt;"",Raw_Data!AH21,IF(Raw_Data!K21&lt;&gt;"",Raw_Data!K21,""))</f>
        <v/>
      </c>
      <c r="H18" s="12" t="str">
        <f>IF(Raw_Data!AI21&lt;&gt;"",Raw_Data!AI21,IF(Raw_Data!L21&lt;&gt;"",Raw_Data!L21,""))</f>
        <v/>
      </c>
      <c r="I18" s="12" t="str">
        <f t="shared" si="0"/>
        <v/>
      </c>
      <c r="J18" s="12" t="str">
        <f>IF(Raw_Data!M21="","",Raw_Data!M21)</f>
        <v/>
      </c>
      <c r="K18" s="12">
        <f>IF(Raw_Data!AJ21&lt;&gt;"",Raw_Data!AJ21,Raw_Data!N21)</f>
        <v>0</v>
      </c>
      <c r="L18" s="12">
        <f t="shared" si="1"/>
        <v>1</v>
      </c>
      <c r="M18" s="12" t="str">
        <f>IF(Raw_Data!AK21="","",Raw_Data!AK21)</f>
        <v/>
      </c>
      <c r="N18" s="12" t="str">
        <f>IF(Raw_Data!T21="","",Raw_Data!T21)</f>
        <v/>
      </c>
      <c r="O18" s="12" t="str">
        <f>IF(Raw_Data!AB21&lt;&gt;"",Raw_Data!AB21,IF(N18="tres_insatisfait",1,IF(N18="insatisfait",2,IF(N18="neutre",3,IF(N18="satisfait",4,IF(N18="tres_satisfait",5,""))))))</f>
        <v/>
      </c>
      <c r="P18" s="12">
        <f>IF(Raw_Data!AL21&lt;&gt;"",Raw_Data!AL21,Raw_Data!R21)</f>
        <v>0</v>
      </c>
      <c r="Q18" s="12">
        <f t="shared" si="2"/>
        <v>0</v>
      </c>
      <c r="R18" s="12" t="str">
        <f>IF(Raw_Data!AM21="","",Raw_Data!AM21)</f>
        <v/>
      </c>
      <c r="S18" s="12" t="str">
        <f t="shared" si="3"/>
        <v/>
      </c>
      <c r="T18" s="12" t="str">
        <f>IF(Raw_Data!AN21="","",Raw_Data!AN21)</f>
        <v/>
      </c>
      <c r="U18" s="12" t="str">
        <f t="shared" si="4"/>
        <v/>
      </c>
      <c r="V18" s="12" t="str">
        <f>IF(Raw_Data!AP21="","",IF(Raw_Data!AP21="oui",1,0))</f>
        <v/>
      </c>
      <c r="W18" s="12" t="str">
        <f>IF(Raw_Data!AQ21="","",IF(Raw_Data!AQ21="oui",1,0))</f>
        <v/>
      </c>
      <c r="X18" s="12" t="str">
        <f>IF(Raw_Data!AR21="","",IF(Raw_Data!AR21="oui",1,0))</f>
        <v/>
      </c>
      <c r="Y18" s="12" t="str">
        <f>IF(Raw_Data!AS21="","",IF(Raw_Data!AS21="oui",1,0))</f>
        <v/>
      </c>
      <c r="Z18" s="12" t="str">
        <f>IF(Raw_Data!V21="","",IF(Raw_Data!V21="oui",1,0))</f>
        <v/>
      </c>
      <c r="AA18" s="12" t="str">
        <f>IF(Raw_Data!W21="","",IF(Raw_Data!W21="oui",1,0))</f>
        <v/>
      </c>
      <c r="AB18" s="12" t="str">
        <f>IF(Raw_Data!Q21="","",IF(Raw_Data!Q21="oui",1,0))</f>
        <v/>
      </c>
      <c r="AC18" s="12">
        <f>Raw_Data!AF21</f>
        <v>0</v>
      </c>
      <c r="AD18" s="12" t="str">
        <f t="shared" si="5"/>
        <v/>
      </c>
      <c r="AE18" s="12" t="str">
        <f t="shared" si="6"/>
        <v/>
      </c>
      <c r="AF18" s="12" t="str">
        <f t="shared" si="7"/>
        <v/>
      </c>
      <c r="AG18" s="12">
        <f t="shared" si="8"/>
        <v>0</v>
      </c>
    </row>
    <row r="19" spans="1:33" ht="15" customHeight="1" x14ac:dyDescent="0.25">
      <c r="A19" s="12" t="str">
        <f>IF(Raw_Data!B22="","",Raw_Data!B22)</f>
        <v/>
      </c>
      <c r="B19" s="12">
        <f>IF(Raw_Data!X22&lt;&gt;"",Raw_Data!X22,Raw_Data!C22)</f>
        <v>0</v>
      </c>
      <c r="C19" s="12" t="str">
        <f>IF(Raw_Data!G22="","",Raw_Data!G22)</f>
        <v/>
      </c>
      <c r="D19" s="12" t="str">
        <f>IF(Raw_Data!H22="","",Raw_Data!H22)</f>
        <v/>
      </c>
      <c r="E19" s="12" t="str">
        <f>IF(Raw_Data!I22="","",Raw_Data!I22)</f>
        <v/>
      </c>
      <c r="F19" s="12" t="str">
        <f>IF(Raw_Data!J22="","",Raw_Data!J22)</f>
        <v/>
      </c>
      <c r="G19" s="12" t="str">
        <f>IF(Raw_Data!AH22&lt;&gt;"",Raw_Data!AH22,IF(Raw_Data!K22&lt;&gt;"",Raw_Data!K22,""))</f>
        <v/>
      </c>
      <c r="H19" s="12" t="str">
        <f>IF(Raw_Data!AI22&lt;&gt;"",Raw_Data!AI22,IF(Raw_Data!L22&lt;&gt;"",Raw_Data!L22,""))</f>
        <v/>
      </c>
      <c r="I19" s="12" t="str">
        <f t="shared" si="0"/>
        <v/>
      </c>
      <c r="J19" s="12" t="str">
        <f>IF(Raw_Data!M22="","",Raw_Data!M22)</f>
        <v/>
      </c>
      <c r="K19" s="12">
        <f>IF(Raw_Data!AJ22&lt;&gt;"",Raw_Data!AJ22,Raw_Data!N22)</f>
        <v>0</v>
      </c>
      <c r="L19" s="12">
        <f t="shared" si="1"/>
        <v>1</v>
      </c>
      <c r="M19" s="12" t="str">
        <f>IF(Raw_Data!AK22="","",Raw_Data!AK22)</f>
        <v/>
      </c>
      <c r="N19" s="12" t="str">
        <f>IF(Raw_Data!T22="","",Raw_Data!T22)</f>
        <v/>
      </c>
      <c r="O19" s="12" t="str">
        <f>IF(Raw_Data!AB22&lt;&gt;"",Raw_Data!AB22,IF(N19="tres_insatisfait",1,IF(N19="insatisfait",2,IF(N19="neutre",3,IF(N19="satisfait",4,IF(N19="tres_satisfait",5,""))))))</f>
        <v/>
      </c>
      <c r="P19" s="12">
        <f>IF(Raw_Data!AL22&lt;&gt;"",Raw_Data!AL22,Raw_Data!R22)</f>
        <v>0</v>
      </c>
      <c r="Q19" s="12">
        <f t="shared" si="2"/>
        <v>0</v>
      </c>
      <c r="R19" s="12" t="str">
        <f>IF(Raw_Data!AM22="","",Raw_Data!AM22)</f>
        <v/>
      </c>
      <c r="S19" s="12" t="str">
        <f t="shared" si="3"/>
        <v/>
      </c>
      <c r="T19" s="12" t="str">
        <f>IF(Raw_Data!AN22="","",Raw_Data!AN22)</f>
        <v/>
      </c>
      <c r="U19" s="12" t="str">
        <f t="shared" si="4"/>
        <v/>
      </c>
      <c r="V19" s="12" t="str">
        <f>IF(Raw_Data!AP22="","",IF(Raw_Data!AP22="oui",1,0))</f>
        <v/>
      </c>
      <c r="W19" s="12" t="str">
        <f>IF(Raw_Data!AQ22="","",IF(Raw_Data!AQ22="oui",1,0))</f>
        <v/>
      </c>
      <c r="X19" s="12" t="str">
        <f>IF(Raw_Data!AR22="","",IF(Raw_Data!AR22="oui",1,0))</f>
        <v/>
      </c>
      <c r="Y19" s="12" t="str">
        <f>IF(Raw_Data!AS22="","",IF(Raw_Data!AS22="oui",1,0))</f>
        <v/>
      </c>
      <c r="Z19" s="12" t="str">
        <f>IF(Raw_Data!V22="","",IF(Raw_Data!V22="oui",1,0))</f>
        <v/>
      </c>
      <c r="AA19" s="12" t="str">
        <f>IF(Raw_Data!W22="","",IF(Raw_Data!W22="oui",1,0))</f>
        <v/>
      </c>
      <c r="AB19" s="12" t="str">
        <f>IF(Raw_Data!Q22="","",IF(Raw_Data!Q22="oui",1,0))</f>
        <v/>
      </c>
      <c r="AC19" s="12">
        <f>Raw_Data!AF22</f>
        <v>0</v>
      </c>
      <c r="AD19" s="12" t="str">
        <f t="shared" si="5"/>
        <v/>
      </c>
      <c r="AE19" s="12" t="str">
        <f t="shared" si="6"/>
        <v/>
      </c>
      <c r="AF19" s="12" t="str">
        <f t="shared" si="7"/>
        <v/>
      </c>
      <c r="AG19" s="12">
        <f t="shared" si="8"/>
        <v>0</v>
      </c>
    </row>
    <row r="20" spans="1:33" ht="15" customHeight="1" x14ac:dyDescent="0.25">
      <c r="A20" s="12" t="str">
        <f>IF(Raw_Data!B23="","",Raw_Data!B23)</f>
        <v/>
      </c>
      <c r="B20" s="12">
        <f>IF(Raw_Data!X23&lt;&gt;"",Raw_Data!X23,Raw_Data!C23)</f>
        <v>0</v>
      </c>
      <c r="C20" s="12" t="str">
        <f>IF(Raw_Data!G23="","",Raw_Data!G23)</f>
        <v/>
      </c>
      <c r="D20" s="12" t="str">
        <f>IF(Raw_Data!H23="","",Raw_Data!H23)</f>
        <v/>
      </c>
      <c r="E20" s="12" t="str">
        <f>IF(Raw_Data!I23="","",Raw_Data!I23)</f>
        <v/>
      </c>
      <c r="F20" s="12" t="str">
        <f>IF(Raw_Data!J23="","",Raw_Data!J23)</f>
        <v/>
      </c>
      <c r="G20" s="12" t="str">
        <f>IF(Raw_Data!AH23&lt;&gt;"",Raw_Data!AH23,IF(Raw_Data!K23&lt;&gt;"",Raw_Data!K23,""))</f>
        <v/>
      </c>
      <c r="H20" s="12" t="str">
        <f>IF(Raw_Data!AI23&lt;&gt;"",Raw_Data!AI23,IF(Raw_Data!L23&lt;&gt;"",Raw_Data!L23,""))</f>
        <v/>
      </c>
      <c r="I20" s="12" t="str">
        <f t="shared" si="0"/>
        <v/>
      </c>
      <c r="J20" s="12" t="str">
        <f>IF(Raw_Data!M23="","",Raw_Data!M23)</f>
        <v/>
      </c>
      <c r="K20" s="12">
        <f>IF(Raw_Data!AJ23&lt;&gt;"",Raw_Data!AJ23,Raw_Data!N23)</f>
        <v>0</v>
      </c>
      <c r="L20" s="12">
        <f t="shared" si="1"/>
        <v>1</v>
      </c>
      <c r="M20" s="12" t="str">
        <f>IF(Raw_Data!AK23="","",Raw_Data!AK23)</f>
        <v/>
      </c>
      <c r="N20" s="12" t="str">
        <f>IF(Raw_Data!T23="","",Raw_Data!T23)</f>
        <v/>
      </c>
      <c r="O20" s="12" t="str">
        <f>IF(Raw_Data!AB23&lt;&gt;"",Raw_Data!AB23,IF(N20="tres_insatisfait",1,IF(N20="insatisfait",2,IF(N20="neutre",3,IF(N20="satisfait",4,IF(N20="tres_satisfait",5,""))))))</f>
        <v/>
      </c>
      <c r="P20" s="12">
        <f>IF(Raw_Data!AL23&lt;&gt;"",Raw_Data!AL23,Raw_Data!R23)</f>
        <v>0</v>
      </c>
      <c r="Q20" s="12">
        <f t="shared" si="2"/>
        <v>0</v>
      </c>
      <c r="R20" s="12" t="str">
        <f>IF(Raw_Data!AM23="","",Raw_Data!AM23)</f>
        <v/>
      </c>
      <c r="S20" s="12" t="str">
        <f t="shared" si="3"/>
        <v/>
      </c>
      <c r="T20" s="12" t="str">
        <f>IF(Raw_Data!AN23="","",Raw_Data!AN23)</f>
        <v/>
      </c>
      <c r="U20" s="12" t="str">
        <f t="shared" si="4"/>
        <v/>
      </c>
      <c r="V20" s="12" t="str">
        <f>IF(Raw_Data!AP23="","",IF(Raw_Data!AP23="oui",1,0))</f>
        <v/>
      </c>
      <c r="W20" s="12" t="str">
        <f>IF(Raw_Data!AQ23="","",IF(Raw_Data!AQ23="oui",1,0))</f>
        <v/>
      </c>
      <c r="X20" s="12" t="str">
        <f>IF(Raw_Data!AR23="","",IF(Raw_Data!AR23="oui",1,0))</f>
        <v/>
      </c>
      <c r="Y20" s="12" t="str">
        <f>IF(Raw_Data!AS23="","",IF(Raw_Data!AS23="oui",1,0))</f>
        <v/>
      </c>
      <c r="Z20" s="12" t="str">
        <f>IF(Raw_Data!V23="","",IF(Raw_Data!V23="oui",1,0))</f>
        <v/>
      </c>
      <c r="AA20" s="12" t="str">
        <f>IF(Raw_Data!W23="","",IF(Raw_Data!W23="oui",1,0))</f>
        <v/>
      </c>
      <c r="AB20" s="12" t="str">
        <f>IF(Raw_Data!Q23="","",IF(Raw_Data!Q23="oui",1,0))</f>
        <v/>
      </c>
      <c r="AC20" s="12">
        <f>Raw_Data!AF23</f>
        <v>0</v>
      </c>
      <c r="AD20" s="12" t="str">
        <f t="shared" si="5"/>
        <v/>
      </c>
      <c r="AE20" s="12" t="str">
        <f t="shared" si="6"/>
        <v/>
      </c>
      <c r="AF20" s="12" t="str">
        <f t="shared" si="7"/>
        <v/>
      </c>
      <c r="AG20" s="12">
        <f t="shared" si="8"/>
        <v>0</v>
      </c>
    </row>
    <row r="21" spans="1:33" ht="15" customHeight="1" x14ac:dyDescent="0.25">
      <c r="A21" s="12" t="str">
        <f>IF(Raw_Data!B24="","",Raw_Data!B24)</f>
        <v/>
      </c>
      <c r="B21" s="12">
        <f>IF(Raw_Data!X24&lt;&gt;"",Raw_Data!X24,Raw_Data!C24)</f>
        <v>0</v>
      </c>
      <c r="C21" s="12" t="str">
        <f>IF(Raw_Data!G24="","",Raw_Data!G24)</f>
        <v/>
      </c>
      <c r="D21" s="12" t="str">
        <f>IF(Raw_Data!H24="","",Raw_Data!H24)</f>
        <v/>
      </c>
      <c r="E21" s="12" t="str">
        <f>IF(Raw_Data!I24="","",Raw_Data!I24)</f>
        <v/>
      </c>
      <c r="F21" s="12" t="str">
        <f>IF(Raw_Data!J24="","",Raw_Data!J24)</f>
        <v/>
      </c>
      <c r="G21" s="12" t="str">
        <f>IF(Raw_Data!AH24&lt;&gt;"",Raw_Data!AH24,IF(Raw_Data!K24&lt;&gt;"",Raw_Data!K24,""))</f>
        <v/>
      </c>
      <c r="H21" s="12" t="str">
        <f>IF(Raw_Data!AI24&lt;&gt;"",Raw_Data!AI24,IF(Raw_Data!L24&lt;&gt;"",Raw_Data!L24,""))</f>
        <v/>
      </c>
      <c r="I21" s="12" t="str">
        <f t="shared" si="0"/>
        <v/>
      </c>
      <c r="J21" s="12" t="str">
        <f>IF(Raw_Data!M24="","",Raw_Data!M24)</f>
        <v/>
      </c>
      <c r="K21" s="12">
        <f>IF(Raw_Data!AJ24&lt;&gt;"",Raw_Data!AJ24,Raw_Data!N24)</f>
        <v>0</v>
      </c>
      <c r="L21" s="12">
        <f t="shared" si="1"/>
        <v>1</v>
      </c>
      <c r="M21" s="12" t="str">
        <f>IF(Raw_Data!AK24="","",Raw_Data!AK24)</f>
        <v/>
      </c>
      <c r="N21" s="12" t="str">
        <f>IF(Raw_Data!T24="","",Raw_Data!T24)</f>
        <v/>
      </c>
      <c r="O21" s="12" t="str">
        <f>IF(Raw_Data!AB24&lt;&gt;"",Raw_Data!AB24,IF(N21="tres_insatisfait",1,IF(N21="insatisfait",2,IF(N21="neutre",3,IF(N21="satisfait",4,IF(N21="tres_satisfait",5,""))))))</f>
        <v/>
      </c>
      <c r="P21" s="12">
        <f>IF(Raw_Data!AL24&lt;&gt;"",Raw_Data!AL24,Raw_Data!R24)</f>
        <v>0</v>
      </c>
      <c r="Q21" s="12">
        <f t="shared" si="2"/>
        <v>0</v>
      </c>
      <c r="R21" s="12" t="str">
        <f>IF(Raw_Data!AM24="","",Raw_Data!AM24)</f>
        <v/>
      </c>
      <c r="S21" s="12" t="str">
        <f t="shared" si="3"/>
        <v/>
      </c>
      <c r="T21" s="12" t="str">
        <f>IF(Raw_Data!AN24="","",Raw_Data!AN24)</f>
        <v/>
      </c>
      <c r="U21" s="12" t="str">
        <f t="shared" si="4"/>
        <v/>
      </c>
      <c r="V21" s="12" t="str">
        <f>IF(Raw_Data!AP24="","",IF(Raw_Data!AP24="oui",1,0))</f>
        <v/>
      </c>
      <c r="W21" s="12" t="str">
        <f>IF(Raw_Data!AQ24="","",IF(Raw_Data!AQ24="oui",1,0))</f>
        <v/>
      </c>
      <c r="X21" s="12" t="str">
        <f>IF(Raw_Data!AR24="","",IF(Raw_Data!AR24="oui",1,0))</f>
        <v/>
      </c>
      <c r="Y21" s="12" t="str">
        <f>IF(Raw_Data!AS24="","",IF(Raw_Data!AS24="oui",1,0))</f>
        <v/>
      </c>
      <c r="Z21" s="12" t="str">
        <f>IF(Raw_Data!V24="","",IF(Raw_Data!V24="oui",1,0))</f>
        <v/>
      </c>
      <c r="AA21" s="12" t="str">
        <f>IF(Raw_Data!W24="","",IF(Raw_Data!W24="oui",1,0))</f>
        <v/>
      </c>
      <c r="AB21" s="12" t="str">
        <f>IF(Raw_Data!Q24="","",IF(Raw_Data!Q24="oui",1,0))</f>
        <v/>
      </c>
      <c r="AC21" s="12">
        <f>Raw_Data!AF24</f>
        <v>0</v>
      </c>
      <c r="AD21" s="12" t="str">
        <f t="shared" si="5"/>
        <v/>
      </c>
      <c r="AE21" s="12" t="str">
        <f t="shared" si="6"/>
        <v/>
      </c>
      <c r="AF21" s="12" t="str">
        <f t="shared" si="7"/>
        <v/>
      </c>
      <c r="AG21" s="12">
        <f t="shared" si="8"/>
        <v>0</v>
      </c>
    </row>
    <row r="22" spans="1:33" ht="15" customHeight="1" x14ac:dyDescent="0.25">
      <c r="A22" s="12" t="str">
        <f>IF(Raw_Data!B25="","",Raw_Data!B25)</f>
        <v/>
      </c>
      <c r="B22" s="12">
        <f>IF(Raw_Data!X25&lt;&gt;"",Raw_Data!X25,Raw_Data!C25)</f>
        <v>0</v>
      </c>
      <c r="C22" s="12" t="str">
        <f>IF(Raw_Data!G25="","",Raw_Data!G25)</f>
        <v/>
      </c>
      <c r="D22" s="12" t="str">
        <f>IF(Raw_Data!H25="","",Raw_Data!H25)</f>
        <v/>
      </c>
      <c r="E22" s="12" t="str">
        <f>IF(Raw_Data!I25="","",Raw_Data!I25)</f>
        <v/>
      </c>
      <c r="F22" s="12" t="str">
        <f>IF(Raw_Data!J25="","",Raw_Data!J25)</f>
        <v/>
      </c>
      <c r="G22" s="12" t="str">
        <f>IF(Raw_Data!AH25&lt;&gt;"",Raw_Data!AH25,IF(Raw_Data!K25&lt;&gt;"",Raw_Data!K25,""))</f>
        <v/>
      </c>
      <c r="H22" s="12" t="str">
        <f>IF(Raw_Data!AI25&lt;&gt;"",Raw_Data!AI25,IF(Raw_Data!L25&lt;&gt;"",Raw_Data!L25,""))</f>
        <v/>
      </c>
      <c r="I22" s="12" t="str">
        <f t="shared" si="0"/>
        <v/>
      </c>
      <c r="J22" s="12" t="str">
        <f>IF(Raw_Data!M25="","",Raw_Data!M25)</f>
        <v/>
      </c>
      <c r="K22" s="12">
        <f>IF(Raw_Data!AJ25&lt;&gt;"",Raw_Data!AJ25,Raw_Data!N25)</f>
        <v>0</v>
      </c>
      <c r="L22" s="12">
        <f t="shared" si="1"/>
        <v>1</v>
      </c>
      <c r="M22" s="12" t="str">
        <f>IF(Raw_Data!AK25="","",Raw_Data!AK25)</f>
        <v/>
      </c>
      <c r="N22" s="12" t="str">
        <f>IF(Raw_Data!T25="","",Raw_Data!T25)</f>
        <v/>
      </c>
      <c r="O22" s="12" t="str">
        <f>IF(Raw_Data!AB25&lt;&gt;"",Raw_Data!AB25,IF(N22="tres_insatisfait",1,IF(N22="insatisfait",2,IF(N22="neutre",3,IF(N22="satisfait",4,IF(N22="tres_satisfait",5,""))))))</f>
        <v/>
      </c>
      <c r="P22" s="12">
        <f>IF(Raw_Data!AL25&lt;&gt;"",Raw_Data!AL25,Raw_Data!R25)</f>
        <v>0</v>
      </c>
      <c r="Q22" s="12">
        <f t="shared" si="2"/>
        <v>0</v>
      </c>
      <c r="R22" s="12" t="str">
        <f>IF(Raw_Data!AM25="","",Raw_Data!AM25)</f>
        <v/>
      </c>
      <c r="S22" s="12" t="str">
        <f t="shared" si="3"/>
        <v/>
      </c>
      <c r="T22" s="12" t="str">
        <f>IF(Raw_Data!AN25="","",Raw_Data!AN25)</f>
        <v/>
      </c>
      <c r="U22" s="12" t="str">
        <f t="shared" si="4"/>
        <v/>
      </c>
      <c r="V22" s="12" t="str">
        <f>IF(Raw_Data!AP25="","",IF(Raw_Data!AP25="oui",1,0))</f>
        <v/>
      </c>
      <c r="W22" s="12" t="str">
        <f>IF(Raw_Data!AQ25="","",IF(Raw_Data!AQ25="oui",1,0))</f>
        <v/>
      </c>
      <c r="X22" s="12" t="str">
        <f>IF(Raw_Data!AR25="","",IF(Raw_Data!AR25="oui",1,0))</f>
        <v/>
      </c>
      <c r="Y22" s="12" t="str">
        <f>IF(Raw_Data!AS25="","",IF(Raw_Data!AS25="oui",1,0))</f>
        <v/>
      </c>
      <c r="Z22" s="12" t="str">
        <f>IF(Raw_Data!V25="","",IF(Raw_Data!V25="oui",1,0))</f>
        <v/>
      </c>
      <c r="AA22" s="12" t="str">
        <f>IF(Raw_Data!W25="","",IF(Raw_Data!W25="oui",1,0))</f>
        <v/>
      </c>
      <c r="AB22" s="12" t="str">
        <f>IF(Raw_Data!Q25="","",IF(Raw_Data!Q25="oui",1,0))</f>
        <v/>
      </c>
      <c r="AC22" s="12">
        <f>Raw_Data!AF25</f>
        <v>0</v>
      </c>
      <c r="AD22" s="12" t="str">
        <f t="shared" si="5"/>
        <v/>
      </c>
      <c r="AE22" s="12" t="str">
        <f t="shared" si="6"/>
        <v/>
      </c>
      <c r="AF22" s="12" t="str">
        <f t="shared" si="7"/>
        <v/>
      </c>
      <c r="AG22" s="12">
        <f t="shared" si="8"/>
        <v>0</v>
      </c>
    </row>
    <row r="23" spans="1:33" ht="15" customHeight="1" x14ac:dyDescent="0.25">
      <c r="A23" s="12" t="str">
        <f>IF(Raw_Data!B26="","",Raw_Data!B26)</f>
        <v/>
      </c>
      <c r="B23" s="12">
        <f>IF(Raw_Data!X26&lt;&gt;"",Raw_Data!X26,Raw_Data!C26)</f>
        <v>0</v>
      </c>
      <c r="C23" s="12" t="str">
        <f>IF(Raw_Data!G26="","",Raw_Data!G26)</f>
        <v/>
      </c>
      <c r="D23" s="12" t="str">
        <f>IF(Raw_Data!H26="","",Raw_Data!H26)</f>
        <v/>
      </c>
      <c r="E23" s="12" t="str">
        <f>IF(Raw_Data!I26="","",Raw_Data!I26)</f>
        <v/>
      </c>
      <c r="F23" s="12" t="str">
        <f>IF(Raw_Data!J26="","",Raw_Data!J26)</f>
        <v/>
      </c>
      <c r="G23" s="12" t="str">
        <f>IF(Raw_Data!AH26&lt;&gt;"",Raw_Data!AH26,IF(Raw_Data!K26&lt;&gt;"",Raw_Data!K26,""))</f>
        <v/>
      </c>
      <c r="H23" s="12" t="str">
        <f>IF(Raw_Data!AI26&lt;&gt;"",Raw_Data!AI26,IF(Raw_Data!L26&lt;&gt;"",Raw_Data!L26,""))</f>
        <v/>
      </c>
      <c r="I23" s="12" t="str">
        <f t="shared" si="0"/>
        <v/>
      </c>
      <c r="J23" s="12" t="str">
        <f>IF(Raw_Data!M26="","",Raw_Data!M26)</f>
        <v/>
      </c>
      <c r="K23" s="12">
        <f>IF(Raw_Data!AJ26&lt;&gt;"",Raw_Data!AJ26,Raw_Data!N26)</f>
        <v>0</v>
      </c>
      <c r="L23" s="12">
        <f t="shared" si="1"/>
        <v>1</v>
      </c>
      <c r="M23" s="12" t="str">
        <f>IF(Raw_Data!AK26="","",Raw_Data!AK26)</f>
        <v/>
      </c>
      <c r="N23" s="12" t="str">
        <f>IF(Raw_Data!T26="","",Raw_Data!T26)</f>
        <v/>
      </c>
      <c r="O23" s="12" t="str">
        <f>IF(Raw_Data!AB26&lt;&gt;"",Raw_Data!AB26,IF(N23="tres_insatisfait",1,IF(N23="insatisfait",2,IF(N23="neutre",3,IF(N23="satisfait",4,IF(N23="tres_satisfait",5,""))))))</f>
        <v/>
      </c>
      <c r="P23" s="12">
        <f>IF(Raw_Data!AL26&lt;&gt;"",Raw_Data!AL26,Raw_Data!R26)</f>
        <v>0</v>
      </c>
      <c r="Q23" s="12">
        <f t="shared" si="2"/>
        <v>0</v>
      </c>
      <c r="R23" s="12" t="str">
        <f>IF(Raw_Data!AM26="","",Raw_Data!AM26)</f>
        <v/>
      </c>
      <c r="S23" s="12" t="str">
        <f t="shared" si="3"/>
        <v/>
      </c>
      <c r="T23" s="12" t="str">
        <f>IF(Raw_Data!AN26="","",Raw_Data!AN26)</f>
        <v/>
      </c>
      <c r="U23" s="12" t="str">
        <f t="shared" si="4"/>
        <v/>
      </c>
      <c r="V23" s="12" t="str">
        <f>IF(Raw_Data!AP26="","",IF(Raw_Data!AP26="oui",1,0))</f>
        <v/>
      </c>
      <c r="W23" s="12" t="str">
        <f>IF(Raw_Data!AQ26="","",IF(Raw_Data!AQ26="oui",1,0))</f>
        <v/>
      </c>
      <c r="X23" s="12" t="str">
        <f>IF(Raw_Data!AR26="","",IF(Raw_Data!AR26="oui",1,0))</f>
        <v/>
      </c>
      <c r="Y23" s="12" t="str">
        <f>IF(Raw_Data!AS26="","",IF(Raw_Data!AS26="oui",1,0))</f>
        <v/>
      </c>
      <c r="Z23" s="12" t="str">
        <f>IF(Raw_Data!V26="","",IF(Raw_Data!V26="oui",1,0))</f>
        <v/>
      </c>
      <c r="AA23" s="12" t="str">
        <f>IF(Raw_Data!W26="","",IF(Raw_Data!W26="oui",1,0))</f>
        <v/>
      </c>
      <c r="AB23" s="12" t="str">
        <f>IF(Raw_Data!Q26="","",IF(Raw_Data!Q26="oui",1,0))</f>
        <v/>
      </c>
      <c r="AC23" s="12">
        <f>Raw_Data!AF26</f>
        <v>0</v>
      </c>
      <c r="AD23" s="12" t="str">
        <f t="shared" si="5"/>
        <v/>
      </c>
      <c r="AE23" s="12" t="str">
        <f t="shared" si="6"/>
        <v/>
      </c>
      <c r="AF23" s="12" t="str">
        <f t="shared" si="7"/>
        <v/>
      </c>
      <c r="AG23" s="12">
        <f t="shared" si="8"/>
        <v>0</v>
      </c>
    </row>
    <row r="24" spans="1:33" ht="15" customHeight="1" x14ac:dyDescent="0.25">
      <c r="A24" s="12" t="str">
        <f>IF(Raw_Data!B27="","",Raw_Data!B27)</f>
        <v/>
      </c>
      <c r="B24" s="12">
        <f>IF(Raw_Data!X27&lt;&gt;"",Raw_Data!X27,Raw_Data!C27)</f>
        <v>0</v>
      </c>
      <c r="C24" s="12" t="str">
        <f>IF(Raw_Data!G27="","",Raw_Data!G27)</f>
        <v/>
      </c>
      <c r="D24" s="12" t="str">
        <f>IF(Raw_Data!H27="","",Raw_Data!H27)</f>
        <v/>
      </c>
      <c r="E24" s="12" t="str">
        <f>IF(Raw_Data!I27="","",Raw_Data!I27)</f>
        <v/>
      </c>
      <c r="F24" s="12" t="str">
        <f>IF(Raw_Data!J27="","",Raw_Data!J27)</f>
        <v/>
      </c>
      <c r="G24" s="12" t="str">
        <f>IF(Raw_Data!AH27&lt;&gt;"",Raw_Data!AH27,IF(Raw_Data!K27&lt;&gt;"",Raw_Data!K27,""))</f>
        <v/>
      </c>
      <c r="H24" s="12" t="str">
        <f>IF(Raw_Data!AI27&lt;&gt;"",Raw_Data!AI27,IF(Raw_Data!L27&lt;&gt;"",Raw_Data!L27,""))</f>
        <v/>
      </c>
      <c r="I24" s="12" t="str">
        <f t="shared" si="0"/>
        <v/>
      </c>
      <c r="J24" s="12" t="str">
        <f>IF(Raw_Data!M27="","",Raw_Data!M27)</f>
        <v/>
      </c>
      <c r="K24" s="12">
        <f>IF(Raw_Data!AJ27&lt;&gt;"",Raw_Data!AJ27,Raw_Data!N27)</f>
        <v>0</v>
      </c>
      <c r="L24" s="12">
        <f t="shared" si="1"/>
        <v>1</v>
      </c>
      <c r="M24" s="12" t="str">
        <f>IF(Raw_Data!AK27="","",Raw_Data!AK27)</f>
        <v/>
      </c>
      <c r="N24" s="12" t="str">
        <f>IF(Raw_Data!T27="","",Raw_Data!T27)</f>
        <v/>
      </c>
      <c r="O24" s="12" t="str">
        <f>IF(Raw_Data!AB27&lt;&gt;"",Raw_Data!AB27,IF(N24="tres_insatisfait",1,IF(N24="insatisfait",2,IF(N24="neutre",3,IF(N24="satisfait",4,IF(N24="tres_satisfait",5,""))))))</f>
        <v/>
      </c>
      <c r="P24" s="12">
        <f>IF(Raw_Data!AL27&lt;&gt;"",Raw_Data!AL27,Raw_Data!R27)</f>
        <v>0</v>
      </c>
      <c r="Q24" s="12">
        <f t="shared" si="2"/>
        <v>0</v>
      </c>
      <c r="R24" s="12" t="str">
        <f>IF(Raw_Data!AM27="","",Raw_Data!AM27)</f>
        <v/>
      </c>
      <c r="S24" s="12" t="str">
        <f t="shared" si="3"/>
        <v/>
      </c>
      <c r="T24" s="12" t="str">
        <f>IF(Raw_Data!AN27="","",Raw_Data!AN27)</f>
        <v/>
      </c>
      <c r="U24" s="12" t="str">
        <f t="shared" si="4"/>
        <v/>
      </c>
      <c r="V24" s="12" t="str">
        <f>IF(Raw_Data!AP27="","",IF(Raw_Data!AP27="oui",1,0))</f>
        <v/>
      </c>
      <c r="W24" s="12" t="str">
        <f>IF(Raw_Data!AQ27="","",IF(Raw_Data!AQ27="oui",1,0))</f>
        <v/>
      </c>
      <c r="X24" s="12" t="str">
        <f>IF(Raw_Data!AR27="","",IF(Raw_Data!AR27="oui",1,0))</f>
        <v/>
      </c>
      <c r="Y24" s="12" t="str">
        <f>IF(Raw_Data!AS27="","",IF(Raw_Data!AS27="oui",1,0))</f>
        <v/>
      </c>
      <c r="Z24" s="12" t="str">
        <f>IF(Raw_Data!V27="","",IF(Raw_Data!V27="oui",1,0))</f>
        <v/>
      </c>
      <c r="AA24" s="12" t="str">
        <f>IF(Raw_Data!W27="","",IF(Raw_Data!W27="oui",1,0))</f>
        <v/>
      </c>
      <c r="AB24" s="12" t="str">
        <f>IF(Raw_Data!Q27="","",IF(Raw_Data!Q27="oui",1,0))</f>
        <v/>
      </c>
      <c r="AC24" s="12">
        <f>Raw_Data!AF27</f>
        <v>0</v>
      </c>
      <c r="AD24" s="12" t="str">
        <f t="shared" si="5"/>
        <v/>
      </c>
      <c r="AE24" s="12" t="str">
        <f t="shared" si="6"/>
        <v/>
      </c>
      <c r="AF24" s="12" t="str">
        <f t="shared" si="7"/>
        <v/>
      </c>
      <c r="AG24" s="12">
        <f t="shared" si="8"/>
        <v>0</v>
      </c>
    </row>
    <row r="25" spans="1:33" ht="15" customHeight="1" x14ac:dyDescent="0.25">
      <c r="A25" s="12" t="str">
        <f>IF(Raw_Data!B28="","",Raw_Data!B28)</f>
        <v/>
      </c>
      <c r="B25" s="12">
        <f>IF(Raw_Data!X28&lt;&gt;"",Raw_Data!X28,Raw_Data!C28)</f>
        <v>0</v>
      </c>
      <c r="C25" s="12" t="str">
        <f>IF(Raw_Data!G28="","",Raw_Data!G28)</f>
        <v/>
      </c>
      <c r="D25" s="12" t="str">
        <f>IF(Raw_Data!H28="","",Raw_Data!H28)</f>
        <v/>
      </c>
      <c r="E25" s="12" t="str">
        <f>IF(Raw_Data!I28="","",Raw_Data!I28)</f>
        <v/>
      </c>
      <c r="F25" s="12" t="str">
        <f>IF(Raw_Data!J28="","",Raw_Data!J28)</f>
        <v/>
      </c>
      <c r="G25" s="12" t="str">
        <f>IF(Raw_Data!AH28&lt;&gt;"",Raw_Data!AH28,IF(Raw_Data!K28&lt;&gt;"",Raw_Data!K28,""))</f>
        <v/>
      </c>
      <c r="H25" s="12" t="str">
        <f>IF(Raw_Data!AI28&lt;&gt;"",Raw_Data!AI28,IF(Raw_Data!L28&lt;&gt;"",Raw_Data!L28,""))</f>
        <v/>
      </c>
      <c r="I25" s="12" t="str">
        <f t="shared" si="0"/>
        <v/>
      </c>
      <c r="J25" s="12" t="str">
        <f>IF(Raw_Data!M28="","",Raw_Data!M28)</f>
        <v/>
      </c>
      <c r="K25" s="12">
        <f>IF(Raw_Data!AJ28&lt;&gt;"",Raw_Data!AJ28,Raw_Data!N28)</f>
        <v>0</v>
      </c>
      <c r="L25" s="12">
        <f t="shared" si="1"/>
        <v>1</v>
      </c>
      <c r="M25" s="12" t="str">
        <f>IF(Raw_Data!AK28="","",Raw_Data!AK28)</f>
        <v/>
      </c>
      <c r="N25" s="12" t="str">
        <f>IF(Raw_Data!T28="","",Raw_Data!T28)</f>
        <v/>
      </c>
      <c r="O25" s="12" t="str">
        <f>IF(Raw_Data!AB28&lt;&gt;"",Raw_Data!AB28,IF(N25="tres_insatisfait",1,IF(N25="insatisfait",2,IF(N25="neutre",3,IF(N25="satisfait",4,IF(N25="tres_satisfait",5,""))))))</f>
        <v/>
      </c>
      <c r="P25" s="12">
        <f>IF(Raw_Data!AL28&lt;&gt;"",Raw_Data!AL28,Raw_Data!R28)</f>
        <v>0</v>
      </c>
      <c r="Q25" s="12">
        <f t="shared" si="2"/>
        <v>0</v>
      </c>
      <c r="R25" s="12" t="str">
        <f>IF(Raw_Data!AM28="","",Raw_Data!AM28)</f>
        <v/>
      </c>
      <c r="S25" s="12" t="str">
        <f t="shared" si="3"/>
        <v/>
      </c>
      <c r="T25" s="12" t="str">
        <f>IF(Raw_Data!AN28="","",Raw_Data!AN28)</f>
        <v/>
      </c>
      <c r="U25" s="12" t="str">
        <f t="shared" si="4"/>
        <v/>
      </c>
      <c r="V25" s="12" t="str">
        <f>IF(Raw_Data!AP28="","",IF(Raw_Data!AP28="oui",1,0))</f>
        <v/>
      </c>
      <c r="W25" s="12" t="str">
        <f>IF(Raw_Data!AQ28="","",IF(Raw_Data!AQ28="oui",1,0))</f>
        <v/>
      </c>
      <c r="X25" s="12" t="str">
        <f>IF(Raw_Data!AR28="","",IF(Raw_Data!AR28="oui",1,0))</f>
        <v/>
      </c>
      <c r="Y25" s="12" t="str">
        <f>IF(Raw_Data!AS28="","",IF(Raw_Data!AS28="oui",1,0))</f>
        <v/>
      </c>
      <c r="Z25" s="12" t="str">
        <f>IF(Raw_Data!V28="","",IF(Raw_Data!V28="oui",1,0))</f>
        <v/>
      </c>
      <c r="AA25" s="12" t="str">
        <f>IF(Raw_Data!W28="","",IF(Raw_Data!W28="oui",1,0))</f>
        <v/>
      </c>
      <c r="AB25" s="12" t="str">
        <f>IF(Raw_Data!Q28="","",IF(Raw_Data!Q28="oui",1,0))</f>
        <v/>
      </c>
      <c r="AC25" s="12">
        <f>Raw_Data!AF28</f>
        <v>0</v>
      </c>
      <c r="AD25" s="12" t="str">
        <f t="shared" si="5"/>
        <v/>
      </c>
      <c r="AE25" s="12" t="str">
        <f t="shared" si="6"/>
        <v/>
      </c>
      <c r="AF25" s="12" t="str">
        <f t="shared" si="7"/>
        <v/>
      </c>
      <c r="AG25" s="12">
        <f t="shared" si="8"/>
        <v>0</v>
      </c>
    </row>
    <row r="26" spans="1:33" ht="15" customHeight="1" x14ac:dyDescent="0.25">
      <c r="A26" s="12" t="str">
        <f>IF(Raw_Data!B29="","",Raw_Data!B29)</f>
        <v/>
      </c>
      <c r="B26" s="12">
        <f>IF(Raw_Data!X29&lt;&gt;"",Raw_Data!X29,Raw_Data!C29)</f>
        <v>0</v>
      </c>
      <c r="C26" s="12" t="str">
        <f>IF(Raw_Data!G29="","",Raw_Data!G29)</f>
        <v/>
      </c>
      <c r="D26" s="12" t="str">
        <f>IF(Raw_Data!H29="","",Raw_Data!H29)</f>
        <v/>
      </c>
      <c r="E26" s="12" t="str">
        <f>IF(Raw_Data!I29="","",Raw_Data!I29)</f>
        <v/>
      </c>
      <c r="F26" s="12" t="str">
        <f>IF(Raw_Data!J29="","",Raw_Data!J29)</f>
        <v/>
      </c>
      <c r="G26" s="12" t="str">
        <f>IF(Raw_Data!AH29&lt;&gt;"",Raw_Data!AH29,IF(Raw_Data!K29&lt;&gt;"",Raw_Data!K29,""))</f>
        <v/>
      </c>
      <c r="H26" s="12" t="str">
        <f>IF(Raw_Data!AI29&lt;&gt;"",Raw_Data!AI29,IF(Raw_Data!L29&lt;&gt;"",Raw_Data!L29,""))</f>
        <v/>
      </c>
      <c r="I26" s="12" t="str">
        <f t="shared" si="0"/>
        <v/>
      </c>
      <c r="J26" s="12" t="str">
        <f>IF(Raw_Data!M29="","",Raw_Data!M29)</f>
        <v/>
      </c>
      <c r="K26" s="12">
        <f>IF(Raw_Data!AJ29&lt;&gt;"",Raw_Data!AJ29,Raw_Data!N29)</f>
        <v>0</v>
      </c>
      <c r="L26" s="12">
        <f t="shared" si="1"/>
        <v>1</v>
      </c>
      <c r="M26" s="12" t="str">
        <f>IF(Raw_Data!AK29="","",Raw_Data!AK29)</f>
        <v/>
      </c>
      <c r="N26" s="12" t="str">
        <f>IF(Raw_Data!T29="","",Raw_Data!T29)</f>
        <v/>
      </c>
      <c r="O26" s="12" t="str">
        <f>IF(Raw_Data!AB29&lt;&gt;"",Raw_Data!AB29,IF(N26="tres_insatisfait",1,IF(N26="insatisfait",2,IF(N26="neutre",3,IF(N26="satisfait",4,IF(N26="tres_satisfait",5,""))))))</f>
        <v/>
      </c>
      <c r="P26" s="12">
        <f>IF(Raw_Data!AL29&lt;&gt;"",Raw_Data!AL29,Raw_Data!R29)</f>
        <v>0</v>
      </c>
      <c r="Q26" s="12">
        <f t="shared" si="2"/>
        <v>0</v>
      </c>
      <c r="R26" s="12" t="str">
        <f>IF(Raw_Data!AM29="","",Raw_Data!AM29)</f>
        <v/>
      </c>
      <c r="S26" s="12" t="str">
        <f t="shared" si="3"/>
        <v/>
      </c>
      <c r="T26" s="12" t="str">
        <f>IF(Raw_Data!AN29="","",Raw_Data!AN29)</f>
        <v/>
      </c>
      <c r="U26" s="12" t="str">
        <f t="shared" si="4"/>
        <v/>
      </c>
      <c r="V26" s="12" t="str">
        <f>IF(Raw_Data!AP29="","",IF(Raw_Data!AP29="oui",1,0))</f>
        <v/>
      </c>
      <c r="W26" s="12" t="str">
        <f>IF(Raw_Data!AQ29="","",IF(Raw_Data!AQ29="oui",1,0))</f>
        <v/>
      </c>
      <c r="X26" s="12" t="str">
        <f>IF(Raw_Data!AR29="","",IF(Raw_Data!AR29="oui",1,0))</f>
        <v/>
      </c>
      <c r="Y26" s="12" t="str">
        <f>IF(Raw_Data!AS29="","",IF(Raw_Data!AS29="oui",1,0))</f>
        <v/>
      </c>
      <c r="Z26" s="12" t="str">
        <f>IF(Raw_Data!V29="","",IF(Raw_Data!V29="oui",1,0))</f>
        <v/>
      </c>
      <c r="AA26" s="12" t="str">
        <f>IF(Raw_Data!W29="","",IF(Raw_Data!W29="oui",1,0))</f>
        <v/>
      </c>
      <c r="AB26" s="12" t="str">
        <f>IF(Raw_Data!Q29="","",IF(Raw_Data!Q29="oui",1,0))</f>
        <v/>
      </c>
      <c r="AC26" s="12">
        <f>Raw_Data!AF29</f>
        <v>0</v>
      </c>
      <c r="AD26" s="12" t="str">
        <f t="shared" si="5"/>
        <v/>
      </c>
      <c r="AE26" s="12" t="str">
        <f t="shared" si="6"/>
        <v/>
      </c>
      <c r="AF26" s="12" t="str">
        <f t="shared" si="7"/>
        <v/>
      </c>
      <c r="AG26" s="12">
        <f t="shared" si="8"/>
        <v>0</v>
      </c>
    </row>
    <row r="27" spans="1:33" ht="15" customHeight="1" x14ac:dyDescent="0.25">
      <c r="A27" s="12" t="str">
        <f>IF(Raw_Data!B30="","",Raw_Data!B30)</f>
        <v/>
      </c>
      <c r="B27" s="12">
        <f>IF(Raw_Data!X30&lt;&gt;"",Raw_Data!X30,Raw_Data!C30)</f>
        <v>0</v>
      </c>
      <c r="C27" s="12" t="str">
        <f>IF(Raw_Data!G30="","",Raw_Data!G30)</f>
        <v/>
      </c>
      <c r="D27" s="12" t="str">
        <f>IF(Raw_Data!H30="","",Raw_Data!H30)</f>
        <v/>
      </c>
      <c r="E27" s="12" t="str">
        <f>IF(Raw_Data!I30="","",Raw_Data!I30)</f>
        <v/>
      </c>
      <c r="F27" s="12" t="str">
        <f>IF(Raw_Data!J30="","",Raw_Data!J30)</f>
        <v/>
      </c>
      <c r="G27" s="12" t="str">
        <f>IF(Raw_Data!AH30&lt;&gt;"",Raw_Data!AH30,IF(Raw_Data!K30&lt;&gt;"",Raw_Data!K30,""))</f>
        <v/>
      </c>
      <c r="H27" s="12" t="str">
        <f>IF(Raw_Data!AI30&lt;&gt;"",Raw_Data!AI30,IF(Raw_Data!L30&lt;&gt;"",Raw_Data!L30,""))</f>
        <v/>
      </c>
      <c r="I27" s="12" t="str">
        <f t="shared" si="0"/>
        <v/>
      </c>
      <c r="J27" s="12" t="str">
        <f>IF(Raw_Data!M30="","",Raw_Data!M30)</f>
        <v/>
      </c>
      <c r="K27" s="12">
        <f>IF(Raw_Data!AJ30&lt;&gt;"",Raw_Data!AJ30,Raw_Data!N30)</f>
        <v>0</v>
      </c>
      <c r="L27" s="12">
        <f t="shared" si="1"/>
        <v>1</v>
      </c>
      <c r="M27" s="12" t="str">
        <f>IF(Raw_Data!AK30="","",Raw_Data!AK30)</f>
        <v/>
      </c>
      <c r="N27" s="12" t="str">
        <f>IF(Raw_Data!T30="","",Raw_Data!T30)</f>
        <v/>
      </c>
      <c r="O27" s="12" t="str">
        <f>IF(Raw_Data!AB30&lt;&gt;"",Raw_Data!AB30,IF(N27="tres_insatisfait",1,IF(N27="insatisfait",2,IF(N27="neutre",3,IF(N27="satisfait",4,IF(N27="tres_satisfait",5,""))))))</f>
        <v/>
      </c>
      <c r="P27" s="12">
        <f>IF(Raw_Data!AL30&lt;&gt;"",Raw_Data!AL30,Raw_Data!R30)</f>
        <v>0</v>
      </c>
      <c r="Q27" s="12">
        <f t="shared" si="2"/>
        <v>0</v>
      </c>
      <c r="R27" s="12" t="str">
        <f>IF(Raw_Data!AM30="","",Raw_Data!AM30)</f>
        <v/>
      </c>
      <c r="S27" s="12" t="str">
        <f t="shared" si="3"/>
        <v/>
      </c>
      <c r="T27" s="12" t="str">
        <f>IF(Raw_Data!AN30="","",Raw_Data!AN30)</f>
        <v/>
      </c>
      <c r="U27" s="12" t="str">
        <f t="shared" si="4"/>
        <v/>
      </c>
      <c r="V27" s="12" t="str">
        <f>IF(Raw_Data!AP30="","",IF(Raw_Data!AP30="oui",1,0))</f>
        <v/>
      </c>
      <c r="W27" s="12" t="str">
        <f>IF(Raw_Data!AQ30="","",IF(Raw_Data!AQ30="oui",1,0))</f>
        <v/>
      </c>
      <c r="X27" s="12" t="str">
        <f>IF(Raw_Data!AR30="","",IF(Raw_Data!AR30="oui",1,0))</f>
        <v/>
      </c>
      <c r="Y27" s="12" t="str">
        <f>IF(Raw_Data!AS30="","",IF(Raw_Data!AS30="oui",1,0))</f>
        <v/>
      </c>
      <c r="Z27" s="12" t="str">
        <f>IF(Raw_Data!V30="","",IF(Raw_Data!V30="oui",1,0))</f>
        <v/>
      </c>
      <c r="AA27" s="12" t="str">
        <f>IF(Raw_Data!W30="","",IF(Raw_Data!W30="oui",1,0))</f>
        <v/>
      </c>
      <c r="AB27" s="12" t="str">
        <f>IF(Raw_Data!Q30="","",IF(Raw_Data!Q30="oui",1,0))</f>
        <v/>
      </c>
      <c r="AC27" s="12">
        <f>Raw_Data!AF30</f>
        <v>0</v>
      </c>
      <c r="AD27" s="12" t="str">
        <f t="shared" si="5"/>
        <v/>
      </c>
      <c r="AE27" s="12" t="str">
        <f t="shared" si="6"/>
        <v/>
      </c>
      <c r="AF27" s="12" t="str">
        <f t="shared" si="7"/>
        <v/>
      </c>
      <c r="AG27" s="12">
        <f t="shared" si="8"/>
        <v>0</v>
      </c>
    </row>
    <row r="28" spans="1:33" ht="15" customHeight="1" x14ac:dyDescent="0.25">
      <c r="A28" s="12" t="str">
        <f>IF(Raw_Data!B31="","",Raw_Data!B31)</f>
        <v/>
      </c>
      <c r="B28" s="12">
        <f>IF(Raw_Data!X31&lt;&gt;"",Raw_Data!X31,Raw_Data!C31)</f>
        <v>0</v>
      </c>
      <c r="C28" s="12" t="str">
        <f>IF(Raw_Data!G31="","",Raw_Data!G31)</f>
        <v/>
      </c>
      <c r="D28" s="12" t="str">
        <f>IF(Raw_Data!H31="","",Raw_Data!H31)</f>
        <v/>
      </c>
      <c r="E28" s="12" t="str">
        <f>IF(Raw_Data!I31="","",Raw_Data!I31)</f>
        <v/>
      </c>
      <c r="F28" s="12" t="str">
        <f>IF(Raw_Data!J31="","",Raw_Data!J31)</f>
        <v/>
      </c>
      <c r="G28" s="12" t="str">
        <f>IF(Raw_Data!AH31&lt;&gt;"",Raw_Data!AH31,IF(Raw_Data!K31&lt;&gt;"",Raw_Data!K31,""))</f>
        <v/>
      </c>
      <c r="H28" s="12" t="str">
        <f>IF(Raw_Data!AI31&lt;&gt;"",Raw_Data!AI31,IF(Raw_Data!L31&lt;&gt;"",Raw_Data!L31,""))</f>
        <v/>
      </c>
      <c r="I28" s="12" t="str">
        <f t="shared" si="0"/>
        <v/>
      </c>
      <c r="J28" s="12" t="str">
        <f>IF(Raw_Data!M31="","",Raw_Data!M31)</f>
        <v/>
      </c>
      <c r="K28" s="12">
        <f>IF(Raw_Data!AJ31&lt;&gt;"",Raw_Data!AJ31,Raw_Data!N31)</f>
        <v>0</v>
      </c>
      <c r="L28" s="12">
        <f t="shared" si="1"/>
        <v>1</v>
      </c>
      <c r="M28" s="12" t="str">
        <f>IF(Raw_Data!AK31="","",Raw_Data!AK31)</f>
        <v/>
      </c>
      <c r="N28" s="12" t="str">
        <f>IF(Raw_Data!T31="","",Raw_Data!T31)</f>
        <v/>
      </c>
      <c r="O28" s="12" t="str">
        <f>IF(Raw_Data!AB31&lt;&gt;"",Raw_Data!AB31,IF(N28="tres_insatisfait",1,IF(N28="insatisfait",2,IF(N28="neutre",3,IF(N28="satisfait",4,IF(N28="tres_satisfait",5,""))))))</f>
        <v/>
      </c>
      <c r="P28" s="12">
        <f>IF(Raw_Data!AL31&lt;&gt;"",Raw_Data!AL31,Raw_Data!R31)</f>
        <v>0</v>
      </c>
      <c r="Q28" s="12">
        <f t="shared" si="2"/>
        <v>0</v>
      </c>
      <c r="R28" s="12" t="str">
        <f>IF(Raw_Data!AM31="","",Raw_Data!AM31)</f>
        <v/>
      </c>
      <c r="S28" s="12" t="str">
        <f t="shared" si="3"/>
        <v/>
      </c>
      <c r="T28" s="12" t="str">
        <f>IF(Raw_Data!AN31="","",Raw_Data!AN31)</f>
        <v/>
      </c>
      <c r="U28" s="12" t="str">
        <f t="shared" si="4"/>
        <v/>
      </c>
      <c r="V28" s="12" t="str">
        <f>IF(Raw_Data!AP31="","",IF(Raw_Data!AP31="oui",1,0))</f>
        <v/>
      </c>
      <c r="W28" s="12" t="str">
        <f>IF(Raw_Data!AQ31="","",IF(Raw_Data!AQ31="oui",1,0))</f>
        <v/>
      </c>
      <c r="X28" s="12" t="str">
        <f>IF(Raw_Data!AR31="","",IF(Raw_Data!AR31="oui",1,0))</f>
        <v/>
      </c>
      <c r="Y28" s="12" t="str">
        <f>IF(Raw_Data!AS31="","",IF(Raw_Data!AS31="oui",1,0))</f>
        <v/>
      </c>
      <c r="Z28" s="12" t="str">
        <f>IF(Raw_Data!V31="","",IF(Raw_Data!V31="oui",1,0))</f>
        <v/>
      </c>
      <c r="AA28" s="12" t="str">
        <f>IF(Raw_Data!W31="","",IF(Raw_Data!W31="oui",1,0))</f>
        <v/>
      </c>
      <c r="AB28" s="12" t="str">
        <f>IF(Raw_Data!Q31="","",IF(Raw_Data!Q31="oui",1,0))</f>
        <v/>
      </c>
      <c r="AC28" s="12">
        <f>Raw_Data!AF31</f>
        <v>0</v>
      </c>
      <c r="AD28" s="12" t="str">
        <f t="shared" si="5"/>
        <v/>
      </c>
      <c r="AE28" s="12" t="str">
        <f t="shared" si="6"/>
        <v/>
      </c>
      <c r="AF28" s="12" t="str">
        <f t="shared" si="7"/>
        <v/>
      </c>
      <c r="AG28" s="12">
        <f t="shared" si="8"/>
        <v>0</v>
      </c>
    </row>
    <row r="29" spans="1:33" ht="15" customHeight="1" x14ac:dyDescent="0.25">
      <c r="A29" s="12" t="str">
        <f>IF(Raw_Data!B32="","",Raw_Data!B32)</f>
        <v/>
      </c>
      <c r="B29" s="12">
        <f>IF(Raw_Data!X32&lt;&gt;"",Raw_Data!X32,Raw_Data!C32)</f>
        <v>0</v>
      </c>
      <c r="C29" s="12" t="str">
        <f>IF(Raw_Data!G32="","",Raw_Data!G32)</f>
        <v/>
      </c>
      <c r="D29" s="12" t="str">
        <f>IF(Raw_Data!H32="","",Raw_Data!H32)</f>
        <v/>
      </c>
      <c r="E29" s="12" t="str">
        <f>IF(Raw_Data!I32="","",Raw_Data!I32)</f>
        <v/>
      </c>
      <c r="F29" s="12" t="str">
        <f>IF(Raw_Data!J32="","",Raw_Data!J32)</f>
        <v/>
      </c>
      <c r="G29" s="12" t="str">
        <f>IF(Raw_Data!AH32&lt;&gt;"",Raw_Data!AH32,IF(Raw_Data!K32&lt;&gt;"",Raw_Data!K32,""))</f>
        <v/>
      </c>
      <c r="H29" s="12" t="str">
        <f>IF(Raw_Data!AI32&lt;&gt;"",Raw_Data!AI32,IF(Raw_Data!L32&lt;&gt;"",Raw_Data!L32,""))</f>
        <v/>
      </c>
      <c r="I29" s="12" t="str">
        <f t="shared" si="0"/>
        <v/>
      </c>
      <c r="J29" s="12" t="str">
        <f>IF(Raw_Data!M32="","",Raw_Data!M32)</f>
        <v/>
      </c>
      <c r="K29" s="12">
        <f>IF(Raw_Data!AJ32&lt;&gt;"",Raw_Data!AJ32,Raw_Data!N32)</f>
        <v>0</v>
      </c>
      <c r="L29" s="12">
        <f t="shared" si="1"/>
        <v>1</v>
      </c>
      <c r="M29" s="12" t="str">
        <f>IF(Raw_Data!AK32="","",Raw_Data!AK32)</f>
        <v/>
      </c>
      <c r="N29" s="12" t="str">
        <f>IF(Raw_Data!T32="","",Raw_Data!T32)</f>
        <v/>
      </c>
      <c r="O29" s="12" t="str">
        <f>IF(Raw_Data!AB32&lt;&gt;"",Raw_Data!AB32,IF(N29="tres_insatisfait",1,IF(N29="insatisfait",2,IF(N29="neutre",3,IF(N29="satisfait",4,IF(N29="tres_satisfait",5,""))))))</f>
        <v/>
      </c>
      <c r="P29" s="12">
        <f>IF(Raw_Data!AL32&lt;&gt;"",Raw_Data!AL32,Raw_Data!R32)</f>
        <v>0</v>
      </c>
      <c r="Q29" s="12">
        <f t="shared" si="2"/>
        <v>0</v>
      </c>
      <c r="R29" s="12" t="str">
        <f>IF(Raw_Data!AM32="","",Raw_Data!AM32)</f>
        <v/>
      </c>
      <c r="S29" s="12" t="str">
        <f t="shared" si="3"/>
        <v/>
      </c>
      <c r="T29" s="12" t="str">
        <f>IF(Raw_Data!AN32="","",Raw_Data!AN32)</f>
        <v/>
      </c>
      <c r="U29" s="12" t="str">
        <f t="shared" si="4"/>
        <v/>
      </c>
      <c r="V29" s="12" t="str">
        <f>IF(Raw_Data!AP32="","",IF(Raw_Data!AP32="oui",1,0))</f>
        <v/>
      </c>
      <c r="W29" s="12" t="str">
        <f>IF(Raw_Data!AQ32="","",IF(Raw_Data!AQ32="oui",1,0))</f>
        <v/>
      </c>
      <c r="X29" s="12" t="str">
        <f>IF(Raw_Data!AR32="","",IF(Raw_Data!AR32="oui",1,0))</f>
        <v/>
      </c>
      <c r="Y29" s="12" t="str">
        <f>IF(Raw_Data!AS32="","",IF(Raw_Data!AS32="oui",1,0))</f>
        <v/>
      </c>
      <c r="Z29" s="12" t="str">
        <f>IF(Raw_Data!V32="","",IF(Raw_Data!V32="oui",1,0))</f>
        <v/>
      </c>
      <c r="AA29" s="12" t="str">
        <f>IF(Raw_Data!W32="","",IF(Raw_Data!W32="oui",1,0))</f>
        <v/>
      </c>
      <c r="AB29" s="12" t="str">
        <f>IF(Raw_Data!Q32="","",IF(Raw_Data!Q32="oui",1,0))</f>
        <v/>
      </c>
      <c r="AC29" s="12">
        <f>Raw_Data!AF32</f>
        <v>0</v>
      </c>
      <c r="AD29" s="12" t="str">
        <f t="shared" si="5"/>
        <v/>
      </c>
      <c r="AE29" s="12" t="str">
        <f t="shared" si="6"/>
        <v/>
      </c>
      <c r="AF29" s="12" t="str">
        <f t="shared" si="7"/>
        <v/>
      </c>
      <c r="AG29" s="12">
        <f t="shared" si="8"/>
        <v>0</v>
      </c>
    </row>
    <row r="30" spans="1:33" ht="15" customHeight="1" x14ac:dyDescent="0.25">
      <c r="A30" s="12" t="str">
        <f>IF(Raw_Data!B33="","",Raw_Data!B33)</f>
        <v/>
      </c>
      <c r="B30" s="12">
        <f>IF(Raw_Data!X33&lt;&gt;"",Raw_Data!X33,Raw_Data!C33)</f>
        <v>0</v>
      </c>
      <c r="C30" s="12" t="str">
        <f>IF(Raw_Data!G33="","",Raw_Data!G33)</f>
        <v/>
      </c>
      <c r="D30" s="12" t="str">
        <f>IF(Raw_Data!H33="","",Raw_Data!H33)</f>
        <v/>
      </c>
      <c r="E30" s="12" t="str">
        <f>IF(Raw_Data!I33="","",Raw_Data!I33)</f>
        <v/>
      </c>
      <c r="F30" s="12" t="str">
        <f>IF(Raw_Data!J33="","",Raw_Data!J33)</f>
        <v/>
      </c>
      <c r="G30" s="12" t="str">
        <f>IF(Raw_Data!AH33&lt;&gt;"",Raw_Data!AH33,IF(Raw_Data!K33&lt;&gt;"",Raw_Data!K33,""))</f>
        <v/>
      </c>
      <c r="H30" s="12" t="str">
        <f>IF(Raw_Data!AI33&lt;&gt;"",Raw_Data!AI33,IF(Raw_Data!L33&lt;&gt;"",Raw_Data!L33,""))</f>
        <v/>
      </c>
      <c r="I30" s="12" t="str">
        <f t="shared" si="0"/>
        <v/>
      </c>
      <c r="J30" s="12" t="str">
        <f>IF(Raw_Data!M33="","",Raw_Data!M33)</f>
        <v/>
      </c>
      <c r="K30" s="12">
        <f>IF(Raw_Data!AJ33&lt;&gt;"",Raw_Data!AJ33,Raw_Data!N33)</f>
        <v>0</v>
      </c>
      <c r="L30" s="12">
        <f t="shared" si="1"/>
        <v>1</v>
      </c>
      <c r="M30" s="12" t="str">
        <f>IF(Raw_Data!AK33="","",Raw_Data!AK33)</f>
        <v/>
      </c>
      <c r="N30" s="12" t="str">
        <f>IF(Raw_Data!T33="","",Raw_Data!T33)</f>
        <v/>
      </c>
      <c r="O30" s="12" t="str">
        <f>IF(Raw_Data!AB33&lt;&gt;"",Raw_Data!AB33,IF(N30="tres_insatisfait",1,IF(N30="insatisfait",2,IF(N30="neutre",3,IF(N30="satisfait",4,IF(N30="tres_satisfait",5,""))))))</f>
        <v/>
      </c>
      <c r="P30" s="12">
        <f>IF(Raw_Data!AL33&lt;&gt;"",Raw_Data!AL33,Raw_Data!R33)</f>
        <v>0</v>
      </c>
      <c r="Q30" s="12">
        <f t="shared" si="2"/>
        <v>0</v>
      </c>
      <c r="R30" s="12" t="str">
        <f>IF(Raw_Data!AM33="","",Raw_Data!AM33)</f>
        <v/>
      </c>
      <c r="S30" s="12" t="str">
        <f t="shared" si="3"/>
        <v/>
      </c>
      <c r="T30" s="12" t="str">
        <f>IF(Raw_Data!AN33="","",Raw_Data!AN33)</f>
        <v/>
      </c>
      <c r="U30" s="12" t="str">
        <f t="shared" si="4"/>
        <v/>
      </c>
      <c r="V30" s="12" t="str">
        <f>IF(Raw_Data!AP33="","",IF(Raw_Data!AP33="oui",1,0))</f>
        <v/>
      </c>
      <c r="W30" s="12" t="str">
        <f>IF(Raw_Data!AQ33="","",IF(Raw_Data!AQ33="oui",1,0))</f>
        <v/>
      </c>
      <c r="X30" s="12" t="str">
        <f>IF(Raw_Data!AR33="","",IF(Raw_Data!AR33="oui",1,0))</f>
        <v/>
      </c>
      <c r="Y30" s="12" t="str">
        <f>IF(Raw_Data!AS33="","",IF(Raw_Data!AS33="oui",1,0))</f>
        <v/>
      </c>
      <c r="Z30" s="12" t="str">
        <f>IF(Raw_Data!V33="","",IF(Raw_Data!V33="oui",1,0))</f>
        <v/>
      </c>
      <c r="AA30" s="12" t="str">
        <f>IF(Raw_Data!W33="","",IF(Raw_Data!W33="oui",1,0))</f>
        <v/>
      </c>
      <c r="AB30" s="12" t="str">
        <f>IF(Raw_Data!Q33="","",IF(Raw_Data!Q33="oui",1,0))</f>
        <v/>
      </c>
      <c r="AC30" s="12">
        <f>Raw_Data!AF33</f>
        <v>0</v>
      </c>
      <c r="AD30" s="12" t="str">
        <f t="shared" si="5"/>
        <v/>
      </c>
      <c r="AE30" s="12" t="str">
        <f t="shared" si="6"/>
        <v/>
      </c>
      <c r="AF30" s="12" t="str">
        <f t="shared" si="7"/>
        <v/>
      </c>
      <c r="AG30" s="12">
        <f t="shared" si="8"/>
        <v>0</v>
      </c>
    </row>
    <row r="31" spans="1:33" ht="15" customHeight="1" x14ac:dyDescent="0.25">
      <c r="A31" s="12" t="str">
        <f>IF(Raw_Data!B34="","",Raw_Data!B34)</f>
        <v/>
      </c>
      <c r="B31" s="12">
        <f>IF(Raw_Data!X34&lt;&gt;"",Raw_Data!X34,Raw_Data!C34)</f>
        <v>0</v>
      </c>
      <c r="C31" s="12" t="str">
        <f>IF(Raw_Data!G34="","",Raw_Data!G34)</f>
        <v/>
      </c>
      <c r="D31" s="12" t="str">
        <f>IF(Raw_Data!H34="","",Raw_Data!H34)</f>
        <v/>
      </c>
      <c r="E31" s="12" t="str">
        <f>IF(Raw_Data!I34="","",Raw_Data!I34)</f>
        <v/>
      </c>
      <c r="F31" s="12" t="str">
        <f>IF(Raw_Data!J34="","",Raw_Data!J34)</f>
        <v/>
      </c>
      <c r="G31" s="12" t="str">
        <f>IF(Raw_Data!AH34&lt;&gt;"",Raw_Data!AH34,IF(Raw_Data!K34&lt;&gt;"",Raw_Data!K34,""))</f>
        <v/>
      </c>
      <c r="H31" s="12" t="str">
        <f>IF(Raw_Data!AI34&lt;&gt;"",Raw_Data!AI34,IF(Raw_Data!L34&lt;&gt;"",Raw_Data!L34,""))</f>
        <v/>
      </c>
      <c r="I31" s="12" t="str">
        <f t="shared" si="0"/>
        <v/>
      </c>
      <c r="J31" s="12" t="str">
        <f>IF(Raw_Data!M34="","",Raw_Data!M34)</f>
        <v/>
      </c>
      <c r="K31" s="12">
        <f>IF(Raw_Data!AJ34&lt;&gt;"",Raw_Data!AJ34,Raw_Data!N34)</f>
        <v>0</v>
      </c>
      <c r="L31" s="12">
        <f t="shared" si="1"/>
        <v>1</v>
      </c>
      <c r="M31" s="12" t="str">
        <f>IF(Raw_Data!AK34="","",Raw_Data!AK34)</f>
        <v/>
      </c>
      <c r="N31" s="12" t="str">
        <f>IF(Raw_Data!T34="","",Raw_Data!T34)</f>
        <v/>
      </c>
      <c r="O31" s="12" t="str">
        <f>IF(Raw_Data!AB34&lt;&gt;"",Raw_Data!AB34,IF(N31="tres_insatisfait",1,IF(N31="insatisfait",2,IF(N31="neutre",3,IF(N31="satisfait",4,IF(N31="tres_satisfait",5,""))))))</f>
        <v/>
      </c>
      <c r="P31" s="12">
        <f>IF(Raw_Data!AL34&lt;&gt;"",Raw_Data!AL34,Raw_Data!R34)</f>
        <v>0</v>
      </c>
      <c r="Q31" s="12">
        <f t="shared" si="2"/>
        <v>0</v>
      </c>
      <c r="R31" s="12" t="str">
        <f>IF(Raw_Data!AM34="","",Raw_Data!AM34)</f>
        <v/>
      </c>
      <c r="S31" s="12" t="str">
        <f t="shared" si="3"/>
        <v/>
      </c>
      <c r="T31" s="12" t="str">
        <f>IF(Raw_Data!AN34="","",Raw_Data!AN34)</f>
        <v/>
      </c>
      <c r="U31" s="12" t="str">
        <f t="shared" si="4"/>
        <v/>
      </c>
      <c r="V31" s="12" t="str">
        <f>IF(Raw_Data!AP34="","",IF(Raw_Data!AP34="oui",1,0))</f>
        <v/>
      </c>
      <c r="W31" s="12" t="str">
        <f>IF(Raw_Data!AQ34="","",IF(Raw_Data!AQ34="oui",1,0))</f>
        <v/>
      </c>
      <c r="X31" s="12" t="str">
        <f>IF(Raw_Data!AR34="","",IF(Raw_Data!AR34="oui",1,0))</f>
        <v/>
      </c>
      <c r="Y31" s="12" t="str">
        <f>IF(Raw_Data!AS34="","",IF(Raw_Data!AS34="oui",1,0))</f>
        <v/>
      </c>
      <c r="Z31" s="12" t="str">
        <f>IF(Raw_Data!V34="","",IF(Raw_Data!V34="oui",1,0))</f>
        <v/>
      </c>
      <c r="AA31" s="12" t="str">
        <f>IF(Raw_Data!W34="","",IF(Raw_Data!W34="oui",1,0))</f>
        <v/>
      </c>
      <c r="AB31" s="12" t="str">
        <f>IF(Raw_Data!Q34="","",IF(Raw_Data!Q34="oui",1,0))</f>
        <v/>
      </c>
      <c r="AC31" s="12">
        <f>Raw_Data!AF34</f>
        <v>0</v>
      </c>
      <c r="AD31" s="12" t="str">
        <f t="shared" si="5"/>
        <v/>
      </c>
      <c r="AE31" s="12" t="str">
        <f t="shared" si="6"/>
        <v/>
      </c>
      <c r="AF31" s="12" t="str">
        <f t="shared" si="7"/>
        <v/>
      </c>
      <c r="AG31" s="12">
        <f t="shared" si="8"/>
        <v>0</v>
      </c>
    </row>
    <row r="32" spans="1:33" ht="15" customHeight="1" x14ac:dyDescent="0.25">
      <c r="A32" s="12" t="str">
        <f>IF(Raw_Data!B35="","",Raw_Data!B35)</f>
        <v/>
      </c>
      <c r="B32" s="12">
        <f>IF(Raw_Data!X35&lt;&gt;"",Raw_Data!X35,Raw_Data!C35)</f>
        <v>0</v>
      </c>
      <c r="C32" s="12" t="str">
        <f>IF(Raw_Data!G35="","",Raw_Data!G35)</f>
        <v/>
      </c>
      <c r="D32" s="12" t="str">
        <f>IF(Raw_Data!H35="","",Raw_Data!H35)</f>
        <v/>
      </c>
      <c r="E32" s="12" t="str">
        <f>IF(Raw_Data!I35="","",Raw_Data!I35)</f>
        <v/>
      </c>
      <c r="F32" s="12" t="str">
        <f>IF(Raw_Data!J35="","",Raw_Data!J35)</f>
        <v/>
      </c>
      <c r="G32" s="12" t="str">
        <f>IF(Raw_Data!AH35&lt;&gt;"",Raw_Data!AH35,IF(Raw_Data!K35&lt;&gt;"",Raw_Data!K35,""))</f>
        <v/>
      </c>
      <c r="H32" s="12" t="str">
        <f>IF(Raw_Data!AI35&lt;&gt;"",Raw_Data!AI35,IF(Raw_Data!L35&lt;&gt;"",Raw_Data!L35,""))</f>
        <v/>
      </c>
      <c r="I32" s="12" t="str">
        <f t="shared" si="0"/>
        <v/>
      </c>
      <c r="J32" s="12" t="str">
        <f>IF(Raw_Data!M35="","",Raw_Data!M35)</f>
        <v/>
      </c>
      <c r="K32" s="12">
        <f>IF(Raw_Data!AJ35&lt;&gt;"",Raw_Data!AJ35,Raw_Data!N35)</f>
        <v>0</v>
      </c>
      <c r="L32" s="12">
        <f t="shared" si="1"/>
        <v>1</v>
      </c>
      <c r="M32" s="12" t="str">
        <f>IF(Raw_Data!AK35="","",Raw_Data!AK35)</f>
        <v/>
      </c>
      <c r="N32" s="12" t="str">
        <f>IF(Raw_Data!T35="","",Raw_Data!T35)</f>
        <v/>
      </c>
      <c r="O32" s="12" t="str">
        <f>IF(Raw_Data!AB35&lt;&gt;"",Raw_Data!AB35,IF(N32="tres_insatisfait",1,IF(N32="insatisfait",2,IF(N32="neutre",3,IF(N32="satisfait",4,IF(N32="tres_satisfait",5,""))))))</f>
        <v/>
      </c>
      <c r="P32" s="12">
        <f>IF(Raw_Data!AL35&lt;&gt;"",Raw_Data!AL35,Raw_Data!R35)</f>
        <v>0</v>
      </c>
      <c r="Q32" s="12">
        <f t="shared" si="2"/>
        <v>0</v>
      </c>
      <c r="R32" s="12" t="str">
        <f>IF(Raw_Data!AM35="","",Raw_Data!AM35)</f>
        <v/>
      </c>
      <c r="S32" s="12" t="str">
        <f t="shared" si="3"/>
        <v/>
      </c>
      <c r="T32" s="12" t="str">
        <f>IF(Raw_Data!AN35="","",Raw_Data!AN35)</f>
        <v/>
      </c>
      <c r="U32" s="12" t="str">
        <f t="shared" si="4"/>
        <v/>
      </c>
      <c r="V32" s="12" t="str">
        <f>IF(Raw_Data!AP35="","",IF(Raw_Data!AP35="oui",1,0))</f>
        <v/>
      </c>
      <c r="W32" s="12" t="str">
        <f>IF(Raw_Data!AQ35="","",IF(Raw_Data!AQ35="oui",1,0))</f>
        <v/>
      </c>
      <c r="X32" s="12" t="str">
        <f>IF(Raw_Data!AR35="","",IF(Raw_Data!AR35="oui",1,0))</f>
        <v/>
      </c>
      <c r="Y32" s="12" t="str">
        <f>IF(Raw_Data!AS35="","",IF(Raw_Data!AS35="oui",1,0))</f>
        <v/>
      </c>
      <c r="Z32" s="12" t="str">
        <f>IF(Raw_Data!V35="","",IF(Raw_Data!V35="oui",1,0))</f>
        <v/>
      </c>
      <c r="AA32" s="12" t="str">
        <f>IF(Raw_Data!W35="","",IF(Raw_Data!W35="oui",1,0))</f>
        <v/>
      </c>
      <c r="AB32" s="12" t="str">
        <f>IF(Raw_Data!Q35="","",IF(Raw_Data!Q35="oui",1,0))</f>
        <v/>
      </c>
      <c r="AC32" s="12">
        <f>Raw_Data!AF35</f>
        <v>0</v>
      </c>
      <c r="AD32" s="12" t="str">
        <f t="shared" si="5"/>
        <v/>
      </c>
      <c r="AE32" s="12" t="str">
        <f t="shared" si="6"/>
        <v/>
      </c>
      <c r="AF32" s="12" t="str">
        <f t="shared" si="7"/>
        <v/>
      </c>
      <c r="AG32" s="12">
        <f t="shared" si="8"/>
        <v>0</v>
      </c>
    </row>
    <row r="33" spans="1:33" ht="15" customHeight="1" x14ac:dyDescent="0.25">
      <c r="A33" s="12" t="str">
        <f>IF(Raw_Data!B36="","",Raw_Data!B36)</f>
        <v/>
      </c>
      <c r="B33" s="12">
        <f>IF(Raw_Data!X36&lt;&gt;"",Raw_Data!X36,Raw_Data!C36)</f>
        <v>0</v>
      </c>
      <c r="C33" s="12" t="str">
        <f>IF(Raw_Data!G36="","",Raw_Data!G36)</f>
        <v/>
      </c>
      <c r="D33" s="12" t="str">
        <f>IF(Raw_Data!H36="","",Raw_Data!H36)</f>
        <v/>
      </c>
      <c r="E33" s="12" t="str">
        <f>IF(Raw_Data!I36="","",Raw_Data!I36)</f>
        <v/>
      </c>
      <c r="F33" s="12" t="str">
        <f>IF(Raw_Data!J36="","",Raw_Data!J36)</f>
        <v/>
      </c>
      <c r="G33" s="12" t="str">
        <f>IF(Raw_Data!AH36&lt;&gt;"",Raw_Data!AH36,IF(Raw_Data!K36&lt;&gt;"",Raw_Data!K36,""))</f>
        <v/>
      </c>
      <c r="H33" s="12" t="str">
        <f>IF(Raw_Data!AI36&lt;&gt;"",Raw_Data!AI36,IF(Raw_Data!L36&lt;&gt;"",Raw_Data!L36,""))</f>
        <v/>
      </c>
      <c r="I33" s="12" t="str">
        <f t="shared" si="0"/>
        <v/>
      </c>
      <c r="J33" s="12" t="str">
        <f>IF(Raw_Data!M36="","",Raw_Data!M36)</f>
        <v/>
      </c>
      <c r="K33" s="12">
        <f>IF(Raw_Data!AJ36&lt;&gt;"",Raw_Data!AJ36,Raw_Data!N36)</f>
        <v>0</v>
      </c>
      <c r="L33" s="12">
        <f t="shared" si="1"/>
        <v>1</v>
      </c>
      <c r="M33" s="12" t="str">
        <f>IF(Raw_Data!AK36="","",Raw_Data!AK36)</f>
        <v/>
      </c>
      <c r="N33" s="12" t="str">
        <f>IF(Raw_Data!T36="","",Raw_Data!T36)</f>
        <v/>
      </c>
      <c r="O33" s="12" t="str">
        <f>IF(Raw_Data!AB36&lt;&gt;"",Raw_Data!AB36,IF(N33="tres_insatisfait",1,IF(N33="insatisfait",2,IF(N33="neutre",3,IF(N33="satisfait",4,IF(N33="tres_satisfait",5,""))))))</f>
        <v/>
      </c>
      <c r="P33" s="12">
        <f>IF(Raw_Data!AL36&lt;&gt;"",Raw_Data!AL36,Raw_Data!R36)</f>
        <v>0</v>
      </c>
      <c r="Q33" s="12">
        <f t="shared" si="2"/>
        <v>0</v>
      </c>
      <c r="R33" s="12" t="str">
        <f>IF(Raw_Data!AM36="","",Raw_Data!AM36)</f>
        <v/>
      </c>
      <c r="S33" s="12" t="str">
        <f t="shared" si="3"/>
        <v/>
      </c>
      <c r="T33" s="12" t="str">
        <f>IF(Raw_Data!AN36="","",Raw_Data!AN36)</f>
        <v/>
      </c>
      <c r="U33" s="12" t="str">
        <f t="shared" si="4"/>
        <v/>
      </c>
      <c r="V33" s="12" t="str">
        <f>IF(Raw_Data!AP36="","",IF(Raw_Data!AP36="oui",1,0))</f>
        <v/>
      </c>
      <c r="W33" s="12" t="str">
        <f>IF(Raw_Data!AQ36="","",IF(Raw_Data!AQ36="oui",1,0))</f>
        <v/>
      </c>
      <c r="X33" s="12" t="str">
        <f>IF(Raw_Data!AR36="","",IF(Raw_Data!AR36="oui",1,0))</f>
        <v/>
      </c>
      <c r="Y33" s="12" t="str">
        <f>IF(Raw_Data!AS36="","",IF(Raw_Data!AS36="oui",1,0))</f>
        <v/>
      </c>
      <c r="Z33" s="12" t="str">
        <f>IF(Raw_Data!V36="","",IF(Raw_Data!V36="oui",1,0))</f>
        <v/>
      </c>
      <c r="AA33" s="12" t="str">
        <f>IF(Raw_Data!W36="","",IF(Raw_Data!W36="oui",1,0))</f>
        <v/>
      </c>
      <c r="AB33" s="12" t="str">
        <f>IF(Raw_Data!Q36="","",IF(Raw_Data!Q36="oui",1,0))</f>
        <v/>
      </c>
      <c r="AC33" s="12">
        <f>Raw_Data!AF36</f>
        <v>0</v>
      </c>
      <c r="AD33" s="12" t="str">
        <f t="shared" si="5"/>
        <v/>
      </c>
      <c r="AE33" s="12" t="str">
        <f t="shared" si="6"/>
        <v/>
      </c>
      <c r="AF33" s="12" t="str">
        <f t="shared" si="7"/>
        <v/>
      </c>
      <c r="AG33" s="12">
        <f t="shared" si="8"/>
        <v>0</v>
      </c>
    </row>
    <row r="34" spans="1:33" ht="15" customHeight="1" x14ac:dyDescent="0.25">
      <c r="A34" s="12" t="str">
        <f>IF(Raw_Data!B37="","",Raw_Data!B37)</f>
        <v/>
      </c>
      <c r="B34" s="12">
        <f>IF(Raw_Data!X37&lt;&gt;"",Raw_Data!X37,Raw_Data!C37)</f>
        <v>0</v>
      </c>
      <c r="C34" s="12" t="str">
        <f>IF(Raw_Data!G37="","",Raw_Data!G37)</f>
        <v/>
      </c>
      <c r="D34" s="12" t="str">
        <f>IF(Raw_Data!H37="","",Raw_Data!H37)</f>
        <v/>
      </c>
      <c r="E34" s="12" t="str">
        <f>IF(Raw_Data!I37="","",Raw_Data!I37)</f>
        <v/>
      </c>
      <c r="F34" s="12" t="str">
        <f>IF(Raw_Data!J37="","",Raw_Data!J37)</f>
        <v/>
      </c>
      <c r="G34" s="12" t="str">
        <f>IF(Raw_Data!AH37&lt;&gt;"",Raw_Data!AH37,IF(Raw_Data!K37&lt;&gt;"",Raw_Data!K37,""))</f>
        <v/>
      </c>
      <c r="H34" s="12" t="str">
        <f>IF(Raw_Data!AI37&lt;&gt;"",Raw_Data!AI37,IF(Raw_Data!L37&lt;&gt;"",Raw_Data!L37,""))</f>
        <v/>
      </c>
      <c r="I34" s="12" t="str">
        <f t="shared" si="0"/>
        <v/>
      </c>
      <c r="J34" s="12" t="str">
        <f>IF(Raw_Data!M37="","",Raw_Data!M37)</f>
        <v/>
      </c>
      <c r="K34" s="12">
        <f>IF(Raw_Data!AJ37&lt;&gt;"",Raw_Data!AJ37,Raw_Data!N37)</f>
        <v>0</v>
      </c>
      <c r="L34" s="12">
        <f t="shared" si="1"/>
        <v>1</v>
      </c>
      <c r="M34" s="12" t="str">
        <f>IF(Raw_Data!AK37="","",Raw_Data!AK37)</f>
        <v/>
      </c>
      <c r="N34" s="12" t="str">
        <f>IF(Raw_Data!T37="","",Raw_Data!T37)</f>
        <v/>
      </c>
      <c r="O34" s="12" t="str">
        <f>IF(Raw_Data!AB37&lt;&gt;"",Raw_Data!AB37,IF(N34="tres_insatisfait",1,IF(N34="insatisfait",2,IF(N34="neutre",3,IF(N34="satisfait",4,IF(N34="tres_satisfait",5,""))))))</f>
        <v/>
      </c>
      <c r="P34" s="12">
        <f>IF(Raw_Data!AL37&lt;&gt;"",Raw_Data!AL37,Raw_Data!R37)</f>
        <v>0</v>
      </c>
      <c r="Q34" s="12">
        <f t="shared" si="2"/>
        <v>0</v>
      </c>
      <c r="R34" s="12" t="str">
        <f>IF(Raw_Data!AM37="","",Raw_Data!AM37)</f>
        <v/>
      </c>
      <c r="S34" s="12" t="str">
        <f t="shared" si="3"/>
        <v/>
      </c>
      <c r="T34" s="12" t="str">
        <f>IF(Raw_Data!AN37="","",Raw_Data!AN37)</f>
        <v/>
      </c>
      <c r="U34" s="12" t="str">
        <f t="shared" si="4"/>
        <v/>
      </c>
      <c r="V34" s="12" t="str">
        <f>IF(Raw_Data!AP37="","",IF(Raw_Data!AP37="oui",1,0))</f>
        <v/>
      </c>
      <c r="W34" s="12" t="str">
        <f>IF(Raw_Data!AQ37="","",IF(Raw_Data!AQ37="oui",1,0))</f>
        <v/>
      </c>
      <c r="X34" s="12" t="str">
        <f>IF(Raw_Data!AR37="","",IF(Raw_Data!AR37="oui",1,0))</f>
        <v/>
      </c>
      <c r="Y34" s="12" t="str">
        <f>IF(Raw_Data!AS37="","",IF(Raw_Data!AS37="oui",1,0))</f>
        <v/>
      </c>
      <c r="Z34" s="12" t="str">
        <f>IF(Raw_Data!V37="","",IF(Raw_Data!V37="oui",1,0))</f>
        <v/>
      </c>
      <c r="AA34" s="12" t="str">
        <f>IF(Raw_Data!W37="","",IF(Raw_Data!W37="oui",1,0))</f>
        <v/>
      </c>
      <c r="AB34" s="12" t="str">
        <f>IF(Raw_Data!Q37="","",IF(Raw_Data!Q37="oui",1,0))</f>
        <v/>
      </c>
      <c r="AC34" s="12">
        <f>Raw_Data!AF37</f>
        <v>0</v>
      </c>
      <c r="AD34" s="12" t="str">
        <f t="shared" si="5"/>
        <v/>
      </c>
      <c r="AE34" s="12" t="str">
        <f t="shared" si="6"/>
        <v/>
      </c>
      <c r="AF34" s="12" t="str">
        <f t="shared" si="7"/>
        <v/>
      </c>
      <c r="AG34" s="12">
        <f t="shared" si="8"/>
        <v>0</v>
      </c>
    </row>
    <row r="35" spans="1:33" ht="15" customHeight="1" x14ac:dyDescent="0.25">
      <c r="A35" s="12" t="str">
        <f>IF(Raw_Data!B38="","",Raw_Data!B38)</f>
        <v/>
      </c>
      <c r="B35" s="12">
        <f>IF(Raw_Data!X38&lt;&gt;"",Raw_Data!X38,Raw_Data!C38)</f>
        <v>0</v>
      </c>
      <c r="C35" s="12" t="str">
        <f>IF(Raw_Data!G38="","",Raw_Data!G38)</f>
        <v/>
      </c>
      <c r="D35" s="12" t="str">
        <f>IF(Raw_Data!H38="","",Raw_Data!H38)</f>
        <v/>
      </c>
      <c r="E35" s="12" t="str">
        <f>IF(Raw_Data!I38="","",Raw_Data!I38)</f>
        <v/>
      </c>
      <c r="F35" s="12" t="str">
        <f>IF(Raw_Data!J38="","",Raw_Data!J38)</f>
        <v/>
      </c>
      <c r="G35" s="12" t="str">
        <f>IF(Raw_Data!AH38&lt;&gt;"",Raw_Data!AH38,IF(Raw_Data!K38&lt;&gt;"",Raw_Data!K38,""))</f>
        <v/>
      </c>
      <c r="H35" s="12" t="str">
        <f>IF(Raw_Data!AI38&lt;&gt;"",Raw_Data!AI38,IF(Raw_Data!L38&lt;&gt;"",Raw_Data!L38,""))</f>
        <v/>
      </c>
      <c r="I35" s="12" t="str">
        <f t="shared" si="0"/>
        <v/>
      </c>
      <c r="J35" s="12" t="str">
        <f>IF(Raw_Data!M38="","",Raw_Data!M38)</f>
        <v/>
      </c>
      <c r="K35" s="12">
        <f>IF(Raw_Data!AJ38&lt;&gt;"",Raw_Data!AJ38,Raw_Data!N38)</f>
        <v>0</v>
      </c>
      <c r="L35" s="12">
        <f t="shared" si="1"/>
        <v>1</v>
      </c>
      <c r="M35" s="12" t="str">
        <f>IF(Raw_Data!AK38="","",Raw_Data!AK38)</f>
        <v/>
      </c>
      <c r="N35" s="12" t="str">
        <f>IF(Raw_Data!T38="","",Raw_Data!T38)</f>
        <v/>
      </c>
      <c r="O35" s="12" t="str">
        <f>IF(Raw_Data!AB38&lt;&gt;"",Raw_Data!AB38,IF(N35="tres_insatisfait",1,IF(N35="insatisfait",2,IF(N35="neutre",3,IF(N35="satisfait",4,IF(N35="tres_satisfait",5,""))))))</f>
        <v/>
      </c>
      <c r="P35" s="12">
        <f>IF(Raw_Data!AL38&lt;&gt;"",Raw_Data!AL38,Raw_Data!R38)</f>
        <v>0</v>
      </c>
      <c r="Q35" s="12">
        <f t="shared" si="2"/>
        <v>0</v>
      </c>
      <c r="R35" s="12" t="str">
        <f>IF(Raw_Data!AM38="","",Raw_Data!AM38)</f>
        <v/>
      </c>
      <c r="S35" s="12" t="str">
        <f t="shared" si="3"/>
        <v/>
      </c>
      <c r="T35" s="12" t="str">
        <f>IF(Raw_Data!AN38="","",Raw_Data!AN38)</f>
        <v/>
      </c>
      <c r="U35" s="12" t="str">
        <f t="shared" si="4"/>
        <v/>
      </c>
      <c r="V35" s="12" t="str">
        <f>IF(Raw_Data!AP38="","",IF(Raw_Data!AP38="oui",1,0))</f>
        <v/>
      </c>
      <c r="W35" s="12" t="str">
        <f>IF(Raw_Data!AQ38="","",IF(Raw_Data!AQ38="oui",1,0))</f>
        <v/>
      </c>
      <c r="X35" s="12" t="str">
        <f>IF(Raw_Data!AR38="","",IF(Raw_Data!AR38="oui",1,0))</f>
        <v/>
      </c>
      <c r="Y35" s="12" t="str">
        <f>IF(Raw_Data!AS38="","",IF(Raw_Data!AS38="oui",1,0))</f>
        <v/>
      </c>
      <c r="Z35" s="12" t="str">
        <f>IF(Raw_Data!V38="","",IF(Raw_Data!V38="oui",1,0))</f>
        <v/>
      </c>
      <c r="AA35" s="12" t="str">
        <f>IF(Raw_Data!W38="","",IF(Raw_Data!W38="oui",1,0))</f>
        <v/>
      </c>
      <c r="AB35" s="12" t="str">
        <f>IF(Raw_Data!Q38="","",IF(Raw_Data!Q38="oui",1,0))</f>
        <v/>
      </c>
      <c r="AC35" s="12">
        <f>Raw_Data!AF38</f>
        <v>0</v>
      </c>
      <c r="AD35" s="12" t="str">
        <f t="shared" si="5"/>
        <v/>
      </c>
      <c r="AE35" s="12" t="str">
        <f t="shared" si="6"/>
        <v/>
      </c>
      <c r="AF35" s="12" t="str">
        <f t="shared" si="7"/>
        <v/>
      </c>
      <c r="AG35" s="12">
        <f t="shared" si="8"/>
        <v>0</v>
      </c>
    </row>
    <row r="36" spans="1:33" ht="15" customHeight="1" x14ac:dyDescent="0.25">
      <c r="A36" s="12" t="str">
        <f>IF(Raw_Data!B39="","",Raw_Data!B39)</f>
        <v/>
      </c>
      <c r="B36" s="12">
        <f>IF(Raw_Data!X39&lt;&gt;"",Raw_Data!X39,Raw_Data!C39)</f>
        <v>0</v>
      </c>
      <c r="C36" s="12" t="str">
        <f>IF(Raw_Data!G39="","",Raw_Data!G39)</f>
        <v/>
      </c>
      <c r="D36" s="12" t="str">
        <f>IF(Raw_Data!H39="","",Raw_Data!H39)</f>
        <v/>
      </c>
      <c r="E36" s="12" t="str">
        <f>IF(Raw_Data!I39="","",Raw_Data!I39)</f>
        <v/>
      </c>
      <c r="F36" s="12" t="str">
        <f>IF(Raw_Data!J39="","",Raw_Data!J39)</f>
        <v/>
      </c>
      <c r="G36" s="12" t="str">
        <f>IF(Raw_Data!AH39&lt;&gt;"",Raw_Data!AH39,IF(Raw_Data!K39&lt;&gt;"",Raw_Data!K39,""))</f>
        <v/>
      </c>
      <c r="H36" s="12" t="str">
        <f>IF(Raw_Data!AI39&lt;&gt;"",Raw_Data!AI39,IF(Raw_Data!L39&lt;&gt;"",Raw_Data!L39,""))</f>
        <v/>
      </c>
      <c r="I36" s="12" t="str">
        <f t="shared" si="0"/>
        <v/>
      </c>
      <c r="J36" s="12" t="str">
        <f>IF(Raw_Data!M39="","",Raw_Data!M39)</f>
        <v/>
      </c>
      <c r="K36" s="12">
        <f>IF(Raw_Data!AJ39&lt;&gt;"",Raw_Data!AJ39,Raw_Data!N39)</f>
        <v>0</v>
      </c>
      <c r="L36" s="12">
        <f t="shared" si="1"/>
        <v>1</v>
      </c>
      <c r="M36" s="12" t="str">
        <f>IF(Raw_Data!AK39="","",Raw_Data!AK39)</f>
        <v/>
      </c>
      <c r="N36" s="12" t="str">
        <f>IF(Raw_Data!T39="","",Raw_Data!T39)</f>
        <v/>
      </c>
      <c r="O36" s="12" t="str">
        <f>IF(Raw_Data!AB39&lt;&gt;"",Raw_Data!AB39,IF(N36="tres_insatisfait",1,IF(N36="insatisfait",2,IF(N36="neutre",3,IF(N36="satisfait",4,IF(N36="tres_satisfait",5,""))))))</f>
        <v/>
      </c>
      <c r="P36" s="12">
        <f>IF(Raw_Data!AL39&lt;&gt;"",Raw_Data!AL39,Raw_Data!R39)</f>
        <v>0</v>
      </c>
      <c r="Q36" s="12">
        <f t="shared" si="2"/>
        <v>0</v>
      </c>
      <c r="R36" s="12" t="str">
        <f>IF(Raw_Data!AM39="","",Raw_Data!AM39)</f>
        <v/>
      </c>
      <c r="S36" s="12" t="str">
        <f t="shared" si="3"/>
        <v/>
      </c>
      <c r="T36" s="12" t="str">
        <f>IF(Raw_Data!AN39="","",Raw_Data!AN39)</f>
        <v/>
      </c>
      <c r="U36" s="12" t="str">
        <f t="shared" si="4"/>
        <v/>
      </c>
      <c r="V36" s="12" t="str">
        <f>IF(Raw_Data!AP39="","",IF(Raw_Data!AP39="oui",1,0))</f>
        <v/>
      </c>
      <c r="W36" s="12" t="str">
        <f>IF(Raw_Data!AQ39="","",IF(Raw_Data!AQ39="oui",1,0))</f>
        <v/>
      </c>
      <c r="X36" s="12" t="str">
        <f>IF(Raw_Data!AR39="","",IF(Raw_Data!AR39="oui",1,0))</f>
        <v/>
      </c>
      <c r="Y36" s="12" t="str">
        <f>IF(Raw_Data!AS39="","",IF(Raw_Data!AS39="oui",1,0))</f>
        <v/>
      </c>
      <c r="Z36" s="12" t="str">
        <f>IF(Raw_Data!V39="","",IF(Raw_Data!V39="oui",1,0))</f>
        <v/>
      </c>
      <c r="AA36" s="12" t="str">
        <f>IF(Raw_Data!W39="","",IF(Raw_Data!W39="oui",1,0))</f>
        <v/>
      </c>
      <c r="AB36" s="12" t="str">
        <f>IF(Raw_Data!Q39="","",IF(Raw_Data!Q39="oui",1,0))</f>
        <v/>
      </c>
      <c r="AC36" s="12">
        <f>Raw_Data!AF39</f>
        <v>0</v>
      </c>
      <c r="AD36" s="12" t="str">
        <f t="shared" si="5"/>
        <v/>
      </c>
      <c r="AE36" s="12" t="str">
        <f t="shared" si="6"/>
        <v/>
      </c>
      <c r="AF36" s="12" t="str">
        <f t="shared" si="7"/>
        <v/>
      </c>
      <c r="AG36" s="12">
        <f t="shared" si="8"/>
        <v>0</v>
      </c>
    </row>
    <row r="37" spans="1:33" ht="15" customHeight="1" x14ac:dyDescent="0.25">
      <c r="A37" s="12" t="str">
        <f>IF(Raw_Data!B40="","",Raw_Data!B40)</f>
        <v/>
      </c>
      <c r="B37" s="12">
        <f>IF(Raw_Data!X40&lt;&gt;"",Raw_Data!X40,Raw_Data!C40)</f>
        <v>0</v>
      </c>
      <c r="C37" s="12" t="str">
        <f>IF(Raw_Data!G40="","",Raw_Data!G40)</f>
        <v/>
      </c>
      <c r="D37" s="12" t="str">
        <f>IF(Raw_Data!H40="","",Raw_Data!H40)</f>
        <v/>
      </c>
      <c r="E37" s="12" t="str">
        <f>IF(Raw_Data!I40="","",Raw_Data!I40)</f>
        <v/>
      </c>
      <c r="F37" s="12" t="str">
        <f>IF(Raw_Data!J40="","",Raw_Data!J40)</f>
        <v/>
      </c>
      <c r="G37" s="12" t="str">
        <f>IF(Raw_Data!AH40&lt;&gt;"",Raw_Data!AH40,IF(Raw_Data!K40&lt;&gt;"",Raw_Data!K40,""))</f>
        <v/>
      </c>
      <c r="H37" s="12" t="str">
        <f>IF(Raw_Data!AI40&lt;&gt;"",Raw_Data!AI40,IF(Raw_Data!L40&lt;&gt;"",Raw_Data!L40,""))</f>
        <v/>
      </c>
      <c r="I37" s="12" t="str">
        <f t="shared" si="0"/>
        <v/>
      </c>
      <c r="J37" s="12" t="str">
        <f>IF(Raw_Data!M40="","",Raw_Data!M40)</f>
        <v/>
      </c>
      <c r="K37" s="12">
        <f>IF(Raw_Data!AJ40&lt;&gt;"",Raw_Data!AJ40,Raw_Data!N40)</f>
        <v>0</v>
      </c>
      <c r="L37" s="12">
        <f t="shared" si="1"/>
        <v>1</v>
      </c>
      <c r="M37" s="12" t="str">
        <f>IF(Raw_Data!AK40="","",Raw_Data!AK40)</f>
        <v/>
      </c>
      <c r="N37" s="12" t="str">
        <f>IF(Raw_Data!T40="","",Raw_Data!T40)</f>
        <v/>
      </c>
      <c r="O37" s="12" t="str">
        <f>IF(Raw_Data!AB40&lt;&gt;"",Raw_Data!AB40,IF(N37="tres_insatisfait",1,IF(N37="insatisfait",2,IF(N37="neutre",3,IF(N37="satisfait",4,IF(N37="tres_satisfait",5,""))))))</f>
        <v/>
      </c>
      <c r="P37" s="12">
        <f>IF(Raw_Data!AL40&lt;&gt;"",Raw_Data!AL40,Raw_Data!R40)</f>
        <v>0</v>
      </c>
      <c r="Q37" s="12">
        <f t="shared" si="2"/>
        <v>0</v>
      </c>
      <c r="R37" s="12" t="str">
        <f>IF(Raw_Data!AM40="","",Raw_Data!AM40)</f>
        <v/>
      </c>
      <c r="S37" s="12" t="str">
        <f t="shared" si="3"/>
        <v/>
      </c>
      <c r="T37" s="12" t="str">
        <f>IF(Raw_Data!AN40="","",Raw_Data!AN40)</f>
        <v/>
      </c>
      <c r="U37" s="12" t="str">
        <f t="shared" si="4"/>
        <v/>
      </c>
      <c r="V37" s="12" t="str">
        <f>IF(Raw_Data!AP40="","",IF(Raw_Data!AP40="oui",1,0))</f>
        <v/>
      </c>
      <c r="W37" s="12" t="str">
        <f>IF(Raw_Data!AQ40="","",IF(Raw_Data!AQ40="oui",1,0))</f>
        <v/>
      </c>
      <c r="X37" s="12" t="str">
        <f>IF(Raw_Data!AR40="","",IF(Raw_Data!AR40="oui",1,0))</f>
        <v/>
      </c>
      <c r="Y37" s="12" t="str">
        <f>IF(Raw_Data!AS40="","",IF(Raw_Data!AS40="oui",1,0))</f>
        <v/>
      </c>
      <c r="Z37" s="12" t="str">
        <f>IF(Raw_Data!V40="","",IF(Raw_Data!V40="oui",1,0))</f>
        <v/>
      </c>
      <c r="AA37" s="12" t="str">
        <f>IF(Raw_Data!W40="","",IF(Raw_Data!W40="oui",1,0))</f>
        <v/>
      </c>
      <c r="AB37" s="12" t="str">
        <f>IF(Raw_Data!Q40="","",IF(Raw_Data!Q40="oui",1,0))</f>
        <v/>
      </c>
      <c r="AC37" s="12">
        <f>Raw_Data!AF40</f>
        <v>0</v>
      </c>
      <c r="AD37" s="12" t="str">
        <f t="shared" si="5"/>
        <v/>
      </c>
      <c r="AE37" s="12" t="str">
        <f t="shared" si="6"/>
        <v/>
      </c>
      <c r="AF37" s="12" t="str">
        <f t="shared" si="7"/>
        <v/>
      </c>
      <c r="AG37" s="12">
        <f t="shared" si="8"/>
        <v>0</v>
      </c>
    </row>
    <row r="38" spans="1:33" ht="15" customHeight="1" x14ac:dyDescent="0.25">
      <c r="A38" s="12" t="str">
        <f>IF(Raw_Data!B41="","",Raw_Data!B41)</f>
        <v/>
      </c>
      <c r="B38" s="12">
        <f>IF(Raw_Data!X41&lt;&gt;"",Raw_Data!X41,Raw_Data!C41)</f>
        <v>0</v>
      </c>
      <c r="C38" s="12" t="str">
        <f>IF(Raw_Data!G41="","",Raw_Data!G41)</f>
        <v/>
      </c>
      <c r="D38" s="12" t="str">
        <f>IF(Raw_Data!H41="","",Raw_Data!H41)</f>
        <v/>
      </c>
      <c r="E38" s="12" t="str">
        <f>IF(Raw_Data!I41="","",Raw_Data!I41)</f>
        <v/>
      </c>
      <c r="F38" s="12" t="str">
        <f>IF(Raw_Data!J41="","",Raw_Data!J41)</f>
        <v/>
      </c>
      <c r="G38" s="12" t="str">
        <f>IF(Raw_Data!AH41&lt;&gt;"",Raw_Data!AH41,IF(Raw_Data!K41&lt;&gt;"",Raw_Data!K41,""))</f>
        <v/>
      </c>
      <c r="H38" s="12" t="str">
        <f>IF(Raw_Data!AI41&lt;&gt;"",Raw_Data!AI41,IF(Raw_Data!L41&lt;&gt;"",Raw_Data!L41,""))</f>
        <v/>
      </c>
      <c r="I38" s="12" t="str">
        <f t="shared" si="0"/>
        <v/>
      </c>
      <c r="J38" s="12" t="str">
        <f>IF(Raw_Data!M41="","",Raw_Data!M41)</f>
        <v/>
      </c>
      <c r="K38" s="12">
        <f>IF(Raw_Data!AJ41&lt;&gt;"",Raw_Data!AJ41,Raw_Data!N41)</f>
        <v>0</v>
      </c>
      <c r="L38" s="12">
        <f t="shared" si="1"/>
        <v>1</v>
      </c>
      <c r="M38" s="12" t="str">
        <f>IF(Raw_Data!AK41="","",Raw_Data!AK41)</f>
        <v/>
      </c>
      <c r="N38" s="12" t="str">
        <f>IF(Raw_Data!T41="","",Raw_Data!T41)</f>
        <v/>
      </c>
      <c r="O38" s="12" t="str">
        <f>IF(Raw_Data!AB41&lt;&gt;"",Raw_Data!AB41,IF(N38="tres_insatisfait",1,IF(N38="insatisfait",2,IF(N38="neutre",3,IF(N38="satisfait",4,IF(N38="tres_satisfait",5,""))))))</f>
        <v/>
      </c>
      <c r="P38" s="12">
        <f>IF(Raw_Data!AL41&lt;&gt;"",Raw_Data!AL41,Raw_Data!R41)</f>
        <v>0</v>
      </c>
      <c r="Q38" s="12">
        <f t="shared" si="2"/>
        <v>0</v>
      </c>
      <c r="R38" s="12" t="str">
        <f>IF(Raw_Data!AM41="","",Raw_Data!AM41)</f>
        <v/>
      </c>
      <c r="S38" s="12" t="str">
        <f t="shared" si="3"/>
        <v/>
      </c>
      <c r="T38" s="12" t="str">
        <f>IF(Raw_Data!AN41="","",Raw_Data!AN41)</f>
        <v/>
      </c>
      <c r="U38" s="12" t="str">
        <f t="shared" si="4"/>
        <v/>
      </c>
      <c r="V38" s="12" t="str">
        <f>IF(Raw_Data!AP41="","",IF(Raw_Data!AP41="oui",1,0))</f>
        <v/>
      </c>
      <c r="W38" s="12" t="str">
        <f>IF(Raw_Data!AQ41="","",IF(Raw_Data!AQ41="oui",1,0))</f>
        <v/>
      </c>
      <c r="X38" s="12" t="str">
        <f>IF(Raw_Data!AR41="","",IF(Raw_Data!AR41="oui",1,0))</f>
        <v/>
      </c>
      <c r="Y38" s="12" t="str">
        <f>IF(Raw_Data!AS41="","",IF(Raw_Data!AS41="oui",1,0))</f>
        <v/>
      </c>
      <c r="Z38" s="12" t="str">
        <f>IF(Raw_Data!V41="","",IF(Raw_Data!V41="oui",1,0))</f>
        <v/>
      </c>
      <c r="AA38" s="12" t="str">
        <f>IF(Raw_Data!W41="","",IF(Raw_Data!W41="oui",1,0))</f>
        <v/>
      </c>
      <c r="AB38" s="12" t="str">
        <f>IF(Raw_Data!Q41="","",IF(Raw_Data!Q41="oui",1,0))</f>
        <v/>
      </c>
      <c r="AC38" s="12">
        <f>Raw_Data!AF41</f>
        <v>0</v>
      </c>
      <c r="AD38" s="12" t="str">
        <f t="shared" si="5"/>
        <v/>
      </c>
      <c r="AE38" s="12" t="str">
        <f t="shared" si="6"/>
        <v/>
      </c>
      <c r="AF38" s="12" t="str">
        <f t="shared" si="7"/>
        <v/>
      </c>
      <c r="AG38" s="12">
        <f t="shared" si="8"/>
        <v>0</v>
      </c>
    </row>
    <row r="39" spans="1:33" ht="15" customHeight="1" x14ac:dyDescent="0.25">
      <c r="A39" s="12" t="str">
        <f>IF(Raw_Data!B42="","",Raw_Data!B42)</f>
        <v/>
      </c>
      <c r="B39" s="12">
        <f>IF(Raw_Data!X42&lt;&gt;"",Raw_Data!X42,Raw_Data!C42)</f>
        <v>0</v>
      </c>
      <c r="C39" s="12" t="str">
        <f>IF(Raw_Data!G42="","",Raw_Data!G42)</f>
        <v/>
      </c>
      <c r="D39" s="12" t="str">
        <f>IF(Raw_Data!H42="","",Raw_Data!H42)</f>
        <v/>
      </c>
      <c r="E39" s="12" t="str">
        <f>IF(Raw_Data!I42="","",Raw_Data!I42)</f>
        <v/>
      </c>
      <c r="F39" s="12" t="str">
        <f>IF(Raw_Data!J42="","",Raw_Data!J42)</f>
        <v/>
      </c>
      <c r="G39" s="12" t="str">
        <f>IF(Raw_Data!AH42&lt;&gt;"",Raw_Data!AH42,IF(Raw_Data!K42&lt;&gt;"",Raw_Data!K42,""))</f>
        <v/>
      </c>
      <c r="H39" s="12" t="str">
        <f>IF(Raw_Data!AI42&lt;&gt;"",Raw_Data!AI42,IF(Raw_Data!L42&lt;&gt;"",Raw_Data!L42,""))</f>
        <v/>
      </c>
      <c r="I39" s="12" t="str">
        <f t="shared" si="0"/>
        <v/>
      </c>
      <c r="J39" s="12" t="str">
        <f>IF(Raw_Data!M42="","",Raw_Data!M42)</f>
        <v/>
      </c>
      <c r="K39" s="12">
        <f>IF(Raw_Data!AJ42&lt;&gt;"",Raw_Data!AJ42,Raw_Data!N42)</f>
        <v>0</v>
      </c>
      <c r="L39" s="12">
        <f t="shared" si="1"/>
        <v>1</v>
      </c>
      <c r="M39" s="12" t="str">
        <f>IF(Raw_Data!AK42="","",Raw_Data!AK42)</f>
        <v/>
      </c>
      <c r="N39" s="12" t="str">
        <f>IF(Raw_Data!T42="","",Raw_Data!T42)</f>
        <v/>
      </c>
      <c r="O39" s="12" t="str">
        <f>IF(Raw_Data!AB42&lt;&gt;"",Raw_Data!AB42,IF(N39="tres_insatisfait",1,IF(N39="insatisfait",2,IF(N39="neutre",3,IF(N39="satisfait",4,IF(N39="tres_satisfait",5,""))))))</f>
        <v/>
      </c>
      <c r="P39" s="12">
        <f>IF(Raw_Data!AL42&lt;&gt;"",Raw_Data!AL42,Raw_Data!R42)</f>
        <v>0</v>
      </c>
      <c r="Q39" s="12">
        <f t="shared" si="2"/>
        <v>0</v>
      </c>
      <c r="R39" s="12" t="str">
        <f>IF(Raw_Data!AM42="","",Raw_Data!AM42)</f>
        <v/>
      </c>
      <c r="S39" s="12" t="str">
        <f t="shared" si="3"/>
        <v/>
      </c>
      <c r="T39" s="12" t="str">
        <f>IF(Raw_Data!AN42="","",Raw_Data!AN42)</f>
        <v/>
      </c>
      <c r="U39" s="12" t="str">
        <f t="shared" si="4"/>
        <v/>
      </c>
      <c r="V39" s="12" t="str">
        <f>IF(Raw_Data!AP42="","",IF(Raw_Data!AP42="oui",1,0))</f>
        <v/>
      </c>
      <c r="W39" s="12" t="str">
        <f>IF(Raw_Data!AQ42="","",IF(Raw_Data!AQ42="oui",1,0))</f>
        <v/>
      </c>
      <c r="X39" s="12" t="str">
        <f>IF(Raw_Data!AR42="","",IF(Raw_Data!AR42="oui",1,0))</f>
        <v/>
      </c>
      <c r="Y39" s="12" t="str">
        <f>IF(Raw_Data!AS42="","",IF(Raw_Data!AS42="oui",1,0))</f>
        <v/>
      </c>
      <c r="Z39" s="12" t="str">
        <f>IF(Raw_Data!V42="","",IF(Raw_Data!V42="oui",1,0))</f>
        <v/>
      </c>
      <c r="AA39" s="12" t="str">
        <f>IF(Raw_Data!W42="","",IF(Raw_Data!W42="oui",1,0))</f>
        <v/>
      </c>
      <c r="AB39" s="12" t="str">
        <f>IF(Raw_Data!Q42="","",IF(Raw_Data!Q42="oui",1,0))</f>
        <v/>
      </c>
      <c r="AC39" s="12">
        <f>Raw_Data!AF42</f>
        <v>0</v>
      </c>
      <c r="AD39" s="12" t="str">
        <f t="shared" si="5"/>
        <v/>
      </c>
      <c r="AE39" s="12" t="str">
        <f t="shared" si="6"/>
        <v/>
      </c>
      <c r="AF39" s="12" t="str">
        <f t="shared" si="7"/>
        <v/>
      </c>
      <c r="AG39" s="12">
        <f t="shared" si="8"/>
        <v>0</v>
      </c>
    </row>
    <row r="40" spans="1:33" ht="15" customHeight="1" x14ac:dyDescent="0.25">
      <c r="A40" s="12" t="str">
        <f>IF(Raw_Data!B43="","",Raw_Data!B43)</f>
        <v/>
      </c>
      <c r="B40" s="12">
        <f>IF(Raw_Data!X43&lt;&gt;"",Raw_Data!X43,Raw_Data!C43)</f>
        <v>0</v>
      </c>
      <c r="C40" s="12" t="str">
        <f>IF(Raw_Data!G43="","",Raw_Data!G43)</f>
        <v/>
      </c>
      <c r="D40" s="12" t="str">
        <f>IF(Raw_Data!H43="","",Raw_Data!H43)</f>
        <v/>
      </c>
      <c r="E40" s="12" t="str">
        <f>IF(Raw_Data!I43="","",Raw_Data!I43)</f>
        <v/>
      </c>
      <c r="F40" s="12" t="str">
        <f>IF(Raw_Data!J43="","",Raw_Data!J43)</f>
        <v/>
      </c>
      <c r="G40" s="12" t="str">
        <f>IF(Raw_Data!AH43&lt;&gt;"",Raw_Data!AH43,IF(Raw_Data!K43&lt;&gt;"",Raw_Data!K43,""))</f>
        <v/>
      </c>
      <c r="H40" s="12" t="str">
        <f>IF(Raw_Data!AI43&lt;&gt;"",Raw_Data!AI43,IF(Raw_Data!L43&lt;&gt;"",Raw_Data!L43,""))</f>
        <v/>
      </c>
      <c r="I40" s="12" t="str">
        <f t="shared" si="0"/>
        <v/>
      </c>
      <c r="J40" s="12" t="str">
        <f>IF(Raw_Data!M43="","",Raw_Data!M43)</f>
        <v/>
      </c>
      <c r="K40" s="12">
        <f>IF(Raw_Data!AJ43&lt;&gt;"",Raw_Data!AJ43,Raw_Data!N43)</f>
        <v>0</v>
      </c>
      <c r="L40" s="12">
        <f t="shared" si="1"/>
        <v>1</v>
      </c>
      <c r="M40" s="12" t="str">
        <f>IF(Raw_Data!AK43="","",Raw_Data!AK43)</f>
        <v/>
      </c>
      <c r="N40" s="12" t="str">
        <f>IF(Raw_Data!T43="","",Raw_Data!T43)</f>
        <v/>
      </c>
      <c r="O40" s="12" t="str">
        <f>IF(Raw_Data!AB43&lt;&gt;"",Raw_Data!AB43,IF(N40="tres_insatisfait",1,IF(N40="insatisfait",2,IF(N40="neutre",3,IF(N40="satisfait",4,IF(N40="tres_satisfait",5,""))))))</f>
        <v/>
      </c>
      <c r="P40" s="12">
        <f>IF(Raw_Data!AL43&lt;&gt;"",Raw_Data!AL43,Raw_Data!R43)</f>
        <v>0</v>
      </c>
      <c r="Q40" s="12">
        <f t="shared" si="2"/>
        <v>0</v>
      </c>
      <c r="R40" s="12" t="str">
        <f>IF(Raw_Data!AM43="","",Raw_Data!AM43)</f>
        <v/>
      </c>
      <c r="S40" s="12" t="str">
        <f t="shared" si="3"/>
        <v/>
      </c>
      <c r="T40" s="12" t="str">
        <f>IF(Raw_Data!AN43="","",Raw_Data!AN43)</f>
        <v/>
      </c>
      <c r="U40" s="12" t="str">
        <f t="shared" si="4"/>
        <v/>
      </c>
      <c r="V40" s="12" t="str">
        <f>IF(Raw_Data!AP43="","",IF(Raw_Data!AP43="oui",1,0))</f>
        <v/>
      </c>
      <c r="W40" s="12" t="str">
        <f>IF(Raw_Data!AQ43="","",IF(Raw_Data!AQ43="oui",1,0))</f>
        <v/>
      </c>
      <c r="X40" s="12" t="str">
        <f>IF(Raw_Data!AR43="","",IF(Raw_Data!AR43="oui",1,0))</f>
        <v/>
      </c>
      <c r="Y40" s="12" t="str">
        <f>IF(Raw_Data!AS43="","",IF(Raw_Data!AS43="oui",1,0))</f>
        <v/>
      </c>
      <c r="Z40" s="12" t="str">
        <f>IF(Raw_Data!V43="","",IF(Raw_Data!V43="oui",1,0))</f>
        <v/>
      </c>
      <c r="AA40" s="12" t="str">
        <f>IF(Raw_Data!W43="","",IF(Raw_Data!W43="oui",1,0))</f>
        <v/>
      </c>
      <c r="AB40" s="12" t="str">
        <f>IF(Raw_Data!Q43="","",IF(Raw_Data!Q43="oui",1,0))</f>
        <v/>
      </c>
      <c r="AC40" s="12">
        <f>Raw_Data!AF43</f>
        <v>0</v>
      </c>
      <c r="AD40" s="12" t="str">
        <f t="shared" si="5"/>
        <v/>
      </c>
      <c r="AE40" s="12" t="str">
        <f t="shared" si="6"/>
        <v/>
      </c>
      <c r="AF40" s="12" t="str">
        <f t="shared" si="7"/>
        <v/>
      </c>
      <c r="AG40" s="12">
        <f t="shared" si="8"/>
        <v>0</v>
      </c>
    </row>
    <row r="41" spans="1:33" ht="15" customHeight="1" x14ac:dyDescent="0.25">
      <c r="A41" s="12" t="str">
        <f>IF(Raw_Data!B44="","",Raw_Data!B44)</f>
        <v/>
      </c>
      <c r="B41" s="12">
        <f>IF(Raw_Data!X44&lt;&gt;"",Raw_Data!X44,Raw_Data!C44)</f>
        <v>0</v>
      </c>
      <c r="C41" s="12" t="str">
        <f>IF(Raw_Data!G44="","",Raw_Data!G44)</f>
        <v/>
      </c>
      <c r="D41" s="12" t="str">
        <f>IF(Raw_Data!H44="","",Raw_Data!H44)</f>
        <v/>
      </c>
      <c r="E41" s="12" t="str">
        <f>IF(Raw_Data!I44="","",Raw_Data!I44)</f>
        <v/>
      </c>
      <c r="F41" s="12" t="str">
        <f>IF(Raw_Data!J44="","",Raw_Data!J44)</f>
        <v/>
      </c>
      <c r="G41" s="12" t="str">
        <f>IF(Raw_Data!AH44&lt;&gt;"",Raw_Data!AH44,IF(Raw_Data!K44&lt;&gt;"",Raw_Data!K44,""))</f>
        <v/>
      </c>
      <c r="H41" s="12" t="str">
        <f>IF(Raw_Data!AI44&lt;&gt;"",Raw_Data!AI44,IF(Raw_Data!L44&lt;&gt;"",Raw_Data!L44,""))</f>
        <v/>
      </c>
      <c r="I41" s="12" t="str">
        <f t="shared" si="0"/>
        <v/>
      </c>
      <c r="J41" s="12" t="str">
        <f>IF(Raw_Data!M44="","",Raw_Data!M44)</f>
        <v/>
      </c>
      <c r="K41" s="12">
        <f>IF(Raw_Data!AJ44&lt;&gt;"",Raw_Data!AJ44,Raw_Data!N44)</f>
        <v>0</v>
      </c>
      <c r="L41" s="12">
        <f t="shared" si="1"/>
        <v>1</v>
      </c>
      <c r="M41" s="12" t="str">
        <f>IF(Raw_Data!AK44="","",Raw_Data!AK44)</f>
        <v/>
      </c>
      <c r="N41" s="12" t="str">
        <f>IF(Raw_Data!T44="","",Raw_Data!T44)</f>
        <v/>
      </c>
      <c r="O41" s="12" t="str">
        <f>IF(Raw_Data!AB44&lt;&gt;"",Raw_Data!AB44,IF(N41="tres_insatisfait",1,IF(N41="insatisfait",2,IF(N41="neutre",3,IF(N41="satisfait",4,IF(N41="tres_satisfait",5,""))))))</f>
        <v/>
      </c>
      <c r="P41" s="12">
        <f>IF(Raw_Data!AL44&lt;&gt;"",Raw_Data!AL44,Raw_Data!R44)</f>
        <v>0</v>
      </c>
      <c r="Q41" s="12">
        <f t="shared" si="2"/>
        <v>0</v>
      </c>
      <c r="R41" s="12" t="str">
        <f>IF(Raw_Data!AM44="","",Raw_Data!AM44)</f>
        <v/>
      </c>
      <c r="S41" s="12" t="str">
        <f t="shared" si="3"/>
        <v/>
      </c>
      <c r="T41" s="12" t="str">
        <f>IF(Raw_Data!AN44="","",Raw_Data!AN44)</f>
        <v/>
      </c>
      <c r="U41" s="12" t="str">
        <f t="shared" si="4"/>
        <v/>
      </c>
      <c r="V41" s="12" t="str">
        <f>IF(Raw_Data!AP44="","",IF(Raw_Data!AP44="oui",1,0))</f>
        <v/>
      </c>
      <c r="W41" s="12" t="str">
        <f>IF(Raw_Data!AQ44="","",IF(Raw_Data!AQ44="oui",1,0))</f>
        <v/>
      </c>
      <c r="X41" s="12" t="str">
        <f>IF(Raw_Data!AR44="","",IF(Raw_Data!AR44="oui",1,0))</f>
        <v/>
      </c>
      <c r="Y41" s="12" t="str">
        <f>IF(Raw_Data!AS44="","",IF(Raw_Data!AS44="oui",1,0))</f>
        <v/>
      </c>
      <c r="Z41" s="12" t="str">
        <f>IF(Raw_Data!V44="","",IF(Raw_Data!V44="oui",1,0))</f>
        <v/>
      </c>
      <c r="AA41" s="12" t="str">
        <f>IF(Raw_Data!W44="","",IF(Raw_Data!W44="oui",1,0))</f>
        <v/>
      </c>
      <c r="AB41" s="12" t="str">
        <f>IF(Raw_Data!Q44="","",IF(Raw_Data!Q44="oui",1,0))</f>
        <v/>
      </c>
      <c r="AC41" s="12">
        <f>Raw_Data!AF44</f>
        <v>0</v>
      </c>
      <c r="AD41" s="12" t="str">
        <f t="shared" si="5"/>
        <v/>
      </c>
      <c r="AE41" s="12" t="str">
        <f t="shared" si="6"/>
        <v/>
      </c>
      <c r="AF41" s="12" t="str">
        <f t="shared" si="7"/>
        <v/>
      </c>
      <c r="AG41" s="12">
        <f t="shared" si="8"/>
        <v>0</v>
      </c>
    </row>
    <row r="42" spans="1:33" ht="15" customHeight="1" x14ac:dyDescent="0.25">
      <c r="A42" s="12" t="str">
        <f>IF(Raw_Data!B45="","",Raw_Data!B45)</f>
        <v/>
      </c>
      <c r="B42" s="12">
        <f>IF(Raw_Data!X45&lt;&gt;"",Raw_Data!X45,Raw_Data!C45)</f>
        <v>0</v>
      </c>
      <c r="C42" s="12" t="str">
        <f>IF(Raw_Data!G45="","",Raw_Data!G45)</f>
        <v/>
      </c>
      <c r="D42" s="12" t="str">
        <f>IF(Raw_Data!H45="","",Raw_Data!H45)</f>
        <v/>
      </c>
      <c r="E42" s="12" t="str">
        <f>IF(Raw_Data!I45="","",Raw_Data!I45)</f>
        <v/>
      </c>
      <c r="F42" s="12" t="str">
        <f>IF(Raw_Data!J45="","",Raw_Data!J45)</f>
        <v/>
      </c>
      <c r="G42" s="12" t="str">
        <f>IF(Raw_Data!AH45&lt;&gt;"",Raw_Data!AH45,IF(Raw_Data!K45&lt;&gt;"",Raw_Data!K45,""))</f>
        <v/>
      </c>
      <c r="H42" s="12" t="str">
        <f>IF(Raw_Data!AI45&lt;&gt;"",Raw_Data!AI45,IF(Raw_Data!L45&lt;&gt;"",Raw_Data!L45,""))</f>
        <v/>
      </c>
      <c r="I42" s="12" t="str">
        <f t="shared" si="0"/>
        <v/>
      </c>
      <c r="J42" s="12" t="str">
        <f>IF(Raw_Data!M45="","",Raw_Data!M45)</f>
        <v/>
      </c>
      <c r="K42" s="12">
        <f>IF(Raw_Data!AJ45&lt;&gt;"",Raw_Data!AJ45,Raw_Data!N45)</f>
        <v>0</v>
      </c>
      <c r="L42" s="12">
        <f t="shared" si="1"/>
        <v>1</v>
      </c>
      <c r="M42" s="12" t="str">
        <f>IF(Raw_Data!AK45="","",Raw_Data!AK45)</f>
        <v/>
      </c>
      <c r="N42" s="12" t="str">
        <f>IF(Raw_Data!T45="","",Raw_Data!T45)</f>
        <v/>
      </c>
      <c r="O42" s="12" t="str">
        <f>IF(Raw_Data!AB45&lt;&gt;"",Raw_Data!AB45,IF(N42="tres_insatisfait",1,IF(N42="insatisfait",2,IF(N42="neutre",3,IF(N42="satisfait",4,IF(N42="tres_satisfait",5,""))))))</f>
        <v/>
      </c>
      <c r="P42" s="12">
        <f>IF(Raw_Data!AL45&lt;&gt;"",Raw_Data!AL45,Raw_Data!R45)</f>
        <v>0</v>
      </c>
      <c r="Q42" s="12">
        <f t="shared" si="2"/>
        <v>0</v>
      </c>
      <c r="R42" s="12" t="str">
        <f>IF(Raw_Data!AM45="","",Raw_Data!AM45)</f>
        <v/>
      </c>
      <c r="S42" s="12" t="str">
        <f t="shared" si="3"/>
        <v/>
      </c>
      <c r="T42" s="12" t="str">
        <f>IF(Raw_Data!AN45="","",Raw_Data!AN45)</f>
        <v/>
      </c>
      <c r="U42" s="12" t="str">
        <f t="shared" si="4"/>
        <v/>
      </c>
      <c r="V42" s="12" t="str">
        <f>IF(Raw_Data!AP45="","",IF(Raw_Data!AP45="oui",1,0))</f>
        <v/>
      </c>
      <c r="W42" s="12" t="str">
        <f>IF(Raw_Data!AQ45="","",IF(Raw_Data!AQ45="oui",1,0))</f>
        <v/>
      </c>
      <c r="X42" s="12" t="str">
        <f>IF(Raw_Data!AR45="","",IF(Raw_Data!AR45="oui",1,0))</f>
        <v/>
      </c>
      <c r="Y42" s="12" t="str">
        <f>IF(Raw_Data!AS45="","",IF(Raw_Data!AS45="oui",1,0))</f>
        <v/>
      </c>
      <c r="Z42" s="12" t="str">
        <f>IF(Raw_Data!V45="","",IF(Raw_Data!V45="oui",1,0))</f>
        <v/>
      </c>
      <c r="AA42" s="12" t="str">
        <f>IF(Raw_Data!W45="","",IF(Raw_Data!W45="oui",1,0))</f>
        <v/>
      </c>
      <c r="AB42" s="12" t="str">
        <f>IF(Raw_Data!Q45="","",IF(Raw_Data!Q45="oui",1,0))</f>
        <v/>
      </c>
      <c r="AC42" s="12">
        <f>Raw_Data!AF45</f>
        <v>0</v>
      </c>
      <c r="AD42" s="12" t="str">
        <f t="shared" si="5"/>
        <v/>
      </c>
      <c r="AE42" s="12" t="str">
        <f t="shared" si="6"/>
        <v/>
      </c>
      <c r="AF42" s="12" t="str">
        <f t="shared" si="7"/>
        <v/>
      </c>
      <c r="AG42" s="12">
        <f t="shared" si="8"/>
        <v>0</v>
      </c>
    </row>
    <row r="43" spans="1:33" ht="15" customHeight="1" x14ac:dyDescent="0.25">
      <c r="A43" s="12" t="str">
        <f>IF(Raw_Data!B46="","",Raw_Data!B46)</f>
        <v/>
      </c>
      <c r="B43" s="12">
        <f>IF(Raw_Data!X46&lt;&gt;"",Raw_Data!X46,Raw_Data!C46)</f>
        <v>0</v>
      </c>
      <c r="C43" s="12" t="str">
        <f>IF(Raw_Data!G46="","",Raw_Data!G46)</f>
        <v/>
      </c>
      <c r="D43" s="12" t="str">
        <f>IF(Raw_Data!H46="","",Raw_Data!H46)</f>
        <v/>
      </c>
      <c r="E43" s="12" t="str">
        <f>IF(Raw_Data!I46="","",Raw_Data!I46)</f>
        <v/>
      </c>
      <c r="F43" s="12" t="str">
        <f>IF(Raw_Data!J46="","",Raw_Data!J46)</f>
        <v/>
      </c>
      <c r="G43" s="12" t="str">
        <f>IF(Raw_Data!AH46&lt;&gt;"",Raw_Data!AH46,IF(Raw_Data!K46&lt;&gt;"",Raw_Data!K46,""))</f>
        <v/>
      </c>
      <c r="H43" s="12" t="str">
        <f>IF(Raw_Data!AI46&lt;&gt;"",Raw_Data!AI46,IF(Raw_Data!L46&lt;&gt;"",Raw_Data!L46,""))</f>
        <v/>
      </c>
      <c r="I43" s="12" t="str">
        <f t="shared" si="0"/>
        <v/>
      </c>
      <c r="J43" s="12" t="str">
        <f>IF(Raw_Data!M46="","",Raw_Data!M46)</f>
        <v/>
      </c>
      <c r="K43" s="12">
        <f>IF(Raw_Data!AJ46&lt;&gt;"",Raw_Data!AJ46,Raw_Data!N46)</f>
        <v>0</v>
      </c>
      <c r="L43" s="12">
        <f t="shared" si="1"/>
        <v>1</v>
      </c>
      <c r="M43" s="12" t="str">
        <f>IF(Raw_Data!AK46="","",Raw_Data!AK46)</f>
        <v/>
      </c>
      <c r="N43" s="12" t="str">
        <f>IF(Raw_Data!T46="","",Raw_Data!T46)</f>
        <v/>
      </c>
      <c r="O43" s="12" t="str">
        <f>IF(Raw_Data!AB46&lt;&gt;"",Raw_Data!AB46,IF(N43="tres_insatisfait",1,IF(N43="insatisfait",2,IF(N43="neutre",3,IF(N43="satisfait",4,IF(N43="tres_satisfait",5,""))))))</f>
        <v/>
      </c>
      <c r="P43" s="12">
        <f>IF(Raw_Data!AL46&lt;&gt;"",Raw_Data!AL46,Raw_Data!R46)</f>
        <v>0</v>
      </c>
      <c r="Q43" s="12">
        <f t="shared" si="2"/>
        <v>0</v>
      </c>
      <c r="R43" s="12" t="str">
        <f>IF(Raw_Data!AM46="","",Raw_Data!AM46)</f>
        <v/>
      </c>
      <c r="S43" s="12" t="str">
        <f t="shared" si="3"/>
        <v/>
      </c>
      <c r="T43" s="12" t="str">
        <f>IF(Raw_Data!AN46="","",Raw_Data!AN46)</f>
        <v/>
      </c>
      <c r="U43" s="12" t="str">
        <f t="shared" si="4"/>
        <v/>
      </c>
      <c r="V43" s="12" t="str">
        <f>IF(Raw_Data!AP46="","",IF(Raw_Data!AP46="oui",1,0))</f>
        <v/>
      </c>
      <c r="W43" s="12" t="str">
        <f>IF(Raw_Data!AQ46="","",IF(Raw_Data!AQ46="oui",1,0))</f>
        <v/>
      </c>
      <c r="X43" s="12" t="str">
        <f>IF(Raw_Data!AR46="","",IF(Raw_Data!AR46="oui",1,0))</f>
        <v/>
      </c>
      <c r="Y43" s="12" t="str">
        <f>IF(Raw_Data!AS46="","",IF(Raw_Data!AS46="oui",1,0))</f>
        <v/>
      </c>
      <c r="Z43" s="12" t="str">
        <f>IF(Raw_Data!V46="","",IF(Raw_Data!V46="oui",1,0))</f>
        <v/>
      </c>
      <c r="AA43" s="12" t="str">
        <f>IF(Raw_Data!W46="","",IF(Raw_Data!W46="oui",1,0))</f>
        <v/>
      </c>
      <c r="AB43" s="12" t="str">
        <f>IF(Raw_Data!Q46="","",IF(Raw_Data!Q46="oui",1,0))</f>
        <v/>
      </c>
      <c r="AC43" s="12">
        <f>Raw_Data!AF46</f>
        <v>0</v>
      </c>
      <c r="AD43" s="12" t="str">
        <f t="shared" si="5"/>
        <v/>
      </c>
      <c r="AE43" s="12" t="str">
        <f t="shared" si="6"/>
        <v/>
      </c>
      <c r="AF43" s="12" t="str">
        <f t="shared" si="7"/>
        <v/>
      </c>
      <c r="AG43" s="12">
        <f t="shared" si="8"/>
        <v>0</v>
      </c>
    </row>
    <row r="44" spans="1:33" ht="15" customHeight="1" x14ac:dyDescent="0.25">
      <c r="A44" s="12" t="str">
        <f>IF(Raw_Data!B47="","",Raw_Data!B47)</f>
        <v/>
      </c>
      <c r="B44" s="12">
        <f>IF(Raw_Data!X47&lt;&gt;"",Raw_Data!X47,Raw_Data!C47)</f>
        <v>0</v>
      </c>
      <c r="C44" s="12" t="str">
        <f>IF(Raw_Data!G47="","",Raw_Data!G47)</f>
        <v/>
      </c>
      <c r="D44" s="12" t="str">
        <f>IF(Raw_Data!H47="","",Raw_Data!H47)</f>
        <v/>
      </c>
      <c r="E44" s="12" t="str">
        <f>IF(Raw_Data!I47="","",Raw_Data!I47)</f>
        <v/>
      </c>
      <c r="F44" s="12" t="str">
        <f>IF(Raw_Data!J47="","",Raw_Data!J47)</f>
        <v/>
      </c>
      <c r="G44" s="12" t="str">
        <f>IF(Raw_Data!AH47&lt;&gt;"",Raw_Data!AH47,IF(Raw_Data!K47&lt;&gt;"",Raw_Data!K47,""))</f>
        <v/>
      </c>
      <c r="H44" s="12" t="str">
        <f>IF(Raw_Data!AI47&lt;&gt;"",Raw_Data!AI47,IF(Raw_Data!L47&lt;&gt;"",Raw_Data!L47,""))</f>
        <v/>
      </c>
      <c r="I44" s="12" t="str">
        <f t="shared" si="0"/>
        <v/>
      </c>
      <c r="J44" s="12" t="str">
        <f>IF(Raw_Data!M47="","",Raw_Data!M47)</f>
        <v/>
      </c>
      <c r="K44" s="12">
        <f>IF(Raw_Data!AJ47&lt;&gt;"",Raw_Data!AJ47,Raw_Data!N47)</f>
        <v>0</v>
      </c>
      <c r="L44" s="12">
        <f t="shared" si="1"/>
        <v>1</v>
      </c>
      <c r="M44" s="12" t="str">
        <f>IF(Raw_Data!AK47="","",Raw_Data!AK47)</f>
        <v/>
      </c>
      <c r="N44" s="12" t="str">
        <f>IF(Raw_Data!T47="","",Raw_Data!T47)</f>
        <v/>
      </c>
      <c r="O44" s="12" t="str">
        <f>IF(Raw_Data!AB47&lt;&gt;"",Raw_Data!AB47,IF(N44="tres_insatisfait",1,IF(N44="insatisfait",2,IF(N44="neutre",3,IF(N44="satisfait",4,IF(N44="tres_satisfait",5,""))))))</f>
        <v/>
      </c>
      <c r="P44" s="12">
        <f>IF(Raw_Data!AL47&lt;&gt;"",Raw_Data!AL47,Raw_Data!R47)</f>
        <v>0</v>
      </c>
      <c r="Q44" s="12">
        <f t="shared" si="2"/>
        <v>0</v>
      </c>
      <c r="R44" s="12" t="str">
        <f>IF(Raw_Data!AM47="","",Raw_Data!AM47)</f>
        <v/>
      </c>
      <c r="S44" s="12" t="str">
        <f t="shared" si="3"/>
        <v/>
      </c>
      <c r="T44" s="12" t="str">
        <f>IF(Raw_Data!AN47="","",Raw_Data!AN47)</f>
        <v/>
      </c>
      <c r="U44" s="12" t="str">
        <f t="shared" si="4"/>
        <v/>
      </c>
      <c r="V44" s="12" t="str">
        <f>IF(Raw_Data!AP47="","",IF(Raw_Data!AP47="oui",1,0))</f>
        <v/>
      </c>
      <c r="W44" s="12" t="str">
        <f>IF(Raw_Data!AQ47="","",IF(Raw_Data!AQ47="oui",1,0))</f>
        <v/>
      </c>
      <c r="X44" s="12" t="str">
        <f>IF(Raw_Data!AR47="","",IF(Raw_Data!AR47="oui",1,0))</f>
        <v/>
      </c>
      <c r="Y44" s="12" t="str">
        <f>IF(Raw_Data!AS47="","",IF(Raw_Data!AS47="oui",1,0))</f>
        <v/>
      </c>
      <c r="Z44" s="12" t="str">
        <f>IF(Raw_Data!V47="","",IF(Raw_Data!V47="oui",1,0))</f>
        <v/>
      </c>
      <c r="AA44" s="12" t="str">
        <f>IF(Raw_Data!W47="","",IF(Raw_Data!W47="oui",1,0))</f>
        <v/>
      </c>
      <c r="AB44" s="12" t="str">
        <f>IF(Raw_Data!Q47="","",IF(Raw_Data!Q47="oui",1,0))</f>
        <v/>
      </c>
      <c r="AC44" s="12">
        <f>Raw_Data!AF47</f>
        <v>0</v>
      </c>
      <c r="AD44" s="12" t="str">
        <f t="shared" si="5"/>
        <v/>
      </c>
      <c r="AE44" s="12" t="str">
        <f t="shared" si="6"/>
        <v/>
      </c>
      <c r="AF44" s="12" t="str">
        <f t="shared" si="7"/>
        <v/>
      </c>
      <c r="AG44" s="12">
        <f t="shared" si="8"/>
        <v>0</v>
      </c>
    </row>
    <row r="45" spans="1:33" ht="15" customHeight="1" x14ac:dyDescent="0.25">
      <c r="A45" s="12" t="str">
        <f>IF(Raw_Data!B48="","",Raw_Data!B48)</f>
        <v/>
      </c>
      <c r="B45" s="12">
        <f>IF(Raw_Data!X48&lt;&gt;"",Raw_Data!X48,Raw_Data!C48)</f>
        <v>0</v>
      </c>
      <c r="C45" s="12" t="str">
        <f>IF(Raw_Data!G48="","",Raw_Data!G48)</f>
        <v/>
      </c>
      <c r="D45" s="12" t="str">
        <f>IF(Raw_Data!H48="","",Raw_Data!H48)</f>
        <v/>
      </c>
      <c r="E45" s="12" t="str">
        <f>IF(Raw_Data!I48="","",Raw_Data!I48)</f>
        <v/>
      </c>
      <c r="F45" s="12" t="str">
        <f>IF(Raw_Data!J48="","",Raw_Data!J48)</f>
        <v/>
      </c>
      <c r="G45" s="12" t="str">
        <f>IF(Raw_Data!AH48&lt;&gt;"",Raw_Data!AH48,IF(Raw_Data!K48&lt;&gt;"",Raw_Data!K48,""))</f>
        <v/>
      </c>
      <c r="H45" s="12" t="str">
        <f>IF(Raw_Data!AI48&lt;&gt;"",Raw_Data!AI48,IF(Raw_Data!L48&lt;&gt;"",Raw_Data!L48,""))</f>
        <v/>
      </c>
      <c r="I45" s="12" t="str">
        <f t="shared" si="0"/>
        <v/>
      </c>
      <c r="J45" s="12" t="str">
        <f>IF(Raw_Data!M48="","",Raw_Data!M48)</f>
        <v/>
      </c>
      <c r="K45" s="12">
        <f>IF(Raw_Data!AJ48&lt;&gt;"",Raw_Data!AJ48,Raw_Data!N48)</f>
        <v>0</v>
      </c>
      <c r="L45" s="12">
        <f t="shared" si="1"/>
        <v>1</v>
      </c>
      <c r="M45" s="12" t="str">
        <f>IF(Raw_Data!AK48="","",Raw_Data!AK48)</f>
        <v/>
      </c>
      <c r="N45" s="12" t="str">
        <f>IF(Raw_Data!T48="","",Raw_Data!T48)</f>
        <v/>
      </c>
      <c r="O45" s="12" t="str">
        <f>IF(Raw_Data!AB48&lt;&gt;"",Raw_Data!AB48,IF(N45="tres_insatisfait",1,IF(N45="insatisfait",2,IF(N45="neutre",3,IF(N45="satisfait",4,IF(N45="tres_satisfait",5,""))))))</f>
        <v/>
      </c>
      <c r="P45" s="12">
        <f>IF(Raw_Data!AL48&lt;&gt;"",Raw_Data!AL48,Raw_Data!R48)</f>
        <v>0</v>
      </c>
      <c r="Q45" s="12">
        <f t="shared" si="2"/>
        <v>0</v>
      </c>
      <c r="R45" s="12" t="str">
        <f>IF(Raw_Data!AM48="","",Raw_Data!AM48)</f>
        <v/>
      </c>
      <c r="S45" s="12" t="str">
        <f t="shared" si="3"/>
        <v/>
      </c>
      <c r="T45" s="12" t="str">
        <f>IF(Raw_Data!AN48="","",Raw_Data!AN48)</f>
        <v/>
      </c>
      <c r="U45" s="12" t="str">
        <f t="shared" si="4"/>
        <v/>
      </c>
      <c r="V45" s="12" t="str">
        <f>IF(Raw_Data!AP48="","",IF(Raw_Data!AP48="oui",1,0))</f>
        <v/>
      </c>
      <c r="W45" s="12" t="str">
        <f>IF(Raw_Data!AQ48="","",IF(Raw_Data!AQ48="oui",1,0))</f>
        <v/>
      </c>
      <c r="X45" s="12" t="str">
        <f>IF(Raw_Data!AR48="","",IF(Raw_Data!AR48="oui",1,0))</f>
        <v/>
      </c>
      <c r="Y45" s="12" t="str">
        <f>IF(Raw_Data!AS48="","",IF(Raw_Data!AS48="oui",1,0))</f>
        <v/>
      </c>
      <c r="Z45" s="12" t="str">
        <f>IF(Raw_Data!V48="","",IF(Raw_Data!V48="oui",1,0))</f>
        <v/>
      </c>
      <c r="AA45" s="12" t="str">
        <f>IF(Raw_Data!W48="","",IF(Raw_Data!W48="oui",1,0))</f>
        <v/>
      </c>
      <c r="AB45" s="12" t="str">
        <f>IF(Raw_Data!Q48="","",IF(Raw_Data!Q48="oui",1,0))</f>
        <v/>
      </c>
      <c r="AC45" s="12">
        <f>Raw_Data!AF48</f>
        <v>0</v>
      </c>
      <c r="AD45" s="12" t="str">
        <f t="shared" si="5"/>
        <v/>
      </c>
      <c r="AE45" s="12" t="str">
        <f t="shared" si="6"/>
        <v/>
      </c>
      <c r="AF45" s="12" t="str">
        <f t="shared" si="7"/>
        <v/>
      </c>
      <c r="AG45" s="12">
        <f t="shared" si="8"/>
        <v>0</v>
      </c>
    </row>
    <row r="46" spans="1:33" ht="15" customHeight="1" x14ac:dyDescent="0.25">
      <c r="A46" s="12" t="str">
        <f>IF(Raw_Data!B49="","",Raw_Data!B49)</f>
        <v/>
      </c>
      <c r="B46" s="12">
        <f>IF(Raw_Data!X49&lt;&gt;"",Raw_Data!X49,Raw_Data!C49)</f>
        <v>0</v>
      </c>
      <c r="C46" s="12" t="str">
        <f>IF(Raw_Data!G49="","",Raw_Data!G49)</f>
        <v/>
      </c>
      <c r="D46" s="12" t="str">
        <f>IF(Raw_Data!H49="","",Raw_Data!H49)</f>
        <v/>
      </c>
      <c r="E46" s="12" t="str">
        <f>IF(Raw_Data!I49="","",Raw_Data!I49)</f>
        <v/>
      </c>
      <c r="F46" s="12" t="str">
        <f>IF(Raw_Data!J49="","",Raw_Data!J49)</f>
        <v/>
      </c>
      <c r="G46" s="12" t="str">
        <f>IF(Raw_Data!AH49&lt;&gt;"",Raw_Data!AH49,IF(Raw_Data!K49&lt;&gt;"",Raw_Data!K49,""))</f>
        <v/>
      </c>
      <c r="H46" s="12" t="str">
        <f>IF(Raw_Data!AI49&lt;&gt;"",Raw_Data!AI49,IF(Raw_Data!L49&lt;&gt;"",Raw_Data!L49,""))</f>
        <v/>
      </c>
      <c r="I46" s="12" t="str">
        <f t="shared" si="0"/>
        <v/>
      </c>
      <c r="J46" s="12" t="str">
        <f>IF(Raw_Data!M49="","",Raw_Data!M49)</f>
        <v/>
      </c>
      <c r="K46" s="12">
        <f>IF(Raw_Data!AJ49&lt;&gt;"",Raw_Data!AJ49,Raw_Data!N49)</f>
        <v>0</v>
      </c>
      <c r="L46" s="12">
        <f t="shared" si="1"/>
        <v>1</v>
      </c>
      <c r="M46" s="12" t="str">
        <f>IF(Raw_Data!AK49="","",Raw_Data!AK49)</f>
        <v/>
      </c>
      <c r="N46" s="12" t="str">
        <f>IF(Raw_Data!T49="","",Raw_Data!T49)</f>
        <v/>
      </c>
      <c r="O46" s="12" t="str">
        <f>IF(Raw_Data!AB49&lt;&gt;"",Raw_Data!AB49,IF(N46="tres_insatisfait",1,IF(N46="insatisfait",2,IF(N46="neutre",3,IF(N46="satisfait",4,IF(N46="tres_satisfait",5,""))))))</f>
        <v/>
      </c>
      <c r="P46" s="12">
        <f>IF(Raw_Data!AL49&lt;&gt;"",Raw_Data!AL49,Raw_Data!R49)</f>
        <v>0</v>
      </c>
      <c r="Q46" s="12">
        <f t="shared" si="2"/>
        <v>0</v>
      </c>
      <c r="R46" s="12" t="str">
        <f>IF(Raw_Data!AM49="","",Raw_Data!AM49)</f>
        <v/>
      </c>
      <c r="S46" s="12" t="str">
        <f t="shared" si="3"/>
        <v/>
      </c>
      <c r="T46" s="12" t="str">
        <f>IF(Raw_Data!AN49="","",Raw_Data!AN49)</f>
        <v/>
      </c>
      <c r="U46" s="12" t="str">
        <f t="shared" si="4"/>
        <v/>
      </c>
      <c r="V46" s="12" t="str">
        <f>IF(Raw_Data!AP49="","",IF(Raw_Data!AP49="oui",1,0))</f>
        <v/>
      </c>
      <c r="W46" s="12" t="str">
        <f>IF(Raw_Data!AQ49="","",IF(Raw_Data!AQ49="oui",1,0))</f>
        <v/>
      </c>
      <c r="X46" s="12" t="str">
        <f>IF(Raw_Data!AR49="","",IF(Raw_Data!AR49="oui",1,0))</f>
        <v/>
      </c>
      <c r="Y46" s="12" t="str">
        <f>IF(Raw_Data!AS49="","",IF(Raw_Data!AS49="oui",1,0))</f>
        <v/>
      </c>
      <c r="Z46" s="12" t="str">
        <f>IF(Raw_Data!V49="","",IF(Raw_Data!V49="oui",1,0))</f>
        <v/>
      </c>
      <c r="AA46" s="12" t="str">
        <f>IF(Raw_Data!W49="","",IF(Raw_Data!W49="oui",1,0))</f>
        <v/>
      </c>
      <c r="AB46" s="12" t="str">
        <f>IF(Raw_Data!Q49="","",IF(Raw_Data!Q49="oui",1,0))</f>
        <v/>
      </c>
      <c r="AC46" s="12">
        <f>Raw_Data!AF49</f>
        <v>0</v>
      </c>
      <c r="AD46" s="12" t="str">
        <f t="shared" si="5"/>
        <v/>
      </c>
      <c r="AE46" s="12" t="str">
        <f t="shared" si="6"/>
        <v/>
      </c>
      <c r="AF46" s="12" t="str">
        <f t="shared" si="7"/>
        <v/>
      </c>
      <c r="AG46" s="12">
        <f t="shared" si="8"/>
        <v>0</v>
      </c>
    </row>
    <row r="47" spans="1:33" ht="15" customHeight="1" x14ac:dyDescent="0.25">
      <c r="A47" s="12" t="str">
        <f>IF(Raw_Data!B50="","",Raw_Data!B50)</f>
        <v/>
      </c>
      <c r="B47" s="12">
        <f>IF(Raw_Data!X50&lt;&gt;"",Raw_Data!X50,Raw_Data!C50)</f>
        <v>0</v>
      </c>
      <c r="C47" s="12" t="str">
        <f>IF(Raw_Data!G50="","",Raw_Data!G50)</f>
        <v/>
      </c>
      <c r="D47" s="12" t="str">
        <f>IF(Raw_Data!H50="","",Raw_Data!H50)</f>
        <v/>
      </c>
      <c r="E47" s="12" t="str">
        <f>IF(Raw_Data!I50="","",Raw_Data!I50)</f>
        <v/>
      </c>
      <c r="F47" s="12" t="str">
        <f>IF(Raw_Data!J50="","",Raw_Data!J50)</f>
        <v/>
      </c>
      <c r="G47" s="12" t="str">
        <f>IF(Raw_Data!AH50&lt;&gt;"",Raw_Data!AH50,IF(Raw_Data!K50&lt;&gt;"",Raw_Data!K50,""))</f>
        <v/>
      </c>
      <c r="H47" s="12" t="str">
        <f>IF(Raw_Data!AI50&lt;&gt;"",Raw_Data!AI50,IF(Raw_Data!L50&lt;&gt;"",Raw_Data!L50,""))</f>
        <v/>
      </c>
      <c r="I47" s="12" t="str">
        <f t="shared" si="0"/>
        <v/>
      </c>
      <c r="J47" s="12" t="str">
        <f>IF(Raw_Data!M50="","",Raw_Data!M50)</f>
        <v/>
      </c>
      <c r="K47" s="12">
        <f>IF(Raw_Data!AJ50&lt;&gt;"",Raw_Data!AJ50,Raw_Data!N50)</f>
        <v>0</v>
      </c>
      <c r="L47" s="12">
        <f t="shared" si="1"/>
        <v>1</v>
      </c>
      <c r="M47" s="12" t="str">
        <f>IF(Raw_Data!AK50="","",Raw_Data!AK50)</f>
        <v/>
      </c>
      <c r="N47" s="12" t="str">
        <f>IF(Raw_Data!T50="","",Raw_Data!T50)</f>
        <v/>
      </c>
      <c r="O47" s="12" t="str">
        <f>IF(Raw_Data!AB50&lt;&gt;"",Raw_Data!AB50,IF(N47="tres_insatisfait",1,IF(N47="insatisfait",2,IF(N47="neutre",3,IF(N47="satisfait",4,IF(N47="tres_satisfait",5,""))))))</f>
        <v/>
      </c>
      <c r="P47" s="12">
        <f>IF(Raw_Data!AL50&lt;&gt;"",Raw_Data!AL50,Raw_Data!R50)</f>
        <v>0</v>
      </c>
      <c r="Q47" s="12">
        <f t="shared" si="2"/>
        <v>0</v>
      </c>
      <c r="R47" s="12" t="str">
        <f>IF(Raw_Data!AM50="","",Raw_Data!AM50)</f>
        <v/>
      </c>
      <c r="S47" s="12" t="str">
        <f t="shared" si="3"/>
        <v/>
      </c>
      <c r="T47" s="12" t="str">
        <f>IF(Raw_Data!AN50="","",Raw_Data!AN50)</f>
        <v/>
      </c>
      <c r="U47" s="12" t="str">
        <f t="shared" si="4"/>
        <v/>
      </c>
      <c r="V47" s="12" t="str">
        <f>IF(Raw_Data!AP50="","",IF(Raw_Data!AP50="oui",1,0))</f>
        <v/>
      </c>
      <c r="W47" s="12" t="str">
        <f>IF(Raw_Data!AQ50="","",IF(Raw_Data!AQ50="oui",1,0))</f>
        <v/>
      </c>
      <c r="X47" s="12" t="str">
        <f>IF(Raw_Data!AR50="","",IF(Raw_Data!AR50="oui",1,0))</f>
        <v/>
      </c>
      <c r="Y47" s="12" t="str">
        <f>IF(Raw_Data!AS50="","",IF(Raw_Data!AS50="oui",1,0))</f>
        <v/>
      </c>
      <c r="Z47" s="12" t="str">
        <f>IF(Raw_Data!V50="","",IF(Raw_Data!V50="oui",1,0))</f>
        <v/>
      </c>
      <c r="AA47" s="12" t="str">
        <f>IF(Raw_Data!W50="","",IF(Raw_Data!W50="oui",1,0))</f>
        <v/>
      </c>
      <c r="AB47" s="12" t="str">
        <f>IF(Raw_Data!Q50="","",IF(Raw_Data!Q50="oui",1,0))</f>
        <v/>
      </c>
      <c r="AC47" s="12">
        <f>Raw_Data!AF50</f>
        <v>0</v>
      </c>
      <c r="AD47" s="12" t="str">
        <f t="shared" si="5"/>
        <v/>
      </c>
      <c r="AE47" s="12" t="str">
        <f t="shared" si="6"/>
        <v/>
      </c>
      <c r="AF47" s="12" t="str">
        <f t="shared" si="7"/>
        <v/>
      </c>
      <c r="AG47" s="12">
        <f t="shared" si="8"/>
        <v>0</v>
      </c>
    </row>
    <row r="48" spans="1:33" ht="15" customHeight="1" x14ac:dyDescent="0.25">
      <c r="A48" s="12" t="str">
        <f>IF(Raw_Data!B51="","",Raw_Data!B51)</f>
        <v/>
      </c>
      <c r="B48" s="12">
        <f>IF(Raw_Data!X51&lt;&gt;"",Raw_Data!X51,Raw_Data!C51)</f>
        <v>0</v>
      </c>
      <c r="C48" s="12" t="str">
        <f>IF(Raw_Data!G51="","",Raw_Data!G51)</f>
        <v/>
      </c>
      <c r="D48" s="12" t="str">
        <f>IF(Raw_Data!H51="","",Raw_Data!H51)</f>
        <v/>
      </c>
      <c r="E48" s="12" t="str">
        <f>IF(Raw_Data!I51="","",Raw_Data!I51)</f>
        <v/>
      </c>
      <c r="F48" s="12" t="str">
        <f>IF(Raw_Data!J51="","",Raw_Data!J51)</f>
        <v/>
      </c>
      <c r="G48" s="12" t="str">
        <f>IF(Raw_Data!AH51&lt;&gt;"",Raw_Data!AH51,IF(Raw_Data!K51&lt;&gt;"",Raw_Data!K51,""))</f>
        <v/>
      </c>
      <c r="H48" s="12" t="str">
        <f>IF(Raw_Data!AI51&lt;&gt;"",Raw_Data!AI51,IF(Raw_Data!L51&lt;&gt;"",Raw_Data!L51,""))</f>
        <v/>
      </c>
      <c r="I48" s="12" t="str">
        <f t="shared" si="0"/>
        <v/>
      </c>
      <c r="J48" s="12" t="str">
        <f>IF(Raw_Data!M51="","",Raw_Data!M51)</f>
        <v/>
      </c>
      <c r="K48" s="12">
        <f>IF(Raw_Data!AJ51&lt;&gt;"",Raw_Data!AJ51,Raw_Data!N51)</f>
        <v>0</v>
      </c>
      <c r="L48" s="12">
        <f t="shared" si="1"/>
        <v>1</v>
      </c>
      <c r="M48" s="12" t="str">
        <f>IF(Raw_Data!AK51="","",Raw_Data!AK51)</f>
        <v/>
      </c>
      <c r="N48" s="12" t="str">
        <f>IF(Raw_Data!T51="","",Raw_Data!T51)</f>
        <v/>
      </c>
      <c r="O48" s="12" t="str">
        <f>IF(Raw_Data!AB51&lt;&gt;"",Raw_Data!AB51,IF(N48="tres_insatisfait",1,IF(N48="insatisfait",2,IF(N48="neutre",3,IF(N48="satisfait",4,IF(N48="tres_satisfait",5,""))))))</f>
        <v/>
      </c>
      <c r="P48" s="12">
        <f>IF(Raw_Data!AL51&lt;&gt;"",Raw_Data!AL51,Raw_Data!R51)</f>
        <v>0</v>
      </c>
      <c r="Q48" s="12">
        <f t="shared" si="2"/>
        <v>0</v>
      </c>
      <c r="R48" s="12" t="str">
        <f>IF(Raw_Data!AM51="","",Raw_Data!AM51)</f>
        <v/>
      </c>
      <c r="S48" s="12" t="str">
        <f t="shared" si="3"/>
        <v/>
      </c>
      <c r="T48" s="12" t="str">
        <f>IF(Raw_Data!AN51="","",Raw_Data!AN51)</f>
        <v/>
      </c>
      <c r="U48" s="12" t="str">
        <f t="shared" si="4"/>
        <v/>
      </c>
      <c r="V48" s="12" t="str">
        <f>IF(Raw_Data!AP51="","",IF(Raw_Data!AP51="oui",1,0))</f>
        <v/>
      </c>
      <c r="W48" s="12" t="str">
        <f>IF(Raw_Data!AQ51="","",IF(Raw_Data!AQ51="oui",1,0))</f>
        <v/>
      </c>
      <c r="X48" s="12" t="str">
        <f>IF(Raw_Data!AR51="","",IF(Raw_Data!AR51="oui",1,0))</f>
        <v/>
      </c>
      <c r="Y48" s="12" t="str">
        <f>IF(Raw_Data!AS51="","",IF(Raw_Data!AS51="oui",1,0))</f>
        <v/>
      </c>
      <c r="Z48" s="12" t="str">
        <f>IF(Raw_Data!V51="","",IF(Raw_Data!V51="oui",1,0))</f>
        <v/>
      </c>
      <c r="AA48" s="12" t="str">
        <f>IF(Raw_Data!W51="","",IF(Raw_Data!W51="oui",1,0))</f>
        <v/>
      </c>
      <c r="AB48" s="12" t="str">
        <f>IF(Raw_Data!Q51="","",IF(Raw_Data!Q51="oui",1,0))</f>
        <v/>
      </c>
      <c r="AC48" s="12">
        <f>Raw_Data!AF51</f>
        <v>0</v>
      </c>
      <c r="AD48" s="12" t="str">
        <f t="shared" si="5"/>
        <v/>
      </c>
      <c r="AE48" s="12" t="str">
        <f t="shared" si="6"/>
        <v/>
      </c>
      <c r="AF48" s="12" t="str">
        <f t="shared" si="7"/>
        <v/>
      </c>
      <c r="AG48" s="12">
        <f t="shared" si="8"/>
        <v>0</v>
      </c>
    </row>
    <row r="49" spans="1:33" ht="15" customHeight="1" x14ac:dyDescent="0.25">
      <c r="A49" s="12" t="str">
        <f>IF(Raw_Data!B52="","",Raw_Data!B52)</f>
        <v/>
      </c>
      <c r="B49" s="12">
        <f>IF(Raw_Data!X52&lt;&gt;"",Raw_Data!X52,Raw_Data!C52)</f>
        <v>0</v>
      </c>
      <c r="C49" s="12" t="str">
        <f>IF(Raw_Data!G52="","",Raw_Data!G52)</f>
        <v/>
      </c>
      <c r="D49" s="12" t="str">
        <f>IF(Raw_Data!H52="","",Raw_Data!H52)</f>
        <v/>
      </c>
      <c r="E49" s="12" t="str">
        <f>IF(Raw_Data!I52="","",Raw_Data!I52)</f>
        <v/>
      </c>
      <c r="F49" s="12" t="str">
        <f>IF(Raw_Data!J52="","",Raw_Data!J52)</f>
        <v/>
      </c>
      <c r="G49" s="12" t="str">
        <f>IF(Raw_Data!AH52&lt;&gt;"",Raw_Data!AH52,IF(Raw_Data!K52&lt;&gt;"",Raw_Data!K52,""))</f>
        <v/>
      </c>
      <c r="H49" s="12" t="str">
        <f>IF(Raw_Data!AI52&lt;&gt;"",Raw_Data!AI52,IF(Raw_Data!L52&lt;&gt;"",Raw_Data!L52,""))</f>
        <v/>
      </c>
      <c r="I49" s="12" t="str">
        <f t="shared" si="0"/>
        <v/>
      </c>
      <c r="J49" s="12" t="str">
        <f>IF(Raw_Data!M52="","",Raw_Data!M52)</f>
        <v/>
      </c>
      <c r="K49" s="12">
        <f>IF(Raw_Data!AJ52&lt;&gt;"",Raw_Data!AJ52,Raw_Data!N52)</f>
        <v>0</v>
      </c>
      <c r="L49" s="12">
        <f t="shared" si="1"/>
        <v>1</v>
      </c>
      <c r="M49" s="12" t="str">
        <f>IF(Raw_Data!AK52="","",Raw_Data!AK52)</f>
        <v/>
      </c>
      <c r="N49" s="12" t="str">
        <f>IF(Raw_Data!T52="","",Raw_Data!T52)</f>
        <v/>
      </c>
      <c r="O49" s="12" t="str">
        <f>IF(Raw_Data!AB52&lt;&gt;"",Raw_Data!AB52,IF(N49="tres_insatisfait",1,IF(N49="insatisfait",2,IF(N49="neutre",3,IF(N49="satisfait",4,IF(N49="tres_satisfait",5,""))))))</f>
        <v/>
      </c>
      <c r="P49" s="12">
        <f>IF(Raw_Data!AL52&lt;&gt;"",Raw_Data!AL52,Raw_Data!R52)</f>
        <v>0</v>
      </c>
      <c r="Q49" s="12">
        <f t="shared" si="2"/>
        <v>0</v>
      </c>
      <c r="R49" s="12" t="str">
        <f>IF(Raw_Data!AM52="","",Raw_Data!AM52)</f>
        <v/>
      </c>
      <c r="S49" s="12" t="str">
        <f t="shared" si="3"/>
        <v/>
      </c>
      <c r="T49" s="12" t="str">
        <f>IF(Raw_Data!AN52="","",Raw_Data!AN52)</f>
        <v/>
      </c>
      <c r="U49" s="12" t="str">
        <f t="shared" si="4"/>
        <v/>
      </c>
      <c r="V49" s="12" t="str">
        <f>IF(Raw_Data!AP52="","",IF(Raw_Data!AP52="oui",1,0))</f>
        <v/>
      </c>
      <c r="W49" s="12" t="str">
        <f>IF(Raw_Data!AQ52="","",IF(Raw_Data!AQ52="oui",1,0))</f>
        <v/>
      </c>
      <c r="X49" s="12" t="str">
        <f>IF(Raw_Data!AR52="","",IF(Raw_Data!AR52="oui",1,0))</f>
        <v/>
      </c>
      <c r="Y49" s="12" t="str">
        <f>IF(Raw_Data!AS52="","",IF(Raw_Data!AS52="oui",1,0))</f>
        <v/>
      </c>
      <c r="Z49" s="12" t="str">
        <f>IF(Raw_Data!V52="","",IF(Raw_Data!V52="oui",1,0))</f>
        <v/>
      </c>
      <c r="AA49" s="12" t="str">
        <f>IF(Raw_Data!W52="","",IF(Raw_Data!W52="oui",1,0))</f>
        <v/>
      </c>
      <c r="AB49" s="12" t="str">
        <f>IF(Raw_Data!Q52="","",IF(Raw_Data!Q52="oui",1,0))</f>
        <v/>
      </c>
      <c r="AC49" s="12">
        <f>Raw_Data!AF52</f>
        <v>0</v>
      </c>
      <c r="AD49" s="12" t="str">
        <f t="shared" si="5"/>
        <v/>
      </c>
      <c r="AE49" s="12" t="str">
        <f t="shared" si="6"/>
        <v/>
      </c>
      <c r="AF49" s="12" t="str">
        <f t="shared" si="7"/>
        <v/>
      </c>
      <c r="AG49" s="12">
        <f t="shared" si="8"/>
        <v>0</v>
      </c>
    </row>
    <row r="50" spans="1:33" ht="15" customHeight="1" x14ac:dyDescent="0.25">
      <c r="A50" s="12" t="str">
        <f>IF(Raw_Data!B53="","",Raw_Data!B53)</f>
        <v/>
      </c>
      <c r="B50" s="12">
        <f>IF(Raw_Data!X53&lt;&gt;"",Raw_Data!X53,Raw_Data!C53)</f>
        <v>0</v>
      </c>
      <c r="C50" s="12" t="str">
        <f>IF(Raw_Data!G53="","",Raw_Data!G53)</f>
        <v/>
      </c>
      <c r="D50" s="12" t="str">
        <f>IF(Raw_Data!H53="","",Raw_Data!H53)</f>
        <v/>
      </c>
      <c r="E50" s="12" t="str">
        <f>IF(Raw_Data!I53="","",Raw_Data!I53)</f>
        <v/>
      </c>
      <c r="F50" s="12" t="str">
        <f>IF(Raw_Data!J53="","",Raw_Data!J53)</f>
        <v/>
      </c>
      <c r="G50" s="12" t="str">
        <f>IF(Raw_Data!AH53&lt;&gt;"",Raw_Data!AH53,IF(Raw_Data!K53&lt;&gt;"",Raw_Data!K53,""))</f>
        <v/>
      </c>
      <c r="H50" s="12" t="str">
        <f>IF(Raw_Data!AI53&lt;&gt;"",Raw_Data!AI53,IF(Raw_Data!L53&lt;&gt;"",Raw_Data!L53,""))</f>
        <v/>
      </c>
      <c r="I50" s="12" t="str">
        <f t="shared" si="0"/>
        <v/>
      </c>
      <c r="J50" s="12" t="str">
        <f>IF(Raw_Data!M53="","",Raw_Data!M53)</f>
        <v/>
      </c>
      <c r="K50" s="12">
        <f>IF(Raw_Data!AJ53&lt;&gt;"",Raw_Data!AJ53,Raw_Data!N53)</f>
        <v>0</v>
      </c>
      <c r="L50" s="12">
        <f t="shared" si="1"/>
        <v>1</v>
      </c>
      <c r="M50" s="12" t="str">
        <f>IF(Raw_Data!AK53="","",Raw_Data!AK53)</f>
        <v/>
      </c>
      <c r="N50" s="12" t="str">
        <f>IF(Raw_Data!T53="","",Raw_Data!T53)</f>
        <v/>
      </c>
      <c r="O50" s="12" t="str">
        <f>IF(Raw_Data!AB53&lt;&gt;"",Raw_Data!AB53,IF(N50="tres_insatisfait",1,IF(N50="insatisfait",2,IF(N50="neutre",3,IF(N50="satisfait",4,IF(N50="tres_satisfait",5,""))))))</f>
        <v/>
      </c>
      <c r="P50" s="12">
        <f>IF(Raw_Data!AL53&lt;&gt;"",Raw_Data!AL53,Raw_Data!R53)</f>
        <v>0</v>
      </c>
      <c r="Q50" s="12">
        <f t="shared" si="2"/>
        <v>0</v>
      </c>
      <c r="R50" s="12" t="str">
        <f>IF(Raw_Data!AM53="","",Raw_Data!AM53)</f>
        <v/>
      </c>
      <c r="S50" s="12" t="str">
        <f t="shared" si="3"/>
        <v/>
      </c>
      <c r="T50" s="12" t="str">
        <f>IF(Raw_Data!AN53="","",Raw_Data!AN53)</f>
        <v/>
      </c>
      <c r="U50" s="12" t="str">
        <f t="shared" si="4"/>
        <v/>
      </c>
      <c r="V50" s="12" t="str">
        <f>IF(Raw_Data!AP53="","",IF(Raw_Data!AP53="oui",1,0))</f>
        <v/>
      </c>
      <c r="W50" s="12" t="str">
        <f>IF(Raw_Data!AQ53="","",IF(Raw_Data!AQ53="oui",1,0))</f>
        <v/>
      </c>
      <c r="X50" s="12" t="str">
        <f>IF(Raw_Data!AR53="","",IF(Raw_Data!AR53="oui",1,0))</f>
        <v/>
      </c>
      <c r="Y50" s="12" t="str">
        <f>IF(Raw_Data!AS53="","",IF(Raw_Data!AS53="oui",1,0))</f>
        <v/>
      </c>
      <c r="Z50" s="12" t="str">
        <f>IF(Raw_Data!V53="","",IF(Raw_Data!V53="oui",1,0))</f>
        <v/>
      </c>
      <c r="AA50" s="12" t="str">
        <f>IF(Raw_Data!W53="","",IF(Raw_Data!W53="oui",1,0))</f>
        <v/>
      </c>
      <c r="AB50" s="12" t="str">
        <f>IF(Raw_Data!Q53="","",IF(Raw_Data!Q53="oui",1,0))</f>
        <v/>
      </c>
      <c r="AC50" s="12">
        <f>Raw_Data!AF53</f>
        <v>0</v>
      </c>
      <c r="AD50" s="12" t="str">
        <f t="shared" si="5"/>
        <v/>
      </c>
      <c r="AE50" s="12" t="str">
        <f t="shared" si="6"/>
        <v/>
      </c>
      <c r="AF50" s="12" t="str">
        <f t="shared" si="7"/>
        <v/>
      </c>
      <c r="AG50" s="12">
        <f t="shared" si="8"/>
        <v>0</v>
      </c>
    </row>
    <row r="51" spans="1:33" ht="15" customHeight="1" x14ac:dyDescent="0.25">
      <c r="A51" s="12" t="str">
        <f>IF(Raw_Data!B54="","",Raw_Data!B54)</f>
        <v/>
      </c>
      <c r="B51" s="12">
        <f>IF(Raw_Data!X54&lt;&gt;"",Raw_Data!X54,Raw_Data!C54)</f>
        <v>0</v>
      </c>
      <c r="C51" s="12" t="str">
        <f>IF(Raw_Data!G54="","",Raw_Data!G54)</f>
        <v/>
      </c>
      <c r="D51" s="12" t="str">
        <f>IF(Raw_Data!H54="","",Raw_Data!H54)</f>
        <v/>
      </c>
      <c r="E51" s="12" t="str">
        <f>IF(Raw_Data!I54="","",Raw_Data!I54)</f>
        <v/>
      </c>
      <c r="F51" s="12" t="str">
        <f>IF(Raw_Data!J54="","",Raw_Data!J54)</f>
        <v/>
      </c>
      <c r="G51" s="12" t="str">
        <f>IF(Raw_Data!AH54&lt;&gt;"",Raw_Data!AH54,IF(Raw_Data!K54&lt;&gt;"",Raw_Data!K54,""))</f>
        <v/>
      </c>
      <c r="H51" s="12" t="str">
        <f>IF(Raw_Data!AI54&lt;&gt;"",Raw_Data!AI54,IF(Raw_Data!L54&lt;&gt;"",Raw_Data!L54,""))</f>
        <v/>
      </c>
      <c r="I51" s="12" t="str">
        <f t="shared" si="0"/>
        <v/>
      </c>
      <c r="J51" s="12" t="str">
        <f>IF(Raw_Data!M54="","",Raw_Data!M54)</f>
        <v/>
      </c>
      <c r="K51" s="12">
        <f>IF(Raw_Data!AJ54&lt;&gt;"",Raw_Data!AJ54,Raw_Data!N54)</f>
        <v>0</v>
      </c>
      <c r="L51" s="12">
        <f t="shared" si="1"/>
        <v>1</v>
      </c>
      <c r="M51" s="12" t="str">
        <f>IF(Raw_Data!AK54="","",Raw_Data!AK54)</f>
        <v/>
      </c>
      <c r="N51" s="12" t="str">
        <f>IF(Raw_Data!T54="","",Raw_Data!T54)</f>
        <v/>
      </c>
      <c r="O51" s="12" t="str">
        <f>IF(Raw_Data!AB54&lt;&gt;"",Raw_Data!AB54,IF(N51="tres_insatisfait",1,IF(N51="insatisfait",2,IF(N51="neutre",3,IF(N51="satisfait",4,IF(N51="tres_satisfait",5,""))))))</f>
        <v/>
      </c>
      <c r="P51" s="12">
        <f>IF(Raw_Data!AL54&lt;&gt;"",Raw_Data!AL54,Raw_Data!R54)</f>
        <v>0</v>
      </c>
      <c r="Q51" s="12">
        <f t="shared" si="2"/>
        <v>0</v>
      </c>
      <c r="R51" s="12" t="str">
        <f>IF(Raw_Data!AM54="","",Raw_Data!AM54)</f>
        <v/>
      </c>
      <c r="S51" s="12" t="str">
        <f t="shared" si="3"/>
        <v/>
      </c>
      <c r="T51" s="12" t="str">
        <f>IF(Raw_Data!AN54="","",Raw_Data!AN54)</f>
        <v/>
      </c>
      <c r="U51" s="12" t="str">
        <f t="shared" si="4"/>
        <v/>
      </c>
      <c r="V51" s="12" t="str">
        <f>IF(Raw_Data!AP54="","",IF(Raw_Data!AP54="oui",1,0))</f>
        <v/>
      </c>
      <c r="W51" s="12" t="str">
        <f>IF(Raw_Data!AQ54="","",IF(Raw_Data!AQ54="oui",1,0))</f>
        <v/>
      </c>
      <c r="X51" s="12" t="str">
        <f>IF(Raw_Data!AR54="","",IF(Raw_Data!AR54="oui",1,0))</f>
        <v/>
      </c>
      <c r="Y51" s="12" t="str">
        <f>IF(Raw_Data!AS54="","",IF(Raw_Data!AS54="oui",1,0))</f>
        <v/>
      </c>
      <c r="Z51" s="12" t="str">
        <f>IF(Raw_Data!V54="","",IF(Raw_Data!V54="oui",1,0))</f>
        <v/>
      </c>
      <c r="AA51" s="12" t="str">
        <f>IF(Raw_Data!W54="","",IF(Raw_Data!W54="oui",1,0))</f>
        <v/>
      </c>
      <c r="AB51" s="12" t="str">
        <f>IF(Raw_Data!Q54="","",IF(Raw_Data!Q54="oui",1,0))</f>
        <v/>
      </c>
      <c r="AC51" s="12">
        <f>Raw_Data!AF54</f>
        <v>0</v>
      </c>
      <c r="AD51" s="12" t="str">
        <f t="shared" si="5"/>
        <v/>
      </c>
      <c r="AE51" s="12" t="str">
        <f t="shared" si="6"/>
        <v/>
      </c>
      <c r="AF51" s="12" t="str">
        <f t="shared" si="7"/>
        <v/>
      </c>
      <c r="AG51" s="12">
        <f t="shared" si="8"/>
        <v>0</v>
      </c>
    </row>
    <row r="52" spans="1:33" ht="15" customHeight="1" x14ac:dyDescent="0.25">
      <c r="A52" s="12" t="str">
        <f>IF(Raw_Data!B55="","",Raw_Data!B55)</f>
        <v/>
      </c>
      <c r="B52" s="12">
        <f>IF(Raw_Data!X55&lt;&gt;"",Raw_Data!X55,Raw_Data!C55)</f>
        <v>0</v>
      </c>
      <c r="C52" s="12" t="str">
        <f>IF(Raw_Data!G55="","",Raw_Data!G55)</f>
        <v/>
      </c>
      <c r="D52" s="12" t="str">
        <f>IF(Raw_Data!H55="","",Raw_Data!H55)</f>
        <v/>
      </c>
      <c r="E52" s="12" t="str">
        <f>IF(Raw_Data!I55="","",Raw_Data!I55)</f>
        <v/>
      </c>
      <c r="F52" s="12" t="str">
        <f>IF(Raw_Data!J55="","",Raw_Data!J55)</f>
        <v/>
      </c>
      <c r="G52" s="12" t="str">
        <f>IF(Raw_Data!AH55&lt;&gt;"",Raw_Data!AH55,IF(Raw_Data!K55&lt;&gt;"",Raw_Data!K55,""))</f>
        <v/>
      </c>
      <c r="H52" s="12" t="str">
        <f>IF(Raw_Data!AI55&lt;&gt;"",Raw_Data!AI55,IF(Raw_Data!L55&lt;&gt;"",Raw_Data!L55,""))</f>
        <v/>
      </c>
      <c r="I52" s="12" t="str">
        <f t="shared" si="0"/>
        <v/>
      </c>
      <c r="J52" s="12" t="str">
        <f>IF(Raw_Data!M55="","",Raw_Data!M55)</f>
        <v/>
      </c>
      <c r="K52" s="12">
        <f>IF(Raw_Data!AJ55&lt;&gt;"",Raw_Data!AJ55,Raw_Data!N55)</f>
        <v>0</v>
      </c>
      <c r="L52" s="12">
        <f t="shared" si="1"/>
        <v>1</v>
      </c>
      <c r="M52" s="12" t="str">
        <f>IF(Raw_Data!AK55="","",Raw_Data!AK55)</f>
        <v/>
      </c>
      <c r="N52" s="12" t="str">
        <f>IF(Raw_Data!T55="","",Raw_Data!T55)</f>
        <v/>
      </c>
      <c r="O52" s="12" t="str">
        <f>IF(Raw_Data!AB55&lt;&gt;"",Raw_Data!AB55,IF(N52="tres_insatisfait",1,IF(N52="insatisfait",2,IF(N52="neutre",3,IF(N52="satisfait",4,IF(N52="tres_satisfait",5,""))))))</f>
        <v/>
      </c>
      <c r="P52" s="12">
        <f>IF(Raw_Data!AL55&lt;&gt;"",Raw_Data!AL55,Raw_Data!R55)</f>
        <v>0</v>
      </c>
      <c r="Q52" s="12">
        <f t="shared" si="2"/>
        <v>0</v>
      </c>
      <c r="R52" s="12" t="str">
        <f>IF(Raw_Data!AM55="","",Raw_Data!AM55)</f>
        <v/>
      </c>
      <c r="S52" s="12" t="str">
        <f t="shared" si="3"/>
        <v/>
      </c>
      <c r="T52" s="12" t="str">
        <f>IF(Raw_Data!AN55="","",Raw_Data!AN55)</f>
        <v/>
      </c>
      <c r="U52" s="12" t="str">
        <f t="shared" si="4"/>
        <v/>
      </c>
      <c r="V52" s="12" t="str">
        <f>IF(Raw_Data!AP55="","",IF(Raw_Data!AP55="oui",1,0))</f>
        <v/>
      </c>
      <c r="W52" s="12" t="str">
        <f>IF(Raw_Data!AQ55="","",IF(Raw_Data!AQ55="oui",1,0))</f>
        <v/>
      </c>
      <c r="X52" s="12" t="str">
        <f>IF(Raw_Data!AR55="","",IF(Raw_Data!AR55="oui",1,0))</f>
        <v/>
      </c>
      <c r="Y52" s="12" t="str">
        <f>IF(Raw_Data!AS55="","",IF(Raw_Data!AS55="oui",1,0))</f>
        <v/>
      </c>
      <c r="Z52" s="12" t="str">
        <f>IF(Raw_Data!V55="","",IF(Raw_Data!V55="oui",1,0))</f>
        <v/>
      </c>
      <c r="AA52" s="12" t="str">
        <f>IF(Raw_Data!W55="","",IF(Raw_Data!W55="oui",1,0))</f>
        <v/>
      </c>
      <c r="AB52" s="12" t="str">
        <f>IF(Raw_Data!Q55="","",IF(Raw_Data!Q55="oui",1,0))</f>
        <v/>
      </c>
      <c r="AC52" s="12">
        <f>Raw_Data!AF55</f>
        <v>0</v>
      </c>
      <c r="AD52" s="12" t="str">
        <f t="shared" si="5"/>
        <v/>
      </c>
      <c r="AE52" s="12" t="str">
        <f t="shared" si="6"/>
        <v/>
      </c>
      <c r="AF52" s="12" t="str">
        <f t="shared" si="7"/>
        <v/>
      </c>
      <c r="AG52" s="12">
        <f t="shared" si="8"/>
        <v>0</v>
      </c>
    </row>
    <row r="53" spans="1:33" ht="15" customHeight="1" x14ac:dyDescent="0.25">
      <c r="A53" s="12" t="str">
        <f>IF(Raw_Data!B56="","",Raw_Data!B56)</f>
        <v/>
      </c>
      <c r="B53" s="12">
        <f>IF(Raw_Data!X56&lt;&gt;"",Raw_Data!X56,Raw_Data!C56)</f>
        <v>0</v>
      </c>
      <c r="C53" s="12" t="str">
        <f>IF(Raw_Data!G56="","",Raw_Data!G56)</f>
        <v/>
      </c>
      <c r="D53" s="12" t="str">
        <f>IF(Raw_Data!H56="","",Raw_Data!H56)</f>
        <v/>
      </c>
      <c r="E53" s="12" t="str">
        <f>IF(Raw_Data!I56="","",Raw_Data!I56)</f>
        <v/>
      </c>
      <c r="F53" s="12" t="str">
        <f>IF(Raw_Data!J56="","",Raw_Data!J56)</f>
        <v/>
      </c>
      <c r="G53" s="12" t="str">
        <f>IF(Raw_Data!AH56&lt;&gt;"",Raw_Data!AH56,IF(Raw_Data!K56&lt;&gt;"",Raw_Data!K56,""))</f>
        <v/>
      </c>
      <c r="H53" s="12" t="str">
        <f>IF(Raw_Data!AI56&lt;&gt;"",Raw_Data!AI56,IF(Raw_Data!L56&lt;&gt;"",Raw_Data!L56,""))</f>
        <v/>
      </c>
      <c r="I53" s="12" t="str">
        <f t="shared" si="0"/>
        <v/>
      </c>
      <c r="J53" s="12" t="str">
        <f>IF(Raw_Data!M56="","",Raw_Data!M56)</f>
        <v/>
      </c>
      <c r="K53" s="12">
        <f>IF(Raw_Data!AJ56&lt;&gt;"",Raw_Data!AJ56,Raw_Data!N56)</f>
        <v>0</v>
      </c>
      <c r="L53" s="12">
        <f t="shared" si="1"/>
        <v>1</v>
      </c>
      <c r="M53" s="12" t="str">
        <f>IF(Raw_Data!AK56="","",Raw_Data!AK56)</f>
        <v/>
      </c>
      <c r="N53" s="12" t="str">
        <f>IF(Raw_Data!T56="","",Raw_Data!T56)</f>
        <v/>
      </c>
      <c r="O53" s="12" t="str">
        <f>IF(Raw_Data!AB56&lt;&gt;"",Raw_Data!AB56,IF(N53="tres_insatisfait",1,IF(N53="insatisfait",2,IF(N53="neutre",3,IF(N53="satisfait",4,IF(N53="tres_satisfait",5,""))))))</f>
        <v/>
      </c>
      <c r="P53" s="12">
        <f>IF(Raw_Data!AL56&lt;&gt;"",Raw_Data!AL56,Raw_Data!R56)</f>
        <v>0</v>
      </c>
      <c r="Q53" s="12">
        <f t="shared" si="2"/>
        <v>0</v>
      </c>
      <c r="R53" s="12" t="str">
        <f>IF(Raw_Data!AM56="","",Raw_Data!AM56)</f>
        <v/>
      </c>
      <c r="S53" s="12" t="str">
        <f t="shared" si="3"/>
        <v/>
      </c>
      <c r="T53" s="12" t="str">
        <f>IF(Raw_Data!AN56="","",Raw_Data!AN56)</f>
        <v/>
      </c>
      <c r="U53" s="12" t="str">
        <f t="shared" si="4"/>
        <v/>
      </c>
      <c r="V53" s="12" t="str">
        <f>IF(Raw_Data!AP56="","",IF(Raw_Data!AP56="oui",1,0))</f>
        <v/>
      </c>
      <c r="W53" s="12" t="str">
        <f>IF(Raw_Data!AQ56="","",IF(Raw_Data!AQ56="oui",1,0))</f>
        <v/>
      </c>
      <c r="X53" s="12" t="str">
        <f>IF(Raw_Data!AR56="","",IF(Raw_Data!AR56="oui",1,0))</f>
        <v/>
      </c>
      <c r="Y53" s="12" t="str">
        <f>IF(Raw_Data!AS56="","",IF(Raw_Data!AS56="oui",1,0))</f>
        <v/>
      </c>
      <c r="Z53" s="12" t="str">
        <f>IF(Raw_Data!V56="","",IF(Raw_Data!V56="oui",1,0))</f>
        <v/>
      </c>
      <c r="AA53" s="12" t="str">
        <f>IF(Raw_Data!W56="","",IF(Raw_Data!W56="oui",1,0))</f>
        <v/>
      </c>
      <c r="AB53" s="12" t="str">
        <f>IF(Raw_Data!Q56="","",IF(Raw_Data!Q56="oui",1,0))</f>
        <v/>
      </c>
      <c r="AC53" s="12">
        <f>Raw_Data!AF56</f>
        <v>0</v>
      </c>
      <c r="AD53" s="12" t="str">
        <f t="shared" si="5"/>
        <v/>
      </c>
      <c r="AE53" s="12" t="str">
        <f t="shared" si="6"/>
        <v/>
      </c>
      <c r="AF53" s="12" t="str">
        <f t="shared" si="7"/>
        <v/>
      </c>
      <c r="AG53" s="12">
        <f t="shared" si="8"/>
        <v>0</v>
      </c>
    </row>
    <row r="54" spans="1:33" ht="15" customHeight="1" x14ac:dyDescent="0.25">
      <c r="A54" s="12" t="str">
        <f>IF(Raw_Data!B57="","",Raw_Data!B57)</f>
        <v/>
      </c>
      <c r="B54" s="12">
        <f>IF(Raw_Data!X57&lt;&gt;"",Raw_Data!X57,Raw_Data!C57)</f>
        <v>0</v>
      </c>
      <c r="C54" s="12" t="str">
        <f>IF(Raw_Data!G57="","",Raw_Data!G57)</f>
        <v/>
      </c>
      <c r="D54" s="12" t="str">
        <f>IF(Raw_Data!H57="","",Raw_Data!H57)</f>
        <v/>
      </c>
      <c r="E54" s="12" t="str">
        <f>IF(Raw_Data!I57="","",Raw_Data!I57)</f>
        <v/>
      </c>
      <c r="F54" s="12" t="str">
        <f>IF(Raw_Data!J57="","",Raw_Data!J57)</f>
        <v/>
      </c>
      <c r="G54" s="12" t="str">
        <f>IF(Raw_Data!AH57&lt;&gt;"",Raw_Data!AH57,IF(Raw_Data!K57&lt;&gt;"",Raw_Data!K57,""))</f>
        <v/>
      </c>
      <c r="H54" s="12" t="str">
        <f>IF(Raw_Data!AI57&lt;&gt;"",Raw_Data!AI57,IF(Raw_Data!L57&lt;&gt;"",Raw_Data!L57,""))</f>
        <v/>
      </c>
      <c r="I54" s="12" t="str">
        <f t="shared" si="0"/>
        <v/>
      </c>
      <c r="J54" s="12" t="str">
        <f>IF(Raw_Data!M57="","",Raw_Data!M57)</f>
        <v/>
      </c>
      <c r="K54" s="12">
        <f>IF(Raw_Data!AJ57&lt;&gt;"",Raw_Data!AJ57,Raw_Data!N57)</f>
        <v>0</v>
      </c>
      <c r="L54" s="12">
        <f t="shared" si="1"/>
        <v>1</v>
      </c>
      <c r="M54" s="12" t="str">
        <f>IF(Raw_Data!AK57="","",Raw_Data!AK57)</f>
        <v/>
      </c>
      <c r="N54" s="12" t="str">
        <f>IF(Raw_Data!T57="","",Raw_Data!T57)</f>
        <v/>
      </c>
      <c r="O54" s="12" t="str">
        <f>IF(Raw_Data!AB57&lt;&gt;"",Raw_Data!AB57,IF(N54="tres_insatisfait",1,IF(N54="insatisfait",2,IF(N54="neutre",3,IF(N54="satisfait",4,IF(N54="tres_satisfait",5,""))))))</f>
        <v/>
      </c>
      <c r="P54" s="12">
        <f>IF(Raw_Data!AL57&lt;&gt;"",Raw_Data!AL57,Raw_Data!R57)</f>
        <v>0</v>
      </c>
      <c r="Q54" s="12">
        <f t="shared" si="2"/>
        <v>0</v>
      </c>
      <c r="R54" s="12" t="str">
        <f>IF(Raw_Data!AM57="","",Raw_Data!AM57)</f>
        <v/>
      </c>
      <c r="S54" s="12" t="str">
        <f t="shared" si="3"/>
        <v/>
      </c>
      <c r="T54" s="12" t="str">
        <f>IF(Raw_Data!AN57="","",Raw_Data!AN57)</f>
        <v/>
      </c>
      <c r="U54" s="12" t="str">
        <f t="shared" si="4"/>
        <v/>
      </c>
      <c r="V54" s="12" t="str">
        <f>IF(Raw_Data!AP57="","",IF(Raw_Data!AP57="oui",1,0))</f>
        <v/>
      </c>
      <c r="W54" s="12" t="str">
        <f>IF(Raw_Data!AQ57="","",IF(Raw_Data!AQ57="oui",1,0))</f>
        <v/>
      </c>
      <c r="X54" s="12" t="str">
        <f>IF(Raw_Data!AR57="","",IF(Raw_Data!AR57="oui",1,0))</f>
        <v/>
      </c>
      <c r="Y54" s="12" t="str">
        <f>IF(Raw_Data!AS57="","",IF(Raw_Data!AS57="oui",1,0))</f>
        <v/>
      </c>
      <c r="Z54" s="12" t="str">
        <f>IF(Raw_Data!V57="","",IF(Raw_Data!V57="oui",1,0))</f>
        <v/>
      </c>
      <c r="AA54" s="12" t="str">
        <f>IF(Raw_Data!W57="","",IF(Raw_Data!W57="oui",1,0))</f>
        <v/>
      </c>
      <c r="AB54" s="12" t="str">
        <f>IF(Raw_Data!Q57="","",IF(Raw_Data!Q57="oui",1,0))</f>
        <v/>
      </c>
      <c r="AC54" s="12">
        <f>Raw_Data!AF57</f>
        <v>0</v>
      </c>
      <c r="AD54" s="12" t="str">
        <f t="shared" si="5"/>
        <v/>
      </c>
      <c r="AE54" s="12" t="str">
        <f t="shared" si="6"/>
        <v/>
      </c>
      <c r="AF54" s="12" t="str">
        <f t="shared" si="7"/>
        <v/>
      </c>
      <c r="AG54" s="12">
        <f t="shared" si="8"/>
        <v>0</v>
      </c>
    </row>
    <row r="55" spans="1:33" ht="15" customHeight="1" x14ac:dyDescent="0.25">
      <c r="A55" s="12" t="str">
        <f>IF(Raw_Data!B58="","",Raw_Data!B58)</f>
        <v/>
      </c>
      <c r="B55" s="12">
        <f>IF(Raw_Data!X58&lt;&gt;"",Raw_Data!X58,Raw_Data!C58)</f>
        <v>0</v>
      </c>
      <c r="C55" s="12" t="str">
        <f>IF(Raw_Data!G58="","",Raw_Data!G58)</f>
        <v/>
      </c>
      <c r="D55" s="12" t="str">
        <f>IF(Raw_Data!H58="","",Raw_Data!H58)</f>
        <v/>
      </c>
      <c r="E55" s="12" t="str">
        <f>IF(Raw_Data!I58="","",Raw_Data!I58)</f>
        <v/>
      </c>
      <c r="F55" s="12" t="str">
        <f>IF(Raw_Data!J58="","",Raw_Data!J58)</f>
        <v/>
      </c>
      <c r="G55" s="12" t="str">
        <f>IF(Raw_Data!AH58&lt;&gt;"",Raw_Data!AH58,IF(Raw_Data!K58&lt;&gt;"",Raw_Data!K58,""))</f>
        <v/>
      </c>
      <c r="H55" s="12" t="str">
        <f>IF(Raw_Data!AI58&lt;&gt;"",Raw_Data!AI58,IF(Raw_Data!L58&lt;&gt;"",Raw_Data!L58,""))</f>
        <v/>
      </c>
      <c r="I55" s="12" t="str">
        <f t="shared" si="0"/>
        <v/>
      </c>
      <c r="J55" s="12" t="str">
        <f>IF(Raw_Data!M58="","",Raw_Data!M58)</f>
        <v/>
      </c>
      <c r="K55" s="12">
        <f>IF(Raw_Data!AJ58&lt;&gt;"",Raw_Data!AJ58,Raw_Data!N58)</f>
        <v>0</v>
      </c>
      <c r="L55" s="12">
        <f t="shared" si="1"/>
        <v>1</v>
      </c>
      <c r="M55" s="12" t="str">
        <f>IF(Raw_Data!AK58="","",Raw_Data!AK58)</f>
        <v/>
      </c>
      <c r="N55" s="12" t="str">
        <f>IF(Raw_Data!T58="","",Raw_Data!T58)</f>
        <v/>
      </c>
      <c r="O55" s="12" t="str">
        <f>IF(Raw_Data!AB58&lt;&gt;"",Raw_Data!AB58,IF(N55="tres_insatisfait",1,IF(N55="insatisfait",2,IF(N55="neutre",3,IF(N55="satisfait",4,IF(N55="tres_satisfait",5,""))))))</f>
        <v/>
      </c>
      <c r="P55" s="12">
        <f>IF(Raw_Data!AL58&lt;&gt;"",Raw_Data!AL58,Raw_Data!R58)</f>
        <v>0</v>
      </c>
      <c r="Q55" s="12">
        <f t="shared" si="2"/>
        <v>0</v>
      </c>
      <c r="R55" s="12" t="str">
        <f>IF(Raw_Data!AM58="","",Raw_Data!AM58)</f>
        <v/>
      </c>
      <c r="S55" s="12" t="str">
        <f t="shared" si="3"/>
        <v/>
      </c>
      <c r="T55" s="12" t="str">
        <f>IF(Raw_Data!AN58="","",Raw_Data!AN58)</f>
        <v/>
      </c>
      <c r="U55" s="12" t="str">
        <f t="shared" si="4"/>
        <v/>
      </c>
      <c r="V55" s="12" t="str">
        <f>IF(Raw_Data!AP58="","",IF(Raw_Data!AP58="oui",1,0))</f>
        <v/>
      </c>
      <c r="W55" s="12" t="str">
        <f>IF(Raw_Data!AQ58="","",IF(Raw_Data!AQ58="oui",1,0))</f>
        <v/>
      </c>
      <c r="X55" s="12" t="str">
        <f>IF(Raw_Data!AR58="","",IF(Raw_Data!AR58="oui",1,0))</f>
        <v/>
      </c>
      <c r="Y55" s="12" t="str">
        <f>IF(Raw_Data!AS58="","",IF(Raw_Data!AS58="oui",1,0))</f>
        <v/>
      </c>
      <c r="Z55" s="12" t="str">
        <f>IF(Raw_Data!V58="","",IF(Raw_Data!V58="oui",1,0))</f>
        <v/>
      </c>
      <c r="AA55" s="12" t="str">
        <f>IF(Raw_Data!W58="","",IF(Raw_Data!W58="oui",1,0))</f>
        <v/>
      </c>
      <c r="AB55" s="12" t="str">
        <f>IF(Raw_Data!Q58="","",IF(Raw_Data!Q58="oui",1,0))</f>
        <v/>
      </c>
      <c r="AC55" s="12">
        <f>Raw_Data!AF58</f>
        <v>0</v>
      </c>
      <c r="AD55" s="12" t="str">
        <f t="shared" si="5"/>
        <v/>
      </c>
      <c r="AE55" s="12" t="str">
        <f t="shared" si="6"/>
        <v/>
      </c>
      <c r="AF55" s="12" t="str">
        <f t="shared" si="7"/>
        <v/>
      </c>
      <c r="AG55" s="12">
        <f t="shared" si="8"/>
        <v>0</v>
      </c>
    </row>
    <row r="56" spans="1:33" ht="15" customHeight="1" x14ac:dyDescent="0.25">
      <c r="A56" s="12" t="str">
        <f>IF(Raw_Data!B59="","",Raw_Data!B59)</f>
        <v/>
      </c>
      <c r="B56" s="12">
        <f>IF(Raw_Data!X59&lt;&gt;"",Raw_Data!X59,Raw_Data!C59)</f>
        <v>0</v>
      </c>
      <c r="C56" s="12" t="str">
        <f>IF(Raw_Data!G59="","",Raw_Data!G59)</f>
        <v/>
      </c>
      <c r="D56" s="12" t="str">
        <f>IF(Raw_Data!H59="","",Raw_Data!H59)</f>
        <v/>
      </c>
      <c r="E56" s="12" t="str">
        <f>IF(Raw_Data!I59="","",Raw_Data!I59)</f>
        <v/>
      </c>
      <c r="F56" s="12" t="str">
        <f>IF(Raw_Data!J59="","",Raw_Data!J59)</f>
        <v/>
      </c>
      <c r="G56" s="12" t="str">
        <f>IF(Raw_Data!AH59&lt;&gt;"",Raw_Data!AH59,IF(Raw_Data!K59&lt;&gt;"",Raw_Data!K59,""))</f>
        <v/>
      </c>
      <c r="H56" s="12" t="str">
        <f>IF(Raw_Data!AI59&lt;&gt;"",Raw_Data!AI59,IF(Raw_Data!L59&lt;&gt;"",Raw_Data!L59,""))</f>
        <v/>
      </c>
      <c r="I56" s="12" t="str">
        <f t="shared" si="0"/>
        <v/>
      </c>
      <c r="J56" s="12" t="str">
        <f>IF(Raw_Data!M59="","",Raw_Data!M59)</f>
        <v/>
      </c>
      <c r="K56" s="12">
        <f>IF(Raw_Data!AJ59&lt;&gt;"",Raw_Data!AJ59,Raw_Data!N59)</f>
        <v>0</v>
      </c>
      <c r="L56" s="12">
        <f t="shared" si="1"/>
        <v>1</v>
      </c>
      <c r="M56" s="12" t="str">
        <f>IF(Raw_Data!AK59="","",Raw_Data!AK59)</f>
        <v/>
      </c>
      <c r="N56" s="12" t="str">
        <f>IF(Raw_Data!T59="","",Raw_Data!T59)</f>
        <v/>
      </c>
      <c r="O56" s="12" t="str">
        <f>IF(Raw_Data!AB59&lt;&gt;"",Raw_Data!AB59,IF(N56="tres_insatisfait",1,IF(N56="insatisfait",2,IF(N56="neutre",3,IF(N56="satisfait",4,IF(N56="tres_satisfait",5,""))))))</f>
        <v/>
      </c>
      <c r="P56" s="12">
        <f>IF(Raw_Data!AL59&lt;&gt;"",Raw_Data!AL59,Raw_Data!R59)</f>
        <v>0</v>
      </c>
      <c r="Q56" s="12">
        <f t="shared" si="2"/>
        <v>0</v>
      </c>
      <c r="R56" s="12" t="str">
        <f>IF(Raw_Data!AM59="","",Raw_Data!AM59)</f>
        <v/>
      </c>
      <c r="S56" s="12" t="str">
        <f t="shared" si="3"/>
        <v/>
      </c>
      <c r="T56" s="12" t="str">
        <f>IF(Raw_Data!AN59="","",Raw_Data!AN59)</f>
        <v/>
      </c>
      <c r="U56" s="12" t="str">
        <f t="shared" si="4"/>
        <v/>
      </c>
      <c r="V56" s="12" t="str">
        <f>IF(Raw_Data!AP59="","",IF(Raw_Data!AP59="oui",1,0))</f>
        <v/>
      </c>
      <c r="W56" s="12" t="str">
        <f>IF(Raw_Data!AQ59="","",IF(Raw_Data!AQ59="oui",1,0))</f>
        <v/>
      </c>
      <c r="X56" s="12" t="str">
        <f>IF(Raw_Data!AR59="","",IF(Raw_Data!AR59="oui",1,0))</f>
        <v/>
      </c>
      <c r="Y56" s="12" t="str">
        <f>IF(Raw_Data!AS59="","",IF(Raw_Data!AS59="oui",1,0))</f>
        <v/>
      </c>
      <c r="Z56" s="12" t="str">
        <f>IF(Raw_Data!V59="","",IF(Raw_Data!V59="oui",1,0))</f>
        <v/>
      </c>
      <c r="AA56" s="12" t="str">
        <f>IF(Raw_Data!W59="","",IF(Raw_Data!W59="oui",1,0))</f>
        <v/>
      </c>
      <c r="AB56" s="12" t="str">
        <f>IF(Raw_Data!Q59="","",IF(Raw_Data!Q59="oui",1,0))</f>
        <v/>
      </c>
      <c r="AC56" s="12">
        <f>Raw_Data!AF59</f>
        <v>0</v>
      </c>
      <c r="AD56" s="12" t="str">
        <f t="shared" si="5"/>
        <v/>
      </c>
      <c r="AE56" s="12" t="str">
        <f t="shared" si="6"/>
        <v/>
      </c>
      <c r="AF56" s="12" t="str">
        <f t="shared" si="7"/>
        <v/>
      </c>
      <c r="AG56" s="12">
        <f t="shared" si="8"/>
        <v>0</v>
      </c>
    </row>
    <row r="57" spans="1:33" ht="15" customHeight="1" x14ac:dyDescent="0.25">
      <c r="A57" s="12" t="str">
        <f>IF(Raw_Data!B60="","",Raw_Data!B60)</f>
        <v/>
      </c>
      <c r="B57" s="12">
        <f>IF(Raw_Data!X60&lt;&gt;"",Raw_Data!X60,Raw_Data!C60)</f>
        <v>0</v>
      </c>
      <c r="C57" s="12" t="str">
        <f>IF(Raw_Data!G60="","",Raw_Data!G60)</f>
        <v/>
      </c>
      <c r="D57" s="12" t="str">
        <f>IF(Raw_Data!H60="","",Raw_Data!H60)</f>
        <v/>
      </c>
      <c r="E57" s="12" t="str">
        <f>IF(Raw_Data!I60="","",Raw_Data!I60)</f>
        <v/>
      </c>
      <c r="F57" s="12" t="str">
        <f>IF(Raw_Data!J60="","",Raw_Data!J60)</f>
        <v/>
      </c>
      <c r="G57" s="12" t="str">
        <f>IF(Raw_Data!AH60&lt;&gt;"",Raw_Data!AH60,IF(Raw_Data!K60&lt;&gt;"",Raw_Data!K60,""))</f>
        <v/>
      </c>
      <c r="H57" s="12" t="str">
        <f>IF(Raw_Data!AI60&lt;&gt;"",Raw_Data!AI60,IF(Raw_Data!L60&lt;&gt;"",Raw_Data!L60,""))</f>
        <v/>
      </c>
      <c r="I57" s="12" t="str">
        <f t="shared" si="0"/>
        <v/>
      </c>
      <c r="J57" s="12" t="str">
        <f>IF(Raw_Data!M60="","",Raw_Data!M60)</f>
        <v/>
      </c>
      <c r="K57" s="12">
        <f>IF(Raw_Data!AJ60&lt;&gt;"",Raw_Data!AJ60,Raw_Data!N60)</f>
        <v>0</v>
      </c>
      <c r="L57" s="12">
        <f t="shared" si="1"/>
        <v>1</v>
      </c>
      <c r="M57" s="12" t="str">
        <f>IF(Raw_Data!AK60="","",Raw_Data!AK60)</f>
        <v/>
      </c>
      <c r="N57" s="12" t="str">
        <f>IF(Raw_Data!T60="","",Raw_Data!T60)</f>
        <v/>
      </c>
      <c r="O57" s="12" t="str">
        <f>IF(Raw_Data!AB60&lt;&gt;"",Raw_Data!AB60,IF(N57="tres_insatisfait",1,IF(N57="insatisfait",2,IF(N57="neutre",3,IF(N57="satisfait",4,IF(N57="tres_satisfait",5,""))))))</f>
        <v/>
      </c>
      <c r="P57" s="12">
        <f>IF(Raw_Data!AL60&lt;&gt;"",Raw_Data!AL60,Raw_Data!R60)</f>
        <v>0</v>
      </c>
      <c r="Q57" s="12">
        <f t="shared" si="2"/>
        <v>0</v>
      </c>
      <c r="R57" s="12" t="str">
        <f>IF(Raw_Data!AM60="","",Raw_Data!AM60)</f>
        <v/>
      </c>
      <c r="S57" s="12" t="str">
        <f t="shared" si="3"/>
        <v/>
      </c>
      <c r="T57" s="12" t="str">
        <f>IF(Raw_Data!AN60="","",Raw_Data!AN60)</f>
        <v/>
      </c>
      <c r="U57" s="12" t="str">
        <f t="shared" si="4"/>
        <v/>
      </c>
      <c r="V57" s="12" t="str">
        <f>IF(Raw_Data!AP60="","",IF(Raw_Data!AP60="oui",1,0))</f>
        <v/>
      </c>
      <c r="W57" s="12" t="str">
        <f>IF(Raw_Data!AQ60="","",IF(Raw_Data!AQ60="oui",1,0))</f>
        <v/>
      </c>
      <c r="X57" s="12" t="str">
        <f>IF(Raw_Data!AR60="","",IF(Raw_Data!AR60="oui",1,0))</f>
        <v/>
      </c>
      <c r="Y57" s="12" t="str">
        <f>IF(Raw_Data!AS60="","",IF(Raw_Data!AS60="oui",1,0))</f>
        <v/>
      </c>
      <c r="Z57" s="12" t="str">
        <f>IF(Raw_Data!V60="","",IF(Raw_Data!V60="oui",1,0))</f>
        <v/>
      </c>
      <c r="AA57" s="12" t="str">
        <f>IF(Raw_Data!W60="","",IF(Raw_Data!W60="oui",1,0))</f>
        <v/>
      </c>
      <c r="AB57" s="12" t="str">
        <f>IF(Raw_Data!Q60="","",IF(Raw_Data!Q60="oui",1,0))</f>
        <v/>
      </c>
      <c r="AC57" s="12">
        <f>Raw_Data!AF60</f>
        <v>0</v>
      </c>
      <c r="AD57" s="12" t="str">
        <f t="shared" si="5"/>
        <v/>
      </c>
      <c r="AE57" s="12" t="str">
        <f t="shared" si="6"/>
        <v/>
      </c>
      <c r="AF57" s="12" t="str">
        <f t="shared" si="7"/>
        <v/>
      </c>
      <c r="AG57" s="12">
        <f t="shared" si="8"/>
        <v>0</v>
      </c>
    </row>
    <row r="58" spans="1:33" ht="15" customHeight="1" x14ac:dyDescent="0.25">
      <c r="A58" s="12" t="str">
        <f>IF(Raw_Data!B61="","",Raw_Data!B61)</f>
        <v/>
      </c>
      <c r="B58" s="12">
        <f>IF(Raw_Data!X61&lt;&gt;"",Raw_Data!X61,Raw_Data!C61)</f>
        <v>0</v>
      </c>
      <c r="C58" s="12" t="str">
        <f>IF(Raw_Data!G61="","",Raw_Data!G61)</f>
        <v/>
      </c>
      <c r="D58" s="12" t="str">
        <f>IF(Raw_Data!H61="","",Raw_Data!H61)</f>
        <v/>
      </c>
      <c r="E58" s="12" t="str">
        <f>IF(Raw_Data!I61="","",Raw_Data!I61)</f>
        <v/>
      </c>
      <c r="F58" s="12" t="str">
        <f>IF(Raw_Data!J61="","",Raw_Data!J61)</f>
        <v/>
      </c>
      <c r="G58" s="12" t="str">
        <f>IF(Raw_Data!AH61&lt;&gt;"",Raw_Data!AH61,IF(Raw_Data!K61&lt;&gt;"",Raw_Data!K61,""))</f>
        <v/>
      </c>
      <c r="H58" s="12" t="str">
        <f>IF(Raw_Data!AI61&lt;&gt;"",Raw_Data!AI61,IF(Raw_Data!L61&lt;&gt;"",Raw_Data!L61,""))</f>
        <v/>
      </c>
      <c r="I58" s="12" t="str">
        <f t="shared" si="0"/>
        <v/>
      </c>
      <c r="J58" s="12" t="str">
        <f>IF(Raw_Data!M61="","",Raw_Data!M61)</f>
        <v/>
      </c>
      <c r="K58" s="12">
        <f>IF(Raw_Data!AJ61&lt;&gt;"",Raw_Data!AJ61,Raw_Data!N61)</f>
        <v>0</v>
      </c>
      <c r="L58" s="12">
        <f t="shared" si="1"/>
        <v>1</v>
      </c>
      <c r="M58" s="12" t="str">
        <f>IF(Raw_Data!AK61="","",Raw_Data!AK61)</f>
        <v/>
      </c>
      <c r="N58" s="12" t="str">
        <f>IF(Raw_Data!T61="","",Raw_Data!T61)</f>
        <v/>
      </c>
      <c r="O58" s="12" t="str">
        <f>IF(Raw_Data!AB61&lt;&gt;"",Raw_Data!AB61,IF(N58="tres_insatisfait",1,IF(N58="insatisfait",2,IF(N58="neutre",3,IF(N58="satisfait",4,IF(N58="tres_satisfait",5,""))))))</f>
        <v/>
      </c>
      <c r="P58" s="12">
        <f>IF(Raw_Data!AL61&lt;&gt;"",Raw_Data!AL61,Raw_Data!R61)</f>
        <v>0</v>
      </c>
      <c r="Q58" s="12">
        <f t="shared" si="2"/>
        <v>0</v>
      </c>
      <c r="R58" s="12" t="str">
        <f>IF(Raw_Data!AM61="","",Raw_Data!AM61)</f>
        <v/>
      </c>
      <c r="S58" s="12" t="str">
        <f t="shared" si="3"/>
        <v/>
      </c>
      <c r="T58" s="12" t="str">
        <f>IF(Raw_Data!AN61="","",Raw_Data!AN61)</f>
        <v/>
      </c>
      <c r="U58" s="12" t="str">
        <f t="shared" si="4"/>
        <v/>
      </c>
      <c r="V58" s="12" t="str">
        <f>IF(Raw_Data!AP61="","",IF(Raw_Data!AP61="oui",1,0))</f>
        <v/>
      </c>
      <c r="W58" s="12" t="str">
        <f>IF(Raw_Data!AQ61="","",IF(Raw_Data!AQ61="oui",1,0))</f>
        <v/>
      </c>
      <c r="X58" s="12" t="str">
        <f>IF(Raw_Data!AR61="","",IF(Raw_Data!AR61="oui",1,0))</f>
        <v/>
      </c>
      <c r="Y58" s="12" t="str">
        <f>IF(Raw_Data!AS61="","",IF(Raw_Data!AS61="oui",1,0))</f>
        <v/>
      </c>
      <c r="Z58" s="12" t="str">
        <f>IF(Raw_Data!V61="","",IF(Raw_Data!V61="oui",1,0))</f>
        <v/>
      </c>
      <c r="AA58" s="12" t="str">
        <f>IF(Raw_Data!W61="","",IF(Raw_Data!W61="oui",1,0))</f>
        <v/>
      </c>
      <c r="AB58" s="12" t="str">
        <f>IF(Raw_Data!Q61="","",IF(Raw_Data!Q61="oui",1,0))</f>
        <v/>
      </c>
      <c r="AC58" s="12">
        <f>Raw_Data!AF61</f>
        <v>0</v>
      </c>
      <c r="AD58" s="12" t="str">
        <f t="shared" si="5"/>
        <v/>
      </c>
      <c r="AE58" s="12" t="str">
        <f t="shared" si="6"/>
        <v/>
      </c>
      <c r="AF58" s="12" t="str">
        <f t="shared" si="7"/>
        <v/>
      </c>
      <c r="AG58" s="12">
        <f t="shared" si="8"/>
        <v>0</v>
      </c>
    </row>
    <row r="59" spans="1:33" ht="15" customHeight="1" x14ac:dyDescent="0.25">
      <c r="A59" s="12" t="str">
        <f>IF(Raw_Data!B62="","",Raw_Data!B62)</f>
        <v/>
      </c>
      <c r="B59" s="12">
        <f>IF(Raw_Data!X62&lt;&gt;"",Raw_Data!X62,Raw_Data!C62)</f>
        <v>0</v>
      </c>
      <c r="C59" s="12" t="str">
        <f>IF(Raw_Data!G62="","",Raw_Data!G62)</f>
        <v/>
      </c>
      <c r="D59" s="12" t="str">
        <f>IF(Raw_Data!H62="","",Raw_Data!H62)</f>
        <v/>
      </c>
      <c r="E59" s="12" t="str">
        <f>IF(Raw_Data!I62="","",Raw_Data!I62)</f>
        <v/>
      </c>
      <c r="F59" s="12" t="str">
        <f>IF(Raw_Data!J62="","",Raw_Data!J62)</f>
        <v/>
      </c>
      <c r="G59" s="12" t="str">
        <f>IF(Raw_Data!AH62&lt;&gt;"",Raw_Data!AH62,IF(Raw_Data!K62&lt;&gt;"",Raw_Data!K62,""))</f>
        <v/>
      </c>
      <c r="H59" s="12" t="str">
        <f>IF(Raw_Data!AI62&lt;&gt;"",Raw_Data!AI62,IF(Raw_Data!L62&lt;&gt;"",Raw_Data!L62,""))</f>
        <v/>
      </c>
      <c r="I59" s="12" t="str">
        <f t="shared" si="0"/>
        <v/>
      </c>
      <c r="J59" s="12" t="str">
        <f>IF(Raw_Data!M62="","",Raw_Data!M62)</f>
        <v/>
      </c>
      <c r="K59" s="12">
        <f>IF(Raw_Data!AJ62&lt;&gt;"",Raw_Data!AJ62,Raw_Data!N62)</f>
        <v>0</v>
      </c>
      <c r="L59" s="12">
        <f t="shared" si="1"/>
        <v>1</v>
      </c>
      <c r="M59" s="12" t="str">
        <f>IF(Raw_Data!AK62="","",Raw_Data!AK62)</f>
        <v/>
      </c>
      <c r="N59" s="12" t="str">
        <f>IF(Raw_Data!T62="","",Raw_Data!T62)</f>
        <v/>
      </c>
      <c r="O59" s="12" t="str">
        <f>IF(Raw_Data!AB62&lt;&gt;"",Raw_Data!AB62,IF(N59="tres_insatisfait",1,IF(N59="insatisfait",2,IF(N59="neutre",3,IF(N59="satisfait",4,IF(N59="tres_satisfait",5,""))))))</f>
        <v/>
      </c>
      <c r="P59" s="12">
        <f>IF(Raw_Data!AL62&lt;&gt;"",Raw_Data!AL62,Raw_Data!R62)</f>
        <v>0</v>
      </c>
      <c r="Q59" s="12">
        <f t="shared" si="2"/>
        <v>0</v>
      </c>
      <c r="R59" s="12" t="str">
        <f>IF(Raw_Data!AM62="","",Raw_Data!AM62)</f>
        <v/>
      </c>
      <c r="S59" s="12" t="str">
        <f t="shared" si="3"/>
        <v/>
      </c>
      <c r="T59" s="12" t="str">
        <f>IF(Raw_Data!AN62="","",Raw_Data!AN62)</f>
        <v/>
      </c>
      <c r="U59" s="12" t="str">
        <f t="shared" si="4"/>
        <v/>
      </c>
      <c r="V59" s="12" t="str">
        <f>IF(Raw_Data!AP62="","",IF(Raw_Data!AP62="oui",1,0))</f>
        <v/>
      </c>
      <c r="W59" s="12" t="str">
        <f>IF(Raw_Data!AQ62="","",IF(Raw_Data!AQ62="oui",1,0))</f>
        <v/>
      </c>
      <c r="X59" s="12" t="str">
        <f>IF(Raw_Data!AR62="","",IF(Raw_Data!AR62="oui",1,0))</f>
        <v/>
      </c>
      <c r="Y59" s="12" t="str">
        <f>IF(Raw_Data!AS62="","",IF(Raw_Data!AS62="oui",1,0))</f>
        <v/>
      </c>
      <c r="Z59" s="12" t="str">
        <f>IF(Raw_Data!V62="","",IF(Raw_Data!V62="oui",1,0))</f>
        <v/>
      </c>
      <c r="AA59" s="12" t="str">
        <f>IF(Raw_Data!W62="","",IF(Raw_Data!W62="oui",1,0))</f>
        <v/>
      </c>
      <c r="AB59" s="12" t="str">
        <f>IF(Raw_Data!Q62="","",IF(Raw_Data!Q62="oui",1,0))</f>
        <v/>
      </c>
      <c r="AC59" s="12">
        <f>Raw_Data!AF62</f>
        <v>0</v>
      </c>
      <c r="AD59" s="12" t="str">
        <f t="shared" si="5"/>
        <v/>
      </c>
      <c r="AE59" s="12" t="str">
        <f t="shared" si="6"/>
        <v/>
      </c>
      <c r="AF59" s="12" t="str">
        <f t="shared" si="7"/>
        <v/>
      </c>
      <c r="AG59" s="12">
        <f t="shared" si="8"/>
        <v>0</v>
      </c>
    </row>
    <row r="60" spans="1:33" ht="15" customHeight="1" x14ac:dyDescent="0.25">
      <c r="A60" s="12" t="str">
        <f>IF(Raw_Data!B63="","",Raw_Data!B63)</f>
        <v/>
      </c>
      <c r="B60" s="12">
        <f>IF(Raw_Data!X63&lt;&gt;"",Raw_Data!X63,Raw_Data!C63)</f>
        <v>0</v>
      </c>
      <c r="C60" s="12" t="str">
        <f>IF(Raw_Data!G63="","",Raw_Data!G63)</f>
        <v/>
      </c>
      <c r="D60" s="12" t="str">
        <f>IF(Raw_Data!H63="","",Raw_Data!H63)</f>
        <v/>
      </c>
      <c r="E60" s="12" t="str">
        <f>IF(Raw_Data!I63="","",Raw_Data!I63)</f>
        <v/>
      </c>
      <c r="F60" s="12" t="str">
        <f>IF(Raw_Data!J63="","",Raw_Data!J63)</f>
        <v/>
      </c>
      <c r="G60" s="12" t="str">
        <f>IF(Raw_Data!AH63&lt;&gt;"",Raw_Data!AH63,IF(Raw_Data!K63&lt;&gt;"",Raw_Data!K63,""))</f>
        <v/>
      </c>
      <c r="H60" s="12" t="str">
        <f>IF(Raw_Data!AI63&lt;&gt;"",Raw_Data!AI63,IF(Raw_Data!L63&lt;&gt;"",Raw_Data!L63,""))</f>
        <v/>
      </c>
      <c r="I60" s="12" t="str">
        <f t="shared" si="0"/>
        <v/>
      </c>
      <c r="J60" s="12" t="str">
        <f>IF(Raw_Data!M63="","",Raw_Data!M63)</f>
        <v/>
      </c>
      <c r="K60" s="12">
        <f>IF(Raw_Data!AJ63&lt;&gt;"",Raw_Data!AJ63,Raw_Data!N63)</f>
        <v>0</v>
      </c>
      <c r="L60" s="12">
        <f t="shared" si="1"/>
        <v>1</v>
      </c>
      <c r="M60" s="12" t="str">
        <f>IF(Raw_Data!AK63="","",Raw_Data!AK63)</f>
        <v/>
      </c>
      <c r="N60" s="12" t="str">
        <f>IF(Raw_Data!T63="","",Raw_Data!T63)</f>
        <v/>
      </c>
      <c r="O60" s="12" t="str">
        <f>IF(Raw_Data!AB63&lt;&gt;"",Raw_Data!AB63,IF(N60="tres_insatisfait",1,IF(N60="insatisfait",2,IF(N60="neutre",3,IF(N60="satisfait",4,IF(N60="tres_satisfait",5,""))))))</f>
        <v/>
      </c>
      <c r="P60" s="12">
        <f>IF(Raw_Data!AL63&lt;&gt;"",Raw_Data!AL63,Raw_Data!R63)</f>
        <v>0</v>
      </c>
      <c r="Q60" s="12">
        <f t="shared" si="2"/>
        <v>0</v>
      </c>
      <c r="R60" s="12" t="str">
        <f>IF(Raw_Data!AM63="","",Raw_Data!AM63)</f>
        <v/>
      </c>
      <c r="S60" s="12" t="str">
        <f t="shared" si="3"/>
        <v/>
      </c>
      <c r="T60" s="12" t="str">
        <f>IF(Raw_Data!AN63="","",Raw_Data!AN63)</f>
        <v/>
      </c>
      <c r="U60" s="12" t="str">
        <f t="shared" si="4"/>
        <v/>
      </c>
      <c r="V60" s="12" t="str">
        <f>IF(Raw_Data!AP63="","",IF(Raw_Data!AP63="oui",1,0))</f>
        <v/>
      </c>
      <c r="W60" s="12" t="str">
        <f>IF(Raw_Data!AQ63="","",IF(Raw_Data!AQ63="oui",1,0))</f>
        <v/>
      </c>
      <c r="X60" s="12" t="str">
        <f>IF(Raw_Data!AR63="","",IF(Raw_Data!AR63="oui",1,0))</f>
        <v/>
      </c>
      <c r="Y60" s="12" t="str">
        <f>IF(Raw_Data!AS63="","",IF(Raw_Data!AS63="oui",1,0))</f>
        <v/>
      </c>
      <c r="Z60" s="12" t="str">
        <f>IF(Raw_Data!V63="","",IF(Raw_Data!V63="oui",1,0))</f>
        <v/>
      </c>
      <c r="AA60" s="12" t="str">
        <f>IF(Raw_Data!W63="","",IF(Raw_Data!W63="oui",1,0))</f>
        <v/>
      </c>
      <c r="AB60" s="12" t="str">
        <f>IF(Raw_Data!Q63="","",IF(Raw_Data!Q63="oui",1,0))</f>
        <v/>
      </c>
      <c r="AC60" s="12">
        <f>Raw_Data!AF63</f>
        <v>0</v>
      </c>
      <c r="AD60" s="12" t="str">
        <f t="shared" si="5"/>
        <v/>
      </c>
      <c r="AE60" s="12" t="str">
        <f t="shared" si="6"/>
        <v/>
      </c>
      <c r="AF60" s="12" t="str">
        <f t="shared" si="7"/>
        <v/>
      </c>
      <c r="AG60" s="12">
        <f t="shared" si="8"/>
        <v>0</v>
      </c>
    </row>
    <row r="61" spans="1:33" ht="15" customHeight="1" x14ac:dyDescent="0.25">
      <c r="A61" s="12" t="str">
        <f>IF(Raw_Data!B64="","",Raw_Data!B64)</f>
        <v/>
      </c>
      <c r="B61" s="12">
        <f>IF(Raw_Data!X64&lt;&gt;"",Raw_Data!X64,Raw_Data!C64)</f>
        <v>0</v>
      </c>
      <c r="C61" s="12" t="str">
        <f>IF(Raw_Data!G64="","",Raw_Data!G64)</f>
        <v/>
      </c>
      <c r="D61" s="12" t="str">
        <f>IF(Raw_Data!H64="","",Raw_Data!H64)</f>
        <v/>
      </c>
      <c r="E61" s="12" t="str">
        <f>IF(Raw_Data!I64="","",Raw_Data!I64)</f>
        <v/>
      </c>
      <c r="F61" s="12" t="str">
        <f>IF(Raw_Data!J64="","",Raw_Data!J64)</f>
        <v/>
      </c>
      <c r="G61" s="12" t="str">
        <f>IF(Raw_Data!AH64&lt;&gt;"",Raw_Data!AH64,IF(Raw_Data!K64&lt;&gt;"",Raw_Data!K64,""))</f>
        <v/>
      </c>
      <c r="H61" s="12" t="str">
        <f>IF(Raw_Data!AI64&lt;&gt;"",Raw_Data!AI64,IF(Raw_Data!L64&lt;&gt;"",Raw_Data!L64,""))</f>
        <v/>
      </c>
      <c r="I61" s="12" t="str">
        <f t="shared" si="0"/>
        <v/>
      </c>
      <c r="J61" s="12" t="str">
        <f>IF(Raw_Data!M64="","",Raw_Data!M64)</f>
        <v/>
      </c>
      <c r="K61" s="12">
        <f>IF(Raw_Data!AJ64&lt;&gt;"",Raw_Data!AJ64,Raw_Data!N64)</f>
        <v>0</v>
      </c>
      <c r="L61" s="12">
        <f t="shared" si="1"/>
        <v>1</v>
      </c>
      <c r="M61" s="12" t="str">
        <f>IF(Raw_Data!AK64="","",Raw_Data!AK64)</f>
        <v/>
      </c>
      <c r="N61" s="12" t="str">
        <f>IF(Raw_Data!T64="","",Raw_Data!T64)</f>
        <v/>
      </c>
      <c r="O61" s="12" t="str">
        <f>IF(Raw_Data!AB64&lt;&gt;"",Raw_Data!AB64,IF(N61="tres_insatisfait",1,IF(N61="insatisfait",2,IF(N61="neutre",3,IF(N61="satisfait",4,IF(N61="tres_satisfait",5,""))))))</f>
        <v/>
      </c>
      <c r="P61" s="12">
        <f>IF(Raw_Data!AL64&lt;&gt;"",Raw_Data!AL64,Raw_Data!R64)</f>
        <v>0</v>
      </c>
      <c r="Q61" s="12">
        <f t="shared" si="2"/>
        <v>0</v>
      </c>
      <c r="R61" s="12" t="str">
        <f>IF(Raw_Data!AM64="","",Raw_Data!AM64)</f>
        <v/>
      </c>
      <c r="S61" s="12" t="str">
        <f t="shared" si="3"/>
        <v/>
      </c>
      <c r="T61" s="12" t="str">
        <f>IF(Raw_Data!AN64="","",Raw_Data!AN64)</f>
        <v/>
      </c>
      <c r="U61" s="12" t="str">
        <f t="shared" si="4"/>
        <v/>
      </c>
      <c r="V61" s="12" t="str">
        <f>IF(Raw_Data!AP64="","",IF(Raw_Data!AP64="oui",1,0))</f>
        <v/>
      </c>
      <c r="W61" s="12" t="str">
        <f>IF(Raw_Data!AQ64="","",IF(Raw_Data!AQ64="oui",1,0))</f>
        <v/>
      </c>
      <c r="X61" s="12" t="str">
        <f>IF(Raw_Data!AR64="","",IF(Raw_Data!AR64="oui",1,0))</f>
        <v/>
      </c>
      <c r="Y61" s="12" t="str">
        <f>IF(Raw_Data!AS64="","",IF(Raw_Data!AS64="oui",1,0))</f>
        <v/>
      </c>
      <c r="Z61" s="12" t="str">
        <f>IF(Raw_Data!V64="","",IF(Raw_Data!V64="oui",1,0))</f>
        <v/>
      </c>
      <c r="AA61" s="12" t="str">
        <f>IF(Raw_Data!W64="","",IF(Raw_Data!W64="oui",1,0))</f>
        <v/>
      </c>
      <c r="AB61" s="12" t="str">
        <f>IF(Raw_Data!Q64="","",IF(Raw_Data!Q64="oui",1,0))</f>
        <v/>
      </c>
      <c r="AC61" s="12">
        <f>Raw_Data!AF64</f>
        <v>0</v>
      </c>
      <c r="AD61" s="12" t="str">
        <f t="shared" si="5"/>
        <v/>
      </c>
      <c r="AE61" s="12" t="str">
        <f t="shared" si="6"/>
        <v/>
      </c>
      <c r="AF61" s="12" t="str">
        <f t="shared" si="7"/>
        <v/>
      </c>
      <c r="AG61" s="12">
        <f t="shared" si="8"/>
        <v>0</v>
      </c>
    </row>
    <row r="62" spans="1:33" ht="15" customHeight="1" x14ac:dyDescent="0.25">
      <c r="A62" s="12" t="str">
        <f>IF(Raw_Data!B65="","",Raw_Data!B65)</f>
        <v/>
      </c>
      <c r="B62" s="12">
        <f>IF(Raw_Data!X65&lt;&gt;"",Raw_Data!X65,Raw_Data!C65)</f>
        <v>0</v>
      </c>
      <c r="C62" s="12" t="str">
        <f>IF(Raw_Data!G65="","",Raw_Data!G65)</f>
        <v/>
      </c>
      <c r="D62" s="12" t="str">
        <f>IF(Raw_Data!H65="","",Raw_Data!H65)</f>
        <v/>
      </c>
      <c r="E62" s="12" t="str">
        <f>IF(Raw_Data!I65="","",Raw_Data!I65)</f>
        <v/>
      </c>
      <c r="F62" s="12" t="str">
        <f>IF(Raw_Data!J65="","",Raw_Data!J65)</f>
        <v/>
      </c>
      <c r="G62" s="12" t="str">
        <f>IF(Raw_Data!AH65&lt;&gt;"",Raw_Data!AH65,IF(Raw_Data!K65&lt;&gt;"",Raw_Data!K65,""))</f>
        <v/>
      </c>
      <c r="H62" s="12" t="str">
        <f>IF(Raw_Data!AI65&lt;&gt;"",Raw_Data!AI65,IF(Raw_Data!L65&lt;&gt;"",Raw_Data!L65,""))</f>
        <v/>
      </c>
      <c r="I62" s="12" t="str">
        <f t="shared" si="0"/>
        <v/>
      </c>
      <c r="J62" s="12" t="str">
        <f>IF(Raw_Data!M65="","",Raw_Data!M65)</f>
        <v/>
      </c>
      <c r="K62" s="12">
        <f>IF(Raw_Data!AJ65&lt;&gt;"",Raw_Data!AJ65,Raw_Data!N65)</f>
        <v>0</v>
      </c>
      <c r="L62" s="12">
        <f t="shared" si="1"/>
        <v>1</v>
      </c>
      <c r="M62" s="12" t="str">
        <f>IF(Raw_Data!AK65="","",Raw_Data!AK65)</f>
        <v/>
      </c>
      <c r="N62" s="12" t="str">
        <f>IF(Raw_Data!T65="","",Raw_Data!T65)</f>
        <v/>
      </c>
      <c r="O62" s="12" t="str">
        <f>IF(Raw_Data!AB65&lt;&gt;"",Raw_Data!AB65,IF(N62="tres_insatisfait",1,IF(N62="insatisfait",2,IF(N62="neutre",3,IF(N62="satisfait",4,IF(N62="tres_satisfait",5,""))))))</f>
        <v/>
      </c>
      <c r="P62" s="12">
        <f>IF(Raw_Data!AL65&lt;&gt;"",Raw_Data!AL65,Raw_Data!R65)</f>
        <v>0</v>
      </c>
      <c r="Q62" s="12">
        <f t="shared" si="2"/>
        <v>0</v>
      </c>
      <c r="R62" s="12" t="str">
        <f>IF(Raw_Data!AM65="","",Raw_Data!AM65)</f>
        <v/>
      </c>
      <c r="S62" s="12" t="str">
        <f t="shared" si="3"/>
        <v/>
      </c>
      <c r="T62" s="12" t="str">
        <f>IF(Raw_Data!AN65="","",Raw_Data!AN65)</f>
        <v/>
      </c>
      <c r="U62" s="12" t="str">
        <f t="shared" si="4"/>
        <v/>
      </c>
      <c r="V62" s="12" t="str">
        <f>IF(Raw_Data!AP65="","",IF(Raw_Data!AP65="oui",1,0))</f>
        <v/>
      </c>
      <c r="W62" s="12" t="str">
        <f>IF(Raw_Data!AQ65="","",IF(Raw_Data!AQ65="oui",1,0))</f>
        <v/>
      </c>
      <c r="X62" s="12" t="str">
        <f>IF(Raw_Data!AR65="","",IF(Raw_Data!AR65="oui",1,0))</f>
        <v/>
      </c>
      <c r="Y62" s="12" t="str">
        <f>IF(Raw_Data!AS65="","",IF(Raw_Data!AS65="oui",1,0))</f>
        <v/>
      </c>
      <c r="Z62" s="12" t="str">
        <f>IF(Raw_Data!V65="","",IF(Raw_Data!V65="oui",1,0))</f>
        <v/>
      </c>
      <c r="AA62" s="12" t="str">
        <f>IF(Raw_Data!W65="","",IF(Raw_Data!W65="oui",1,0))</f>
        <v/>
      </c>
      <c r="AB62" s="12" t="str">
        <f>IF(Raw_Data!Q65="","",IF(Raw_Data!Q65="oui",1,0))</f>
        <v/>
      </c>
      <c r="AC62" s="12">
        <f>Raw_Data!AF65</f>
        <v>0</v>
      </c>
      <c r="AD62" s="12" t="str">
        <f t="shared" si="5"/>
        <v/>
      </c>
      <c r="AE62" s="12" t="str">
        <f t="shared" si="6"/>
        <v/>
      </c>
      <c r="AF62" s="12" t="str">
        <f t="shared" si="7"/>
        <v/>
      </c>
      <c r="AG62" s="12">
        <f t="shared" si="8"/>
        <v>0</v>
      </c>
    </row>
    <row r="63" spans="1:33" ht="15" customHeight="1" x14ac:dyDescent="0.25">
      <c r="A63" s="12" t="str">
        <f>IF(Raw_Data!B66="","",Raw_Data!B66)</f>
        <v/>
      </c>
      <c r="B63" s="12">
        <f>IF(Raw_Data!X66&lt;&gt;"",Raw_Data!X66,Raw_Data!C66)</f>
        <v>0</v>
      </c>
      <c r="C63" s="12" t="str">
        <f>IF(Raw_Data!G66="","",Raw_Data!G66)</f>
        <v/>
      </c>
      <c r="D63" s="12" t="str">
        <f>IF(Raw_Data!H66="","",Raw_Data!H66)</f>
        <v/>
      </c>
      <c r="E63" s="12" t="str">
        <f>IF(Raw_Data!I66="","",Raw_Data!I66)</f>
        <v/>
      </c>
      <c r="F63" s="12" t="str">
        <f>IF(Raw_Data!J66="","",Raw_Data!J66)</f>
        <v/>
      </c>
      <c r="G63" s="12" t="str">
        <f>IF(Raw_Data!AH66&lt;&gt;"",Raw_Data!AH66,IF(Raw_Data!K66&lt;&gt;"",Raw_Data!K66,""))</f>
        <v/>
      </c>
      <c r="H63" s="12" t="str">
        <f>IF(Raw_Data!AI66&lt;&gt;"",Raw_Data!AI66,IF(Raw_Data!L66&lt;&gt;"",Raw_Data!L66,""))</f>
        <v/>
      </c>
      <c r="I63" s="12" t="str">
        <f t="shared" si="0"/>
        <v/>
      </c>
      <c r="J63" s="12" t="str">
        <f>IF(Raw_Data!M66="","",Raw_Data!M66)</f>
        <v/>
      </c>
      <c r="K63" s="12">
        <f>IF(Raw_Data!AJ66&lt;&gt;"",Raw_Data!AJ66,Raw_Data!N66)</f>
        <v>0</v>
      </c>
      <c r="L63" s="12">
        <f t="shared" si="1"/>
        <v>1</v>
      </c>
      <c r="M63" s="12" t="str">
        <f>IF(Raw_Data!AK66="","",Raw_Data!AK66)</f>
        <v/>
      </c>
      <c r="N63" s="12" t="str">
        <f>IF(Raw_Data!T66="","",Raw_Data!T66)</f>
        <v/>
      </c>
      <c r="O63" s="12" t="str">
        <f>IF(Raw_Data!AB66&lt;&gt;"",Raw_Data!AB66,IF(N63="tres_insatisfait",1,IF(N63="insatisfait",2,IF(N63="neutre",3,IF(N63="satisfait",4,IF(N63="tres_satisfait",5,""))))))</f>
        <v/>
      </c>
      <c r="P63" s="12">
        <f>IF(Raw_Data!AL66&lt;&gt;"",Raw_Data!AL66,Raw_Data!R66)</f>
        <v>0</v>
      </c>
      <c r="Q63" s="12">
        <f t="shared" si="2"/>
        <v>0</v>
      </c>
      <c r="R63" s="12" t="str">
        <f>IF(Raw_Data!AM66="","",Raw_Data!AM66)</f>
        <v/>
      </c>
      <c r="S63" s="12" t="str">
        <f t="shared" si="3"/>
        <v/>
      </c>
      <c r="T63" s="12" t="str">
        <f>IF(Raw_Data!AN66="","",Raw_Data!AN66)</f>
        <v/>
      </c>
      <c r="U63" s="12" t="str">
        <f t="shared" si="4"/>
        <v/>
      </c>
      <c r="V63" s="12" t="str">
        <f>IF(Raw_Data!AP66="","",IF(Raw_Data!AP66="oui",1,0))</f>
        <v/>
      </c>
      <c r="W63" s="12" t="str">
        <f>IF(Raw_Data!AQ66="","",IF(Raw_Data!AQ66="oui",1,0))</f>
        <v/>
      </c>
      <c r="X63" s="12" t="str">
        <f>IF(Raw_Data!AR66="","",IF(Raw_Data!AR66="oui",1,0))</f>
        <v/>
      </c>
      <c r="Y63" s="12" t="str">
        <f>IF(Raw_Data!AS66="","",IF(Raw_Data!AS66="oui",1,0))</f>
        <v/>
      </c>
      <c r="Z63" s="12" t="str">
        <f>IF(Raw_Data!V66="","",IF(Raw_Data!V66="oui",1,0))</f>
        <v/>
      </c>
      <c r="AA63" s="12" t="str">
        <f>IF(Raw_Data!W66="","",IF(Raw_Data!W66="oui",1,0))</f>
        <v/>
      </c>
      <c r="AB63" s="12" t="str">
        <f>IF(Raw_Data!Q66="","",IF(Raw_Data!Q66="oui",1,0))</f>
        <v/>
      </c>
      <c r="AC63" s="12">
        <f>Raw_Data!AF66</f>
        <v>0</v>
      </c>
      <c r="AD63" s="12" t="str">
        <f t="shared" si="5"/>
        <v/>
      </c>
      <c r="AE63" s="12" t="str">
        <f t="shared" si="6"/>
        <v/>
      </c>
      <c r="AF63" s="12" t="str">
        <f t="shared" si="7"/>
        <v/>
      </c>
      <c r="AG63" s="12">
        <f t="shared" si="8"/>
        <v>0</v>
      </c>
    </row>
    <row r="64" spans="1:33" ht="15" customHeight="1" x14ac:dyDescent="0.25">
      <c r="A64" s="12" t="str">
        <f>IF(Raw_Data!B67="","",Raw_Data!B67)</f>
        <v/>
      </c>
      <c r="B64" s="12">
        <f>IF(Raw_Data!X67&lt;&gt;"",Raw_Data!X67,Raw_Data!C67)</f>
        <v>0</v>
      </c>
      <c r="C64" s="12" t="str">
        <f>IF(Raw_Data!G67="","",Raw_Data!G67)</f>
        <v/>
      </c>
      <c r="D64" s="12" t="str">
        <f>IF(Raw_Data!H67="","",Raw_Data!H67)</f>
        <v/>
      </c>
      <c r="E64" s="12" t="str">
        <f>IF(Raw_Data!I67="","",Raw_Data!I67)</f>
        <v/>
      </c>
      <c r="F64" s="12" t="str">
        <f>IF(Raw_Data!J67="","",Raw_Data!J67)</f>
        <v/>
      </c>
      <c r="G64" s="12" t="str">
        <f>IF(Raw_Data!AH67&lt;&gt;"",Raw_Data!AH67,IF(Raw_Data!K67&lt;&gt;"",Raw_Data!K67,""))</f>
        <v/>
      </c>
      <c r="H64" s="12" t="str">
        <f>IF(Raw_Data!AI67&lt;&gt;"",Raw_Data!AI67,IF(Raw_Data!L67&lt;&gt;"",Raw_Data!L67,""))</f>
        <v/>
      </c>
      <c r="I64" s="12" t="str">
        <f t="shared" si="0"/>
        <v/>
      </c>
      <c r="J64" s="12" t="str">
        <f>IF(Raw_Data!M67="","",Raw_Data!M67)</f>
        <v/>
      </c>
      <c r="K64" s="12">
        <f>IF(Raw_Data!AJ67&lt;&gt;"",Raw_Data!AJ67,Raw_Data!N67)</f>
        <v>0</v>
      </c>
      <c r="L64" s="12">
        <f t="shared" si="1"/>
        <v>1</v>
      </c>
      <c r="M64" s="12" t="str">
        <f>IF(Raw_Data!AK67="","",Raw_Data!AK67)</f>
        <v/>
      </c>
      <c r="N64" s="12" t="str">
        <f>IF(Raw_Data!T67="","",Raw_Data!T67)</f>
        <v/>
      </c>
      <c r="O64" s="12" t="str">
        <f>IF(Raw_Data!AB67&lt;&gt;"",Raw_Data!AB67,IF(N64="tres_insatisfait",1,IF(N64="insatisfait",2,IF(N64="neutre",3,IF(N64="satisfait",4,IF(N64="tres_satisfait",5,""))))))</f>
        <v/>
      </c>
      <c r="P64" s="12">
        <f>IF(Raw_Data!AL67&lt;&gt;"",Raw_Data!AL67,Raw_Data!R67)</f>
        <v>0</v>
      </c>
      <c r="Q64" s="12">
        <f t="shared" si="2"/>
        <v>0</v>
      </c>
      <c r="R64" s="12" t="str">
        <f>IF(Raw_Data!AM67="","",Raw_Data!AM67)</f>
        <v/>
      </c>
      <c r="S64" s="12" t="str">
        <f t="shared" si="3"/>
        <v/>
      </c>
      <c r="T64" s="12" t="str">
        <f>IF(Raw_Data!AN67="","",Raw_Data!AN67)</f>
        <v/>
      </c>
      <c r="U64" s="12" t="str">
        <f t="shared" si="4"/>
        <v/>
      </c>
      <c r="V64" s="12" t="str">
        <f>IF(Raw_Data!AP67="","",IF(Raw_Data!AP67="oui",1,0))</f>
        <v/>
      </c>
      <c r="W64" s="12" t="str">
        <f>IF(Raw_Data!AQ67="","",IF(Raw_Data!AQ67="oui",1,0))</f>
        <v/>
      </c>
      <c r="X64" s="12" t="str">
        <f>IF(Raw_Data!AR67="","",IF(Raw_Data!AR67="oui",1,0))</f>
        <v/>
      </c>
      <c r="Y64" s="12" t="str">
        <f>IF(Raw_Data!AS67="","",IF(Raw_Data!AS67="oui",1,0))</f>
        <v/>
      </c>
      <c r="Z64" s="12" t="str">
        <f>IF(Raw_Data!V67="","",IF(Raw_Data!V67="oui",1,0))</f>
        <v/>
      </c>
      <c r="AA64" s="12" t="str">
        <f>IF(Raw_Data!W67="","",IF(Raw_Data!W67="oui",1,0))</f>
        <v/>
      </c>
      <c r="AB64" s="12" t="str">
        <f>IF(Raw_Data!Q67="","",IF(Raw_Data!Q67="oui",1,0))</f>
        <v/>
      </c>
      <c r="AC64" s="12">
        <f>Raw_Data!AF67</f>
        <v>0</v>
      </c>
      <c r="AD64" s="12" t="str">
        <f t="shared" si="5"/>
        <v/>
      </c>
      <c r="AE64" s="12" t="str">
        <f t="shared" si="6"/>
        <v/>
      </c>
      <c r="AF64" s="12" t="str">
        <f t="shared" si="7"/>
        <v/>
      </c>
      <c r="AG64" s="12">
        <f t="shared" si="8"/>
        <v>0</v>
      </c>
    </row>
    <row r="65" spans="1:33" ht="15" customHeight="1" x14ac:dyDescent="0.25">
      <c r="A65" s="12" t="str">
        <f>IF(Raw_Data!B68="","",Raw_Data!B68)</f>
        <v/>
      </c>
      <c r="B65" s="12">
        <f>IF(Raw_Data!X68&lt;&gt;"",Raw_Data!X68,Raw_Data!C68)</f>
        <v>0</v>
      </c>
      <c r="C65" s="12" t="str">
        <f>IF(Raw_Data!G68="","",Raw_Data!G68)</f>
        <v/>
      </c>
      <c r="D65" s="12" t="str">
        <f>IF(Raw_Data!H68="","",Raw_Data!H68)</f>
        <v/>
      </c>
      <c r="E65" s="12" t="str">
        <f>IF(Raw_Data!I68="","",Raw_Data!I68)</f>
        <v/>
      </c>
      <c r="F65" s="12" t="str">
        <f>IF(Raw_Data!J68="","",Raw_Data!J68)</f>
        <v/>
      </c>
      <c r="G65" s="12" t="str">
        <f>IF(Raw_Data!AH68&lt;&gt;"",Raw_Data!AH68,IF(Raw_Data!K68&lt;&gt;"",Raw_Data!K68,""))</f>
        <v/>
      </c>
      <c r="H65" s="12" t="str">
        <f>IF(Raw_Data!AI68&lt;&gt;"",Raw_Data!AI68,IF(Raw_Data!L68&lt;&gt;"",Raw_Data!L68,""))</f>
        <v/>
      </c>
      <c r="I65" s="12" t="str">
        <f t="shared" si="0"/>
        <v/>
      </c>
      <c r="J65" s="12" t="str">
        <f>IF(Raw_Data!M68="","",Raw_Data!M68)</f>
        <v/>
      </c>
      <c r="K65" s="12">
        <f>IF(Raw_Data!AJ68&lt;&gt;"",Raw_Data!AJ68,Raw_Data!N68)</f>
        <v>0</v>
      </c>
      <c r="L65" s="12">
        <f t="shared" si="1"/>
        <v>1</v>
      </c>
      <c r="M65" s="12" t="str">
        <f>IF(Raw_Data!AK68="","",Raw_Data!AK68)</f>
        <v/>
      </c>
      <c r="N65" s="12" t="str">
        <f>IF(Raw_Data!T68="","",Raw_Data!T68)</f>
        <v/>
      </c>
      <c r="O65" s="12" t="str">
        <f>IF(Raw_Data!AB68&lt;&gt;"",Raw_Data!AB68,IF(N65="tres_insatisfait",1,IF(N65="insatisfait",2,IF(N65="neutre",3,IF(N65="satisfait",4,IF(N65="tres_satisfait",5,""))))))</f>
        <v/>
      </c>
      <c r="P65" s="12">
        <f>IF(Raw_Data!AL68&lt;&gt;"",Raw_Data!AL68,Raw_Data!R68)</f>
        <v>0</v>
      </c>
      <c r="Q65" s="12">
        <f t="shared" si="2"/>
        <v>0</v>
      </c>
      <c r="R65" s="12" t="str">
        <f>IF(Raw_Data!AM68="","",Raw_Data!AM68)</f>
        <v/>
      </c>
      <c r="S65" s="12" t="str">
        <f t="shared" si="3"/>
        <v/>
      </c>
      <c r="T65" s="12" t="str">
        <f>IF(Raw_Data!AN68="","",Raw_Data!AN68)</f>
        <v/>
      </c>
      <c r="U65" s="12" t="str">
        <f t="shared" si="4"/>
        <v/>
      </c>
      <c r="V65" s="12" t="str">
        <f>IF(Raw_Data!AP68="","",IF(Raw_Data!AP68="oui",1,0))</f>
        <v/>
      </c>
      <c r="W65" s="12" t="str">
        <f>IF(Raw_Data!AQ68="","",IF(Raw_Data!AQ68="oui",1,0))</f>
        <v/>
      </c>
      <c r="X65" s="12" t="str">
        <f>IF(Raw_Data!AR68="","",IF(Raw_Data!AR68="oui",1,0))</f>
        <v/>
      </c>
      <c r="Y65" s="12" t="str">
        <f>IF(Raw_Data!AS68="","",IF(Raw_Data!AS68="oui",1,0))</f>
        <v/>
      </c>
      <c r="Z65" s="12" t="str">
        <f>IF(Raw_Data!V68="","",IF(Raw_Data!V68="oui",1,0))</f>
        <v/>
      </c>
      <c r="AA65" s="12" t="str">
        <f>IF(Raw_Data!W68="","",IF(Raw_Data!W68="oui",1,0))</f>
        <v/>
      </c>
      <c r="AB65" s="12" t="str">
        <f>IF(Raw_Data!Q68="","",IF(Raw_Data!Q68="oui",1,0))</f>
        <v/>
      </c>
      <c r="AC65" s="12">
        <f>Raw_Data!AF68</f>
        <v>0</v>
      </c>
      <c r="AD65" s="12" t="str">
        <f t="shared" si="5"/>
        <v/>
      </c>
      <c r="AE65" s="12" t="str">
        <f t="shared" si="6"/>
        <v/>
      </c>
      <c r="AF65" s="12" t="str">
        <f t="shared" si="7"/>
        <v/>
      </c>
      <c r="AG65" s="12">
        <f t="shared" si="8"/>
        <v>0</v>
      </c>
    </row>
    <row r="66" spans="1:33" ht="15" customHeight="1" x14ac:dyDescent="0.25">
      <c r="A66" s="12" t="str">
        <f>IF(Raw_Data!B69="","",Raw_Data!B69)</f>
        <v/>
      </c>
      <c r="B66" s="12">
        <f>IF(Raw_Data!X69&lt;&gt;"",Raw_Data!X69,Raw_Data!C69)</f>
        <v>0</v>
      </c>
      <c r="C66" s="12" t="str">
        <f>IF(Raw_Data!G69="","",Raw_Data!G69)</f>
        <v/>
      </c>
      <c r="D66" s="12" t="str">
        <f>IF(Raw_Data!H69="","",Raw_Data!H69)</f>
        <v/>
      </c>
      <c r="E66" s="12" t="str">
        <f>IF(Raw_Data!I69="","",Raw_Data!I69)</f>
        <v/>
      </c>
      <c r="F66" s="12" t="str">
        <f>IF(Raw_Data!J69="","",Raw_Data!J69)</f>
        <v/>
      </c>
      <c r="G66" s="12" t="str">
        <f>IF(Raw_Data!AH69&lt;&gt;"",Raw_Data!AH69,IF(Raw_Data!K69&lt;&gt;"",Raw_Data!K69,""))</f>
        <v/>
      </c>
      <c r="H66" s="12" t="str">
        <f>IF(Raw_Data!AI69&lt;&gt;"",Raw_Data!AI69,IF(Raw_Data!L69&lt;&gt;"",Raw_Data!L69,""))</f>
        <v/>
      </c>
      <c r="I66" s="12" t="str">
        <f t="shared" ref="I66:I129" si="9">IF(H66="","",IF(H66&lt;18,"&lt;18 ans",IF(H66&lt;60,"18-59 ans","60 ans et +")))</f>
        <v/>
      </c>
      <c r="J66" s="12" t="str">
        <f>IF(Raw_Data!M69="","",Raw_Data!M69)</f>
        <v/>
      </c>
      <c r="K66" s="12">
        <f>IF(Raw_Data!AJ69&lt;&gt;"",Raw_Data!AJ69,Raw_Data!N69)</f>
        <v>0</v>
      </c>
      <c r="L66" s="12">
        <f t="shared" ref="L66:L129" si="10">IF(K66="",0,1)</f>
        <v>1</v>
      </c>
      <c r="M66" s="12" t="str">
        <f>IF(Raw_Data!AK69="","",Raw_Data!AK69)</f>
        <v/>
      </c>
      <c r="N66" s="12" t="str">
        <f>IF(Raw_Data!T69="","",Raw_Data!T69)</f>
        <v/>
      </c>
      <c r="O66" s="12" t="str">
        <f>IF(Raw_Data!AB69&lt;&gt;"",Raw_Data!AB69,IF(N66="tres_insatisfait",1,IF(N66="insatisfait",2,IF(N66="neutre",3,IF(N66="satisfait",4,IF(N66="tres_satisfait",5,""))))))</f>
        <v/>
      </c>
      <c r="P66" s="12">
        <f>IF(Raw_Data!AL69&lt;&gt;"",Raw_Data!AL69,Raw_Data!R69)</f>
        <v>0</v>
      </c>
      <c r="Q66" s="12">
        <f t="shared" ref="Q66:Q129" si="11">IF(P66="","",IF(P66="oui",1,0))</f>
        <v>0</v>
      </c>
      <c r="R66" s="12" t="str">
        <f>IF(Raw_Data!AM69="","",Raw_Data!AM69)</f>
        <v/>
      </c>
      <c r="S66" s="12" t="str">
        <f t="shared" ref="S66:S129" si="12">IF(R66="","",IF(R66="oui",1,0))</f>
        <v/>
      </c>
      <c r="T66" s="12" t="str">
        <f>IF(Raw_Data!AN69="","",Raw_Data!AN69)</f>
        <v/>
      </c>
      <c r="U66" s="12" t="str">
        <f t="shared" ref="U66:U129" si="13">IF(T66="","",IF(T66="oui",1,0))</f>
        <v/>
      </c>
      <c r="V66" s="12" t="str">
        <f>IF(Raw_Data!AP69="","",IF(Raw_Data!AP69="oui",1,0))</f>
        <v/>
      </c>
      <c r="W66" s="12" t="str">
        <f>IF(Raw_Data!AQ69="","",IF(Raw_Data!AQ69="oui",1,0))</f>
        <v/>
      </c>
      <c r="X66" s="12" t="str">
        <f>IF(Raw_Data!AR69="","",IF(Raw_Data!AR69="oui",1,0))</f>
        <v/>
      </c>
      <c r="Y66" s="12" t="str">
        <f>IF(Raw_Data!AS69="","",IF(Raw_Data!AS69="oui",1,0))</f>
        <v/>
      </c>
      <c r="Z66" s="12" t="str">
        <f>IF(Raw_Data!V69="","",IF(Raw_Data!V69="oui",1,0))</f>
        <v/>
      </c>
      <c r="AA66" s="12" t="str">
        <f>IF(Raw_Data!W69="","",IF(Raw_Data!W69="oui",1,0))</f>
        <v/>
      </c>
      <c r="AB66" s="12" t="str">
        <f>IF(Raw_Data!Q69="","",IF(Raw_Data!Q69="oui",1,0))</f>
        <v/>
      </c>
      <c r="AC66" s="12">
        <f>Raw_Data!AF69</f>
        <v>0</v>
      </c>
      <c r="AD66" s="12" t="str">
        <f t="shared" ref="AD66:AD129" si="14">IF(A66="","",F66&amp;"|"&amp;E66&amp;"|"&amp;TEXT(B66,"YYYY-MM-DD"))</f>
        <v/>
      </c>
      <c r="AE66" s="12" t="str">
        <f t="shared" ref="AE66:AE129" si="15">IF(AD66="","",IF(COUNTIF($AD$2:$AD$1000,AD66)&gt;1,1,0))</f>
        <v/>
      </c>
      <c r="AF66" s="12" t="str">
        <f t="shared" ref="AF66:AF129" si="16">IF(A66="","",IF(OR(C66="",D66="",G66="",H66="",N66=""),1,0))</f>
        <v/>
      </c>
      <c r="AG66" s="12">
        <f t="shared" ref="AG66:AG129" si="17">IF(A66="",0,1)</f>
        <v>0</v>
      </c>
    </row>
    <row r="67" spans="1:33" ht="15" customHeight="1" x14ac:dyDescent="0.25">
      <c r="A67" s="12" t="str">
        <f>IF(Raw_Data!B70="","",Raw_Data!B70)</f>
        <v/>
      </c>
      <c r="B67" s="12">
        <f>IF(Raw_Data!X70&lt;&gt;"",Raw_Data!X70,Raw_Data!C70)</f>
        <v>0</v>
      </c>
      <c r="C67" s="12" t="str">
        <f>IF(Raw_Data!G70="","",Raw_Data!G70)</f>
        <v/>
      </c>
      <c r="D67" s="12" t="str">
        <f>IF(Raw_Data!H70="","",Raw_Data!H70)</f>
        <v/>
      </c>
      <c r="E67" s="12" t="str">
        <f>IF(Raw_Data!I70="","",Raw_Data!I70)</f>
        <v/>
      </c>
      <c r="F67" s="12" t="str">
        <f>IF(Raw_Data!J70="","",Raw_Data!J70)</f>
        <v/>
      </c>
      <c r="G67" s="12" t="str">
        <f>IF(Raw_Data!AH70&lt;&gt;"",Raw_Data!AH70,IF(Raw_Data!K70&lt;&gt;"",Raw_Data!K70,""))</f>
        <v/>
      </c>
      <c r="H67" s="12" t="str">
        <f>IF(Raw_Data!AI70&lt;&gt;"",Raw_Data!AI70,IF(Raw_Data!L70&lt;&gt;"",Raw_Data!L70,""))</f>
        <v/>
      </c>
      <c r="I67" s="12" t="str">
        <f t="shared" si="9"/>
        <v/>
      </c>
      <c r="J67" s="12" t="str">
        <f>IF(Raw_Data!M70="","",Raw_Data!M70)</f>
        <v/>
      </c>
      <c r="K67" s="12">
        <f>IF(Raw_Data!AJ70&lt;&gt;"",Raw_Data!AJ70,Raw_Data!N70)</f>
        <v>0</v>
      </c>
      <c r="L67" s="12">
        <f t="shared" si="10"/>
        <v>1</v>
      </c>
      <c r="M67" s="12" t="str">
        <f>IF(Raw_Data!AK70="","",Raw_Data!AK70)</f>
        <v/>
      </c>
      <c r="N67" s="12" t="str">
        <f>IF(Raw_Data!T70="","",Raw_Data!T70)</f>
        <v/>
      </c>
      <c r="O67" s="12" t="str">
        <f>IF(Raw_Data!AB70&lt;&gt;"",Raw_Data!AB70,IF(N67="tres_insatisfait",1,IF(N67="insatisfait",2,IF(N67="neutre",3,IF(N67="satisfait",4,IF(N67="tres_satisfait",5,""))))))</f>
        <v/>
      </c>
      <c r="P67" s="12">
        <f>IF(Raw_Data!AL70&lt;&gt;"",Raw_Data!AL70,Raw_Data!R70)</f>
        <v>0</v>
      </c>
      <c r="Q67" s="12">
        <f t="shared" si="11"/>
        <v>0</v>
      </c>
      <c r="R67" s="12" t="str">
        <f>IF(Raw_Data!AM70="","",Raw_Data!AM70)</f>
        <v/>
      </c>
      <c r="S67" s="12" t="str">
        <f t="shared" si="12"/>
        <v/>
      </c>
      <c r="T67" s="12" t="str">
        <f>IF(Raw_Data!AN70="","",Raw_Data!AN70)</f>
        <v/>
      </c>
      <c r="U67" s="12" t="str">
        <f t="shared" si="13"/>
        <v/>
      </c>
      <c r="V67" s="12" t="str">
        <f>IF(Raw_Data!AP70="","",IF(Raw_Data!AP70="oui",1,0))</f>
        <v/>
      </c>
      <c r="W67" s="12" t="str">
        <f>IF(Raw_Data!AQ70="","",IF(Raw_Data!AQ70="oui",1,0))</f>
        <v/>
      </c>
      <c r="X67" s="12" t="str">
        <f>IF(Raw_Data!AR70="","",IF(Raw_Data!AR70="oui",1,0))</f>
        <v/>
      </c>
      <c r="Y67" s="12" t="str">
        <f>IF(Raw_Data!AS70="","",IF(Raw_Data!AS70="oui",1,0))</f>
        <v/>
      </c>
      <c r="Z67" s="12" t="str">
        <f>IF(Raw_Data!V70="","",IF(Raw_Data!V70="oui",1,0))</f>
        <v/>
      </c>
      <c r="AA67" s="12" t="str">
        <f>IF(Raw_Data!W70="","",IF(Raw_Data!W70="oui",1,0))</f>
        <v/>
      </c>
      <c r="AB67" s="12" t="str">
        <f>IF(Raw_Data!Q70="","",IF(Raw_Data!Q70="oui",1,0))</f>
        <v/>
      </c>
      <c r="AC67" s="12">
        <f>Raw_Data!AF70</f>
        <v>0</v>
      </c>
      <c r="AD67" s="12" t="str">
        <f t="shared" si="14"/>
        <v/>
      </c>
      <c r="AE67" s="12" t="str">
        <f t="shared" si="15"/>
        <v/>
      </c>
      <c r="AF67" s="12" t="str">
        <f t="shared" si="16"/>
        <v/>
      </c>
      <c r="AG67" s="12">
        <f t="shared" si="17"/>
        <v>0</v>
      </c>
    </row>
    <row r="68" spans="1:33" ht="15" customHeight="1" x14ac:dyDescent="0.25">
      <c r="A68" s="12" t="str">
        <f>IF(Raw_Data!B71="","",Raw_Data!B71)</f>
        <v/>
      </c>
      <c r="B68" s="12">
        <f>IF(Raw_Data!X71&lt;&gt;"",Raw_Data!X71,Raw_Data!C71)</f>
        <v>0</v>
      </c>
      <c r="C68" s="12" t="str">
        <f>IF(Raw_Data!G71="","",Raw_Data!G71)</f>
        <v/>
      </c>
      <c r="D68" s="12" t="str">
        <f>IF(Raw_Data!H71="","",Raw_Data!H71)</f>
        <v/>
      </c>
      <c r="E68" s="12" t="str">
        <f>IF(Raw_Data!I71="","",Raw_Data!I71)</f>
        <v/>
      </c>
      <c r="F68" s="12" t="str">
        <f>IF(Raw_Data!J71="","",Raw_Data!J71)</f>
        <v/>
      </c>
      <c r="G68" s="12" t="str">
        <f>IF(Raw_Data!AH71&lt;&gt;"",Raw_Data!AH71,IF(Raw_Data!K71&lt;&gt;"",Raw_Data!K71,""))</f>
        <v/>
      </c>
      <c r="H68" s="12" t="str">
        <f>IF(Raw_Data!AI71&lt;&gt;"",Raw_Data!AI71,IF(Raw_Data!L71&lt;&gt;"",Raw_Data!L71,""))</f>
        <v/>
      </c>
      <c r="I68" s="12" t="str">
        <f t="shared" si="9"/>
        <v/>
      </c>
      <c r="J68" s="12" t="str">
        <f>IF(Raw_Data!M71="","",Raw_Data!M71)</f>
        <v/>
      </c>
      <c r="K68" s="12">
        <f>IF(Raw_Data!AJ71&lt;&gt;"",Raw_Data!AJ71,Raw_Data!N71)</f>
        <v>0</v>
      </c>
      <c r="L68" s="12">
        <f t="shared" si="10"/>
        <v>1</v>
      </c>
      <c r="M68" s="12" t="str">
        <f>IF(Raw_Data!AK71="","",Raw_Data!AK71)</f>
        <v/>
      </c>
      <c r="N68" s="12" t="str">
        <f>IF(Raw_Data!T71="","",Raw_Data!T71)</f>
        <v/>
      </c>
      <c r="O68" s="12" t="str">
        <f>IF(Raw_Data!AB71&lt;&gt;"",Raw_Data!AB71,IF(N68="tres_insatisfait",1,IF(N68="insatisfait",2,IF(N68="neutre",3,IF(N68="satisfait",4,IF(N68="tres_satisfait",5,""))))))</f>
        <v/>
      </c>
      <c r="P68" s="12">
        <f>IF(Raw_Data!AL71&lt;&gt;"",Raw_Data!AL71,Raw_Data!R71)</f>
        <v>0</v>
      </c>
      <c r="Q68" s="12">
        <f t="shared" si="11"/>
        <v>0</v>
      </c>
      <c r="R68" s="12" t="str">
        <f>IF(Raw_Data!AM71="","",Raw_Data!AM71)</f>
        <v/>
      </c>
      <c r="S68" s="12" t="str">
        <f t="shared" si="12"/>
        <v/>
      </c>
      <c r="T68" s="12" t="str">
        <f>IF(Raw_Data!AN71="","",Raw_Data!AN71)</f>
        <v/>
      </c>
      <c r="U68" s="12" t="str">
        <f t="shared" si="13"/>
        <v/>
      </c>
      <c r="V68" s="12" t="str">
        <f>IF(Raw_Data!AP71="","",IF(Raw_Data!AP71="oui",1,0))</f>
        <v/>
      </c>
      <c r="W68" s="12" t="str">
        <f>IF(Raw_Data!AQ71="","",IF(Raw_Data!AQ71="oui",1,0))</f>
        <v/>
      </c>
      <c r="X68" s="12" t="str">
        <f>IF(Raw_Data!AR71="","",IF(Raw_Data!AR71="oui",1,0))</f>
        <v/>
      </c>
      <c r="Y68" s="12" t="str">
        <f>IF(Raw_Data!AS71="","",IF(Raw_Data!AS71="oui",1,0))</f>
        <v/>
      </c>
      <c r="Z68" s="12" t="str">
        <f>IF(Raw_Data!V71="","",IF(Raw_Data!V71="oui",1,0))</f>
        <v/>
      </c>
      <c r="AA68" s="12" t="str">
        <f>IF(Raw_Data!W71="","",IF(Raw_Data!W71="oui",1,0))</f>
        <v/>
      </c>
      <c r="AB68" s="12" t="str">
        <f>IF(Raw_Data!Q71="","",IF(Raw_Data!Q71="oui",1,0))</f>
        <v/>
      </c>
      <c r="AC68" s="12">
        <f>Raw_Data!AF71</f>
        <v>0</v>
      </c>
      <c r="AD68" s="12" t="str">
        <f t="shared" si="14"/>
        <v/>
      </c>
      <c r="AE68" s="12" t="str">
        <f t="shared" si="15"/>
        <v/>
      </c>
      <c r="AF68" s="12" t="str">
        <f t="shared" si="16"/>
        <v/>
      </c>
      <c r="AG68" s="12">
        <f t="shared" si="17"/>
        <v>0</v>
      </c>
    </row>
    <row r="69" spans="1:33" ht="15" customHeight="1" x14ac:dyDescent="0.25">
      <c r="A69" s="12" t="str">
        <f>IF(Raw_Data!B72="","",Raw_Data!B72)</f>
        <v/>
      </c>
      <c r="B69" s="12">
        <f>IF(Raw_Data!X72&lt;&gt;"",Raw_Data!X72,Raw_Data!C72)</f>
        <v>0</v>
      </c>
      <c r="C69" s="12" t="str">
        <f>IF(Raw_Data!G72="","",Raw_Data!G72)</f>
        <v/>
      </c>
      <c r="D69" s="12" t="str">
        <f>IF(Raw_Data!H72="","",Raw_Data!H72)</f>
        <v/>
      </c>
      <c r="E69" s="12" t="str">
        <f>IF(Raw_Data!I72="","",Raw_Data!I72)</f>
        <v/>
      </c>
      <c r="F69" s="12" t="str">
        <f>IF(Raw_Data!J72="","",Raw_Data!J72)</f>
        <v/>
      </c>
      <c r="G69" s="12" t="str">
        <f>IF(Raw_Data!AH72&lt;&gt;"",Raw_Data!AH72,IF(Raw_Data!K72&lt;&gt;"",Raw_Data!K72,""))</f>
        <v/>
      </c>
      <c r="H69" s="12" t="str">
        <f>IF(Raw_Data!AI72&lt;&gt;"",Raw_Data!AI72,IF(Raw_Data!L72&lt;&gt;"",Raw_Data!L72,""))</f>
        <v/>
      </c>
      <c r="I69" s="12" t="str">
        <f t="shared" si="9"/>
        <v/>
      </c>
      <c r="J69" s="12" t="str">
        <f>IF(Raw_Data!M72="","",Raw_Data!M72)</f>
        <v/>
      </c>
      <c r="K69" s="12">
        <f>IF(Raw_Data!AJ72&lt;&gt;"",Raw_Data!AJ72,Raw_Data!N72)</f>
        <v>0</v>
      </c>
      <c r="L69" s="12">
        <f t="shared" si="10"/>
        <v>1</v>
      </c>
      <c r="M69" s="12" t="str">
        <f>IF(Raw_Data!AK72="","",Raw_Data!AK72)</f>
        <v/>
      </c>
      <c r="N69" s="12" t="str">
        <f>IF(Raw_Data!T72="","",Raw_Data!T72)</f>
        <v/>
      </c>
      <c r="O69" s="12" t="str">
        <f>IF(Raw_Data!AB72&lt;&gt;"",Raw_Data!AB72,IF(N69="tres_insatisfait",1,IF(N69="insatisfait",2,IF(N69="neutre",3,IF(N69="satisfait",4,IF(N69="tres_satisfait",5,""))))))</f>
        <v/>
      </c>
      <c r="P69" s="12">
        <f>IF(Raw_Data!AL72&lt;&gt;"",Raw_Data!AL72,Raw_Data!R72)</f>
        <v>0</v>
      </c>
      <c r="Q69" s="12">
        <f t="shared" si="11"/>
        <v>0</v>
      </c>
      <c r="R69" s="12" t="str">
        <f>IF(Raw_Data!AM72="","",Raw_Data!AM72)</f>
        <v/>
      </c>
      <c r="S69" s="12" t="str">
        <f t="shared" si="12"/>
        <v/>
      </c>
      <c r="T69" s="12" t="str">
        <f>IF(Raw_Data!AN72="","",Raw_Data!AN72)</f>
        <v/>
      </c>
      <c r="U69" s="12" t="str">
        <f t="shared" si="13"/>
        <v/>
      </c>
      <c r="V69" s="12" t="str">
        <f>IF(Raw_Data!AP72="","",IF(Raw_Data!AP72="oui",1,0))</f>
        <v/>
      </c>
      <c r="W69" s="12" t="str">
        <f>IF(Raw_Data!AQ72="","",IF(Raw_Data!AQ72="oui",1,0))</f>
        <v/>
      </c>
      <c r="X69" s="12" t="str">
        <f>IF(Raw_Data!AR72="","",IF(Raw_Data!AR72="oui",1,0))</f>
        <v/>
      </c>
      <c r="Y69" s="12" t="str">
        <f>IF(Raw_Data!AS72="","",IF(Raw_Data!AS72="oui",1,0))</f>
        <v/>
      </c>
      <c r="Z69" s="12" t="str">
        <f>IF(Raw_Data!V72="","",IF(Raw_Data!V72="oui",1,0))</f>
        <v/>
      </c>
      <c r="AA69" s="12" t="str">
        <f>IF(Raw_Data!W72="","",IF(Raw_Data!W72="oui",1,0))</f>
        <v/>
      </c>
      <c r="AB69" s="12" t="str">
        <f>IF(Raw_Data!Q72="","",IF(Raw_Data!Q72="oui",1,0))</f>
        <v/>
      </c>
      <c r="AC69" s="12">
        <f>Raw_Data!AF72</f>
        <v>0</v>
      </c>
      <c r="AD69" s="12" t="str">
        <f t="shared" si="14"/>
        <v/>
      </c>
      <c r="AE69" s="12" t="str">
        <f t="shared" si="15"/>
        <v/>
      </c>
      <c r="AF69" s="12" t="str">
        <f t="shared" si="16"/>
        <v/>
      </c>
      <c r="AG69" s="12">
        <f t="shared" si="17"/>
        <v>0</v>
      </c>
    </row>
    <row r="70" spans="1:33" ht="15" customHeight="1" x14ac:dyDescent="0.25">
      <c r="A70" s="12" t="str">
        <f>IF(Raw_Data!B73="","",Raw_Data!B73)</f>
        <v/>
      </c>
      <c r="B70" s="12">
        <f>IF(Raw_Data!X73&lt;&gt;"",Raw_Data!X73,Raw_Data!C73)</f>
        <v>0</v>
      </c>
      <c r="C70" s="12" t="str">
        <f>IF(Raw_Data!G73="","",Raw_Data!G73)</f>
        <v/>
      </c>
      <c r="D70" s="12" t="str">
        <f>IF(Raw_Data!H73="","",Raw_Data!H73)</f>
        <v/>
      </c>
      <c r="E70" s="12" t="str">
        <f>IF(Raw_Data!I73="","",Raw_Data!I73)</f>
        <v/>
      </c>
      <c r="F70" s="12" t="str">
        <f>IF(Raw_Data!J73="","",Raw_Data!J73)</f>
        <v/>
      </c>
      <c r="G70" s="12" t="str">
        <f>IF(Raw_Data!AH73&lt;&gt;"",Raw_Data!AH73,IF(Raw_Data!K73&lt;&gt;"",Raw_Data!K73,""))</f>
        <v/>
      </c>
      <c r="H70" s="12" t="str">
        <f>IF(Raw_Data!AI73&lt;&gt;"",Raw_Data!AI73,IF(Raw_Data!L73&lt;&gt;"",Raw_Data!L73,""))</f>
        <v/>
      </c>
      <c r="I70" s="12" t="str">
        <f t="shared" si="9"/>
        <v/>
      </c>
      <c r="J70" s="12" t="str">
        <f>IF(Raw_Data!M73="","",Raw_Data!M73)</f>
        <v/>
      </c>
      <c r="K70" s="12">
        <f>IF(Raw_Data!AJ73&lt;&gt;"",Raw_Data!AJ73,Raw_Data!N73)</f>
        <v>0</v>
      </c>
      <c r="L70" s="12">
        <f t="shared" si="10"/>
        <v>1</v>
      </c>
      <c r="M70" s="12" t="str">
        <f>IF(Raw_Data!AK73="","",Raw_Data!AK73)</f>
        <v/>
      </c>
      <c r="N70" s="12" t="str">
        <f>IF(Raw_Data!T73="","",Raw_Data!T73)</f>
        <v/>
      </c>
      <c r="O70" s="12" t="str">
        <f>IF(Raw_Data!AB73&lt;&gt;"",Raw_Data!AB73,IF(N70="tres_insatisfait",1,IF(N70="insatisfait",2,IF(N70="neutre",3,IF(N70="satisfait",4,IF(N70="tres_satisfait",5,""))))))</f>
        <v/>
      </c>
      <c r="P70" s="12">
        <f>IF(Raw_Data!AL73&lt;&gt;"",Raw_Data!AL73,Raw_Data!R73)</f>
        <v>0</v>
      </c>
      <c r="Q70" s="12">
        <f t="shared" si="11"/>
        <v>0</v>
      </c>
      <c r="R70" s="12" t="str">
        <f>IF(Raw_Data!AM73="","",Raw_Data!AM73)</f>
        <v/>
      </c>
      <c r="S70" s="12" t="str">
        <f t="shared" si="12"/>
        <v/>
      </c>
      <c r="T70" s="12" t="str">
        <f>IF(Raw_Data!AN73="","",Raw_Data!AN73)</f>
        <v/>
      </c>
      <c r="U70" s="12" t="str">
        <f t="shared" si="13"/>
        <v/>
      </c>
      <c r="V70" s="12" t="str">
        <f>IF(Raw_Data!AP73="","",IF(Raw_Data!AP73="oui",1,0))</f>
        <v/>
      </c>
      <c r="W70" s="12" t="str">
        <f>IF(Raw_Data!AQ73="","",IF(Raw_Data!AQ73="oui",1,0))</f>
        <v/>
      </c>
      <c r="X70" s="12" t="str">
        <f>IF(Raw_Data!AR73="","",IF(Raw_Data!AR73="oui",1,0))</f>
        <v/>
      </c>
      <c r="Y70" s="12" t="str">
        <f>IF(Raw_Data!AS73="","",IF(Raw_Data!AS73="oui",1,0))</f>
        <v/>
      </c>
      <c r="Z70" s="12" t="str">
        <f>IF(Raw_Data!V73="","",IF(Raw_Data!V73="oui",1,0))</f>
        <v/>
      </c>
      <c r="AA70" s="12" t="str">
        <f>IF(Raw_Data!W73="","",IF(Raw_Data!W73="oui",1,0))</f>
        <v/>
      </c>
      <c r="AB70" s="12" t="str">
        <f>IF(Raw_Data!Q73="","",IF(Raw_Data!Q73="oui",1,0))</f>
        <v/>
      </c>
      <c r="AC70" s="12">
        <f>Raw_Data!AF73</f>
        <v>0</v>
      </c>
      <c r="AD70" s="12" t="str">
        <f t="shared" si="14"/>
        <v/>
      </c>
      <c r="AE70" s="12" t="str">
        <f t="shared" si="15"/>
        <v/>
      </c>
      <c r="AF70" s="12" t="str">
        <f t="shared" si="16"/>
        <v/>
      </c>
      <c r="AG70" s="12">
        <f t="shared" si="17"/>
        <v>0</v>
      </c>
    </row>
    <row r="71" spans="1:33" ht="15" customHeight="1" x14ac:dyDescent="0.25">
      <c r="A71" s="12" t="str">
        <f>IF(Raw_Data!B74="","",Raw_Data!B74)</f>
        <v/>
      </c>
      <c r="B71" s="12">
        <f>IF(Raw_Data!X74&lt;&gt;"",Raw_Data!X74,Raw_Data!C74)</f>
        <v>0</v>
      </c>
      <c r="C71" s="12" t="str">
        <f>IF(Raw_Data!G74="","",Raw_Data!G74)</f>
        <v/>
      </c>
      <c r="D71" s="12" t="str">
        <f>IF(Raw_Data!H74="","",Raw_Data!H74)</f>
        <v/>
      </c>
      <c r="E71" s="12" t="str">
        <f>IF(Raw_Data!I74="","",Raw_Data!I74)</f>
        <v/>
      </c>
      <c r="F71" s="12" t="str">
        <f>IF(Raw_Data!J74="","",Raw_Data!J74)</f>
        <v/>
      </c>
      <c r="G71" s="12" t="str">
        <f>IF(Raw_Data!AH74&lt;&gt;"",Raw_Data!AH74,IF(Raw_Data!K74&lt;&gt;"",Raw_Data!K74,""))</f>
        <v/>
      </c>
      <c r="H71" s="12" t="str">
        <f>IF(Raw_Data!AI74&lt;&gt;"",Raw_Data!AI74,IF(Raw_Data!L74&lt;&gt;"",Raw_Data!L74,""))</f>
        <v/>
      </c>
      <c r="I71" s="12" t="str">
        <f t="shared" si="9"/>
        <v/>
      </c>
      <c r="J71" s="12" t="str">
        <f>IF(Raw_Data!M74="","",Raw_Data!M74)</f>
        <v/>
      </c>
      <c r="K71" s="12">
        <f>IF(Raw_Data!AJ74&lt;&gt;"",Raw_Data!AJ74,Raw_Data!N74)</f>
        <v>0</v>
      </c>
      <c r="L71" s="12">
        <f t="shared" si="10"/>
        <v>1</v>
      </c>
      <c r="M71" s="12" t="str">
        <f>IF(Raw_Data!AK74="","",Raw_Data!AK74)</f>
        <v/>
      </c>
      <c r="N71" s="12" t="str">
        <f>IF(Raw_Data!T74="","",Raw_Data!T74)</f>
        <v/>
      </c>
      <c r="O71" s="12" t="str">
        <f>IF(Raw_Data!AB74&lt;&gt;"",Raw_Data!AB74,IF(N71="tres_insatisfait",1,IF(N71="insatisfait",2,IF(N71="neutre",3,IF(N71="satisfait",4,IF(N71="tres_satisfait",5,""))))))</f>
        <v/>
      </c>
      <c r="P71" s="12">
        <f>IF(Raw_Data!AL74&lt;&gt;"",Raw_Data!AL74,Raw_Data!R74)</f>
        <v>0</v>
      </c>
      <c r="Q71" s="12">
        <f t="shared" si="11"/>
        <v>0</v>
      </c>
      <c r="R71" s="12" t="str">
        <f>IF(Raw_Data!AM74="","",Raw_Data!AM74)</f>
        <v/>
      </c>
      <c r="S71" s="12" t="str">
        <f t="shared" si="12"/>
        <v/>
      </c>
      <c r="T71" s="12" t="str">
        <f>IF(Raw_Data!AN74="","",Raw_Data!AN74)</f>
        <v/>
      </c>
      <c r="U71" s="12" t="str">
        <f t="shared" si="13"/>
        <v/>
      </c>
      <c r="V71" s="12" t="str">
        <f>IF(Raw_Data!AP74="","",IF(Raw_Data!AP74="oui",1,0))</f>
        <v/>
      </c>
      <c r="W71" s="12" t="str">
        <f>IF(Raw_Data!AQ74="","",IF(Raw_Data!AQ74="oui",1,0))</f>
        <v/>
      </c>
      <c r="X71" s="12" t="str">
        <f>IF(Raw_Data!AR74="","",IF(Raw_Data!AR74="oui",1,0))</f>
        <v/>
      </c>
      <c r="Y71" s="12" t="str">
        <f>IF(Raw_Data!AS74="","",IF(Raw_Data!AS74="oui",1,0))</f>
        <v/>
      </c>
      <c r="Z71" s="12" t="str">
        <f>IF(Raw_Data!V74="","",IF(Raw_Data!V74="oui",1,0))</f>
        <v/>
      </c>
      <c r="AA71" s="12" t="str">
        <f>IF(Raw_Data!W74="","",IF(Raw_Data!W74="oui",1,0))</f>
        <v/>
      </c>
      <c r="AB71" s="12" t="str">
        <f>IF(Raw_Data!Q74="","",IF(Raw_Data!Q74="oui",1,0))</f>
        <v/>
      </c>
      <c r="AC71" s="12">
        <f>Raw_Data!AF74</f>
        <v>0</v>
      </c>
      <c r="AD71" s="12" t="str">
        <f t="shared" si="14"/>
        <v/>
      </c>
      <c r="AE71" s="12" t="str">
        <f t="shared" si="15"/>
        <v/>
      </c>
      <c r="AF71" s="12" t="str">
        <f t="shared" si="16"/>
        <v/>
      </c>
      <c r="AG71" s="12">
        <f t="shared" si="17"/>
        <v>0</v>
      </c>
    </row>
    <row r="72" spans="1:33" ht="15" customHeight="1" x14ac:dyDescent="0.25">
      <c r="A72" s="12" t="str">
        <f>IF(Raw_Data!B75="","",Raw_Data!B75)</f>
        <v/>
      </c>
      <c r="B72" s="12">
        <f>IF(Raw_Data!X75&lt;&gt;"",Raw_Data!X75,Raw_Data!C75)</f>
        <v>0</v>
      </c>
      <c r="C72" s="12" t="str">
        <f>IF(Raw_Data!G75="","",Raw_Data!G75)</f>
        <v/>
      </c>
      <c r="D72" s="12" t="str">
        <f>IF(Raw_Data!H75="","",Raw_Data!H75)</f>
        <v/>
      </c>
      <c r="E72" s="12" t="str">
        <f>IF(Raw_Data!I75="","",Raw_Data!I75)</f>
        <v/>
      </c>
      <c r="F72" s="12" t="str">
        <f>IF(Raw_Data!J75="","",Raw_Data!J75)</f>
        <v/>
      </c>
      <c r="G72" s="12" t="str">
        <f>IF(Raw_Data!AH75&lt;&gt;"",Raw_Data!AH75,IF(Raw_Data!K75&lt;&gt;"",Raw_Data!K75,""))</f>
        <v/>
      </c>
      <c r="H72" s="12" t="str">
        <f>IF(Raw_Data!AI75&lt;&gt;"",Raw_Data!AI75,IF(Raw_Data!L75&lt;&gt;"",Raw_Data!L75,""))</f>
        <v/>
      </c>
      <c r="I72" s="12" t="str">
        <f t="shared" si="9"/>
        <v/>
      </c>
      <c r="J72" s="12" t="str">
        <f>IF(Raw_Data!M75="","",Raw_Data!M75)</f>
        <v/>
      </c>
      <c r="K72" s="12">
        <f>IF(Raw_Data!AJ75&lt;&gt;"",Raw_Data!AJ75,Raw_Data!N75)</f>
        <v>0</v>
      </c>
      <c r="L72" s="12">
        <f t="shared" si="10"/>
        <v>1</v>
      </c>
      <c r="M72" s="12" t="str">
        <f>IF(Raw_Data!AK75="","",Raw_Data!AK75)</f>
        <v/>
      </c>
      <c r="N72" s="12" t="str">
        <f>IF(Raw_Data!T75="","",Raw_Data!T75)</f>
        <v/>
      </c>
      <c r="O72" s="12" t="str">
        <f>IF(Raw_Data!AB75&lt;&gt;"",Raw_Data!AB75,IF(N72="tres_insatisfait",1,IF(N72="insatisfait",2,IF(N72="neutre",3,IF(N72="satisfait",4,IF(N72="tres_satisfait",5,""))))))</f>
        <v/>
      </c>
      <c r="P72" s="12">
        <f>IF(Raw_Data!AL75&lt;&gt;"",Raw_Data!AL75,Raw_Data!R75)</f>
        <v>0</v>
      </c>
      <c r="Q72" s="12">
        <f t="shared" si="11"/>
        <v>0</v>
      </c>
      <c r="R72" s="12" t="str">
        <f>IF(Raw_Data!AM75="","",Raw_Data!AM75)</f>
        <v/>
      </c>
      <c r="S72" s="12" t="str">
        <f t="shared" si="12"/>
        <v/>
      </c>
      <c r="T72" s="12" t="str">
        <f>IF(Raw_Data!AN75="","",Raw_Data!AN75)</f>
        <v/>
      </c>
      <c r="U72" s="12" t="str">
        <f t="shared" si="13"/>
        <v/>
      </c>
      <c r="V72" s="12" t="str">
        <f>IF(Raw_Data!AP75="","",IF(Raw_Data!AP75="oui",1,0))</f>
        <v/>
      </c>
      <c r="W72" s="12" t="str">
        <f>IF(Raw_Data!AQ75="","",IF(Raw_Data!AQ75="oui",1,0))</f>
        <v/>
      </c>
      <c r="X72" s="12" t="str">
        <f>IF(Raw_Data!AR75="","",IF(Raw_Data!AR75="oui",1,0))</f>
        <v/>
      </c>
      <c r="Y72" s="12" t="str">
        <f>IF(Raw_Data!AS75="","",IF(Raw_Data!AS75="oui",1,0))</f>
        <v/>
      </c>
      <c r="Z72" s="12" t="str">
        <f>IF(Raw_Data!V75="","",IF(Raw_Data!V75="oui",1,0))</f>
        <v/>
      </c>
      <c r="AA72" s="12" t="str">
        <f>IF(Raw_Data!W75="","",IF(Raw_Data!W75="oui",1,0))</f>
        <v/>
      </c>
      <c r="AB72" s="12" t="str">
        <f>IF(Raw_Data!Q75="","",IF(Raw_Data!Q75="oui",1,0))</f>
        <v/>
      </c>
      <c r="AC72" s="12">
        <f>Raw_Data!AF75</f>
        <v>0</v>
      </c>
      <c r="AD72" s="12" t="str">
        <f t="shared" si="14"/>
        <v/>
      </c>
      <c r="AE72" s="12" t="str">
        <f t="shared" si="15"/>
        <v/>
      </c>
      <c r="AF72" s="12" t="str">
        <f t="shared" si="16"/>
        <v/>
      </c>
      <c r="AG72" s="12">
        <f t="shared" si="17"/>
        <v>0</v>
      </c>
    </row>
    <row r="73" spans="1:33" ht="15" customHeight="1" x14ac:dyDescent="0.25">
      <c r="A73" s="12" t="str">
        <f>IF(Raw_Data!B76="","",Raw_Data!B76)</f>
        <v/>
      </c>
      <c r="B73" s="12">
        <f>IF(Raw_Data!X76&lt;&gt;"",Raw_Data!X76,Raw_Data!C76)</f>
        <v>0</v>
      </c>
      <c r="C73" s="12" t="str">
        <f>IF(Raw_Data!G76="","",Raw_Data!G76)</f>
        <v/>
      </c>
      <c r="D73" s="12" t="str">
        <f>IF(Raw_Data!H76="","",Raw_Data!H76)</f>
        <v/>
      </c>
      <c r="E73" s="12" t="str">
        <f>IF(Raw_Data!I76="","",Raw_Data!I76)</f>
        <v/>
      </c>
      <c r="F73" s="12" t="str">
        <f>IF(Raw_Data!J76="","",Raw_Data!J76)</f>
        <v/>
      </c>
      <c r="G73" s="12" t="str">
        <f>IF(Raw_Data!AH76&lt;&gt;"",Raw_Data!AH76,IF(Raw_Data!K76&lt;&gt;"",Raw_Data!K76,""))</f>
        <v/>
      </c>
      <c r="H73" s="12" t="str">
        <f>IF(Raw_Data!AI76&lt;&gt;"",Raw_Data!AI76,IF(Raw_Data!L76&lt;&gt;"",Raw_Data!L76,""))</f>
        <v/>
      </c>
      <c r="I73" s="12" t="str">
        <f t="shared" si="9"/>
        <v/>
      </c>
      <c r="J73" s="12" t="str">
        <f>IF(Raw_Data!M76="","",Raw_Data!M76)</f>
        <v/>
      </c>
      <c r="K73" s="12">
        <f>IF(Raw_Data!AJ76&lt;&gt;"",Raw_Data!AJ76,Raw_Data!N76)</f>
        <v>0</v>
      </c>
      <c r="L73" s="12">
        <f t="shared" si="10"/>
        <v>1</v>
      </c>
      <c r="M73" s="12" t="str">
        <f>IF(Raw_Data!AK76="","",Raw_Data!AK76)</f>
        <v/>
      </c>
      <c r="N73" s="12" t="str">
        <f>IF(Raw_Data!T76="","",Raw_Data!T76)</f>
        <v/>
      </c>
      <c r="O73" s="12" t="str">
        <f>IF(Raw_Data!AB76&lt;&gt;"",Raw_Data!AB76,IF(N73="tres_insatisfait",1,IF(N73="insatisfait",2,IF(N73="neutre",3,IF(N73="satisfait",4,IF(N73="tres_satisfait",5,""))))))</f>
        <v/>
      </c>
      <c r="P73" s="12">
        <f>IF(Raw_Data!AL76&lt;&gt;"",Raw_Data!AL76,Raw_Data!R76)</f>
        <v>0</v>
      </c>
      <c r="Q73" s="12">
        <f t="shared" si="11"/>
        <v>0</v>
      </c>
      <c r="R73" s="12" t="str">
        <f>IF(Raw_Data!AM76="","",Raw_Data!AM76)</f>
        <v/>
      </c>
      <c r="S73" s="12" t="str">
        <f t="shared" si="12"/>
        <v/>
      </c>
      <c r="T73" s="12" t="str">
        <f>IF(Raw_Data!AN76="","",Raw_Data!AN76)</f>
        <v/>
      </c>
      <c r="U73" s="12" t="str">
        <f t="shared" si="13"/>
        <v/>
      </c>
      <c r="V73" s="12" t="str">
        <f>IF(Raw_Data!AP76="","",IF(Raw_Data!AP76="oui",1,0))</f>
        <v/>
      </c>
      <c r="W73" s="12" t="str">
        <f>IF(Raw_Data!AQ76="","",IF(Raw_Data!AQ76="oui",1,0))</f>
        <v/>
      </c>
      <c r="X73" s="12" t="str">
        <f>IF(Raw_Data!AR76="","",IF(Raw_Data!AR76="oui",1,0))</f>
        <v/>
      </c>
      <c r="Y73" s="12" t="str">
        <f>IF(Raw_Data!AS76="","",IF(Raw_Data!AS76="oui",1,0))</f>
        <v/>
      </c>
      <c r="Z73" s="12" t="str">
        <f>IF(Raw_Data!V76="","",IF(Raw_Data!V76="oui",1,0))</f>
        <v/>
      </c>
      <c r="AA73" s="12" t="str">
        <f>IF(Raw_Data!W76="","",IF(Raw_Data!W76="oui",1,0))</f>
        <v/>
      </c>
      <c r="AB73" s="12" t="str">
        <f>IF(Raw_Data!Q76="","",IF(Raw_Data!Q76="oui",1,0))</f>
        <v/>
      </c>
      <c r="AC73" s="12">
        <f>Raw_Data!AF76</f>
        <v>0</v>
      </c>
      <c r="AD73" s="12" t="str">
        <f t="shared" si="14"/>
        <v/>
      </c>
      <c r="AE73" s="12" t="str">
        <f t="shared" si="15"/>
        <v/>
      </c>
      <c r="AF73" s="12" t="str">
        <f t="shared" si="16"/>
        <v/>
      </c>
      <c r="AG73" s="12">
        <f t="shared" si="17"/>
        <v>0</v>
      </c>
    </row>
    <row r="74" spans="1:33" ht="15" customHeight="1" x14ac:dyDescent="0.25">
      <c r="A74" s="12" t="str">
        <f>IF(Raw_Data!B77="","",Raw_Data!B77)</f>
        <v/>
      </c>
      <c r="B74" s="12">
        <f>IF(Raw_Data!X77&lt;&gt;"",Raw_Data!X77,Raw_Data!C77)</f>
        <v>0</v>
      </c>
      <c r="C74" s="12" t="str">
        <f>IF(Raw_Data!G77="","",Raw_Data!G77)</f>
        <v/>
      </c>
      <c r="D74" s="12" t="str">
        <f>IF(Raw_Data!H77="","",Raw_Data!H77)</f>
        <v/>
      </c>
      <c r="E74" s="12" t="str">
        <f>IF(Raw_Data!I77="","",Raw_Data!I77)</f>
        <v/>
      </c>
      <c r="F74" s="12" t="str">
        <f>IF(Raw_Data!J77="","",Raw_Data!J77)</f>
        <v/>
      </c>
      <c r="G74" s="12" t="str">
        <f>IF(Raw_Data!AH77&lt;&gt;"",Raw_Data!AH77,IF(Raw_Data!K77&lt;&gt;"",Raw_Data!K77,""))</f>
        <v/>
      </c>
      <c r="H74" s="12" t="str">
        <f>IF(Raw_Data!AI77&lt;&gt;"",Raw_Data!AI77,IF(Raw_Data!L77&lt;&gt;"",Raw_Data!L77,""))</f>
        <v/>
      </c>
      <c r="I74" s="12" t="str">
        <f t="shared" si="9"/>
        <v/>
      </c>
      <c r="J74" s="12" t="str">
        <f>IF(Raw_Data!M77="","",Raw_Data!M77)</f>
        <v/>
      </c>
      <c r="K74" s="12">
        <f>IF(Raw_Data!AJ77&lt;&gt;"",Raw_Data!AJ77,Raw_Data!N77)</f>
        <v>0</v>
      </c>
      <c r="L74" s="12">
        <f t="shared" si="10"/>
        <v>1</v>
      </c>
      <c r="M74" s="12" t="str">
        <f>IF(Raw_Data!AK77="","",Raw_Data!AK77)</f>
        <v/>
      </c>
      <c r="N74" s="12" t="str">
        <f>IF(Raw_Data!T77="","",Raw_Data!T77)</f>
        <v/>
      </c>
      <c r="O74" s="12" t="str">
        <f>IF(Raw_Data!AB77&lt;&gt;"",Raw_Data!AB77,IF(N74="tres_insatisfait",1,IF(N74="insatisfait",2,IF(N74="neutre",3,IF(N74="satisfait",4,IF(N74="tres_satisfait",5,""))))))</f>
        <v/>
      </c>
      <c r="P74" s="12">
        <f>IF(Raw_Data!AL77&lt;&gt;"",Raw_Data!AL77,Raw_Data!R77)</f>
        <v>0</v>
      </c>
      <c r="Q74" s="12">
        <f t="shared" si="11"/>
        <v>0</v>
      </c>
      <c r="R74" s="12" t="str">
        <f>IF(Raw_Data!AM77="","",Raw_Data!AM77)</f>
        <v/>
      </c>
      <c r="S74" s="12" t="str">
        <f t="shared" si="12"/>
        <v/>
      </c>
      <c r="T74" s="12" t="str">
        <f>IF(Raw_Data!AN77="","",Raw_Data!AN77)</f>
        <v/>
      </c>
      <c r="U74" s="12" t="str">
        <f t="shared" si="13"/>
        <v/>
      </c>
      <c r="V74" s="12" t="str">
        <f>IF(Raw_Data!AP77="","",IF(Raw_Data!AP77="oui",1,0))</f>
        <v/>
      </c>
      <c r="W74" s="12" t="str">
        <f>IF(Raw_Data!AQ77="","",IF(Raw_Data!AQ77="oui",1,0))</f>
        <v/>
      </c>
      <c r="X74" s="12" t="str">
        <f>IF(Raw_Data!AR77="","",IF(Raw_Data!AR77="oui",1,0))</f>
        <v/>
      </c>
      <c r="Y74" s="12" t="str">
        <f>IF(Raw_Data!AS77="","",IF(Raw_Data!AS77="oui",1,0))</f>
        <v/>
      </c>
      <c r="Z74" s="12" t="str">
        <f>IF(Raw_Data!V77="","",IF(Raw_Data!V77="oui",1,0))</f>
        <v/>
      </c>
      <c r="AA74" s="12" t="str">
        <f>IF(Raw_Data!W77="","",IF(Raw_Data!W77="oui",1,0))</f>
        <v/>
      </c>
      <c r="AB74" s="12" t="str">
        <f>IF(Raw_Data!Q77="","",IF(Raw_Data!Q77="oui",1,0))</f>
        <v/>
      </c>
      <c r="AC74" s="12">
        <f>Raw_Data!AF77</f>
        <v>0</v>
      </c>
      <c r="AD74" s="12" t="str">
        <f t="shared" si="14"/>
        <v/>
      </c>
      <c r="AE74" s="12" t="str">
        <f t="shared" si="15"/>
        <v/>
      </c>
      <c r="AF74" s="12" t="str">
        <f t="shared" si="16"/>
        <v/>
      </c>
      <c r="AG74" s="12">
        <f t="shared" si="17"/>
        <v>0</v>
      </c>
    </row>
    <row r="75" spans="1:33" ht="15" customHeight="1" x14ac:dyDescent="0.25">
      <c r="A75" s="12" t="str">
        <f>IF(Raw_Data!B78="","",Raw_Data!B78)</f>
        <v/>
      </c>
      <c r="B75" s="12">
        <f>IF(Raw_Data!X78&lt;&gt;"",Raw_Data!X78,Raw_Data!C78)</f>
        <v>0</v>
      </c>
      <c r="C75" s="12" t="str">
        <f>IF(Raw_Data!G78="","",Raw_Data!G78)</f>
        <v/>
      </c>
      <c r="D75" s="12" t="str">
        <f>IF(Raw_Data!H78="","",Raw_Data!H78)</f>
        <v/>
      </c>
      <c r="E75" s="12" t="str">
        <f>IF(Raw_Data!I78="","",Raw_Data!I78)</f>
        <v/>
      </c>
      <c r="F75" s="12" t="str">
        <f>IF(Raw_Data!J78="","",Raw_Data!J78)</f>
        <v/>
      </c>
      <c r="G75" s="12" t="str">
        <f>IF(Raw_Data!AH78&lt;&gt;"",Raw_Data!AH78,IF(Raw_Data!K78&lt;&gt;"",Raw_Data!K78,""))</f>
        <v/>
      </c>
      <c r="H75" s="12" t="str">
        <f>IF(Raw_Data!AI78&lt;&gt;"",Raw_Data!AI78,IF(Raw_Data!L78&lt;&gt;"",Raw_Data!L78,""))</f>
        <v/>
      </c>
      <c r="I75" s="12" t="str">
        <f t="shared" si="9"/>
        <v/>
      </c>
      <c r="J75" s="12" t="str">
        <f>IF(Raw_Data!M78="","",Raw_Data!M78)</f>
        <v/>
      </c>
      <c r="K75" s="12">
        <f>IF(Raw_Data!AJ78&lt;&gt;"",Raw_Data!AJ78,Raw_Data!N78)</f>
        <v>0</v>
      </c>
      <c r="L75" s="12">
        <f t="shared" si="10"/>
        <v>1</v>
      </c>
      <c r="M75" s="12" t="str">
        <f>IF(Raw_Data!AK78="","",Raw_Data!AK78)</f>
        <v/>
      </c>
      <c r="N75" s="12" t="str">
        <f>IF(Raw_Data!T78="","",Raw_Data!T78)</f>
        <v/>
      </c>
      <c r="O75" s="12" t="str">
        <f>IF(Raw_Data!AB78&lt;&gt;"",Raw_Data!AB78,IF(N75="tres_insatisfait",1,IF(N75="insatisfait",2,IF(N75="neutre",3,IF(N75="satisfait",4,IF(N75="tres_satisfait",5,""))))))</f>
        <v/>
      </c>
      <c r="P75" s="12">
        <f>IF(Raw_Data!AL78&lt;&gt;"",Raw_Data!AL78,Raw_Data!R78)</f>
        <v>0</v>
      </c>
      <c r="Q75" s="12">
        <f t="shared" si="11"/>
        <v>0</v>
      </c>
      <c r="R75" s="12" t="str">
        <f>IF(Raw_Data!AM78="","",Raw_Data!AM78)</f>
        <v/>
      </c>
      <c r="S75" s="12" t="str">
        <f t="shared" si="12"/>
        <v/>
      </c>
      <c r="T75" s="12" t="str">
        <f>IF(Raw_Data!AN78="","",Raw_Data!AN78)</f>
        <v/>
      </c>
      <c r="U75" s="12" t="str">
        <f t="shared" si="13"/>
        <v/>
      </c>
      <c r="V75" s="12" t="str">
        <f>IF(Raw_Data!AP78="","",IF(Raw_Data!AP78="oui",1,0))</f>
        <v/>
      </c>
      <c r="W75" s="12" t="str">
        <f>IF(Raw_Data!AQ78="","",IF(Raw_Data!AQ78="oui",1,0))</f>
        <v/>
      </c>
      <c r="X75" s="12" t="str">
        <f>IF(Raw_Data!AR78="","",IF(Raw_Data!AR78="oui",1,0))</f>
        <v/>
      </c>
      <c r="Y75" s="12" t="str">
        <f>IF(Raw_Data!AS78="","",IF(Raw_Data!AS78="oui",1,0))</f>
        <v/>
      </c>
      <c r="Z75" s="12" t="str">
        <f>IF(Raw_Data!V78="","",IF(Raw_Data!V78="oui",1,0))</f>
        <v/>
      </c>
      <c r="AA75" s="12" t="str">
        <f>IF(Raw_Data!W78="","",IF(Raw_Data!W78="oui",1,0))</f>
        <v/>
      </c>
      <c r="AB75" s="12" t="str">
        <f>IF(Raw_Data!Q78="","",IF(Raw_Data!Q78="oui",1,0))</f>
        <v/>
      </c>
      <c r="AC75" s="12">
        <f>Raw_Data!AF78</f>
        <v>0</v>
      </c>
      <c r="AD75" s="12" t="str">
        <f t="shared" si="14"/>
        <v/>
      </c>
      <c r="AE75" s="12" t="str">
        <f t="shared" si="15"/>
        <v/>
      </c>
      <c r="AF75" s="12" t="str">
        <f t="shared" si="16"/>
        <v/>
      </c>
      <c r="AG75" s="12">
        <f t="shared" si="17"/>
        <v>0</v>
      </c>
    </row>
    <row r="76" spans="1:33" ht="15" customHeight="1" x14ac:dyDescent="0.25">
      <c r="A76" s="12" t="str">
        <f>IF(Raw_Data!B79="","",Raw_Data!B79)</f>
        <v/>
      </c>
      <c r="B76" s="12">
        <f>IF(Raw_Data!X79&lt;&gt;"",Raw_Data!X79,Raw_Data!C79)</f>
        <v>0</v>
      </c>
      <c r="C76" s="12" t="str">
        <f>IF(Raw_Data!G79="","",Raw_Data!G79)</f>
        <v/>
      </c>
      <c r="D76" s="12" t="str">
        <f>IF(Raw_Data!H79="","",Raw_Data!H79)</f>
        <v/>
      </c>
      <c r="E76" s="12" t="str">
        <f>IF(Raw_Data!I79="","",Raw_Data!I79)</f>
        <v/>
      </c>
      <c r="F76" s="12" t="str">
        <f>IF(Raw_Data!J79="","",Raw_Data!J79)</f>
        <v/>
      </c>
      <c r="G76" s="12" t="str">
        <f>IF(Raw_Data!AH79&lt;&gt;"",Raw_Data!AH79,IF(Raw_Data!K79&lt;&gt;"",Raw_Data!K79,""))</f>
        <v/>
      </c>
      <c r="H76" s="12" t="str">
        <f>IF(Raw_Data!AI79&lt;&gt;"",Raw_Data!AI79,IF(Raw_Data!L79&lt;&gt;"",Raw_Data!L79,""))</f>
        <v/>
      </c>
      <c r="I76" s="12" t="str">
        <f t="shared" si="9"/>
        <v/>
      </c>
      <c r="J76" s="12" t="str">
        <f>IF(Raw_Data!M79="","",Raw_Data!M79)</f>
        <v/>
      </c>
      <c r="K76" s="12">
        <f>IF(Raw_Data!AJ79&lt;&gt;"",Raw_Data!AJ79,Raw_Data!N79)</f>
        <v>0</v>
      </c>
      <c r="L76" s="12">
        <f t="shared" si="10"/>
        <v>1</v>
      </c>
      <c r="M76" s="12" t="str">
        <f>IF(Raw_Data!AK79="","",Raw_Data!AK79)</f>
        <v/>
      </c>
      <c r="N76" s="12" t="str">
        <f>IF(Raw_Data!T79="","",Raw_Data!T79)</f>
        <v/>
      </c>
      <c r="O76" s="12" t="str">
        <f>IF(Raw_Data!AB79&lt;&gt;"",Raw_Data!AB79,IF(N76="tres_insatisfait",1,IF(N76="insatisfait",2,IF(N76="neutre",3,IF(N76="satisfait",4,IF(N76="tres_satisfait",5,""))))))</f>
        <v/>
      </c>
      <c r="P76" s="12">
        <f>IF(Raw_Data!AL79&lt;&gt;"",Raw_Data!AL79,Raw_Data!R79)</f>
        <v>0</v>
      </c>
      <c r="Q76" s="12">
        <f t="shared" si="11"/>
        <v>0</v>
      </c>
      <c r="R76" s="12" t="str">
        <f>IF(Raw_Data!AM79="","",Raw_Data!AM79)</f>
        <v/>
      </c>
      <c r="S76" s="12" t="str">
        <f t="shared" si="12"/>
        <v/>
      </c>
      <c r="T76" s="12" t="str">
        <f>IF(Raw_Data!AN79="","",Raw_Data!AN79)</f>
        <v/>
      </c>
      <c r="U76" s="12" t="str">
        <f t="shared" si="13"/>
        <v/>
      </c>
      <c r="V76" s="12" t="str">
        <f>IF(Raw_Data!AP79="","",IF(Raw_Data!AP79="oui",1,0))</f>
        <v/>
      </c>
      <c r="W76" s="12" t="str">
        <f>IF(Raw_Data!AQ79="","",IF(Raw_Data!AQ79="oui",1,0))</f>
        <v/>
      </c>
      <c r="X76" s="12" t="str">
        <f>IF(Raw_Data!AR79="","",IF(Raw_Data!AR79="oui",1,0))</f>
        <v/>
      </c>
      <c r="Y76" s="12" t="str">
        <f>IF(Raw_Data!AS79="","",IF(Raw_Data!AS79="oui",1,0))</f>
        <v/>
      </c>
      <c r="Z76" s="12" t="str">
        <f>IF(Raw_Data!V79="","",IF(Raw_Data!V79="oui",1,0))</f>
        <v/>
      </c>
      <c r="AA76" s="12" t="str">
        <f>IF(Raw_Data!W79="","",IF(Raw_Data!W79="oui",1,0))</f>
        <v/>
      </c>
      <c r="AB76" s="12" t="str">
        <f>IF(Raw_Data!Q79="","",IF(Raw_Data!Q79="oui",1,0))</f>
        <v/>
      </c>
      <c r="AC76" s="12">
        <f>Raw_Data!AF79</f>
        <v>0</v>
      </c>
      <c r="AD76" s="12" t="str">
        <f t="shared" si="14"/>
        <v/>
      </c>
      <c r="AE76" s="12" t="str">
        <f t="shared" si="15"/>
        <v/>
      </c>
      <c r="AF76" s="12" t="str">
        <f t="shared" si="16"/>
        <v/>
      </c>
      <c r="AG76" s="12">
        <f t="shared" si="17"/>
        <v>0</v>
      </c>
    </row>
    <row r="77" spans="1:33" ht="15" customHeight="1" x14ac:dyDescent="0.25">
      <c r="A77" s="12" t="str">
        <f>IF(Raw_Data!B80="","",Raw_Data!B80)</f>
        <v/>
      </c>
      <c r="B77" s="12">
        <f>IF(Raw_Data!X80&lt;&gt;"",Raw_Data!X80,Raw_Data!C80)</f>
        <v>0</v>
      </c>
      <c r="C77" s="12" t="str">
        <f>IF(Raw_Data!G80="","",Raw_Data!G80)</f>
        <v/>
      </c>
      <c r="D77" s="12" t="str">
        <f>IF(Raw_Data!H80="","",Raw_Data!H80)</f>
        <v/>
      </c>
      <c r="E77" s="12" t="str">
        <f>IF(Raw_Data!I80="","",Raw_Data!I80)</f>
        <v/>
      </c>
      <c r="F77" s="12" t="str">
        <f>IF(Raw_Data!J80="","",Raw_Data!J80)</f>
        <v/>
      </c>
      <c r="G77" s="12" t="str">
        <f>IF(Raw_Data!AH80&lt;&gt;"",Raw_Data!AH80,IF(Raw_Data!K80&lt;&gt;"",Raw_Data!K80,""))</f>
        <v/>
      </c>
      <c r="H77" s="12" t="str">
        <f>IF(Raw_Data!AI80&lt;&gt;"",Raw_Data!AI80,IF(Raw_Data!L80&lt;&gt;"",Raw_Data!L80,""))</f>
        <v/>
      </c>
      <c r="I77" s="12" t="str">
        <f t="shared" si="9"/>
        <v/>
      </c>
      <c r="J77" s="12" t="str">
        <f>IF(Raw_Data!M80="","",Raw_Data!M80)</f>
        <v/>
      </c>
      <c r="K77" s="12">
        <f>IF(Raw_Data!AJ80&lt;&gt;"",Raw_Data!AJ80,Raw_Data!N80)</f>
        <v>0</v>
      </c>
      <c r="L77" s="12">
        <f t="shared" si="10"/>
        <v>1</v>
      </c>
      <c r="M77" s="12" t="str">
        <f>IF(Raw_Data!AK80="","",Raw_Data!AK80)</f>
        <v/>
      </c>
      <c r="N77" s="12" t="str">
        <f>IF(Raw_Data!T80="","",Raw_Data!T80)</f>
        <v/>
      </c>
      <c r="O77" s="12" t="str">
        <f>IF(Raw_Data!AB80&lt;&gt;"",Raw_Data!AB80,IF(N77="tres_insatisfait",1,IF(N77="insatisfait",2,IF(N77="neutre",3,IF(N77="satisfait",4,IF(N77="tres_satisfait",5,""))))))</f>
        <v/>
      </c>
      <c r="P77" s="12">
        <f>IF(Raw_Data!AL80&lt;&gt;"",Raw_Data!AL80,Raw_Data!R80)</f>
        <v>0</v>
      </c>
      <c r="Q77" s="12">
        <f t="shared" si="11"/>
        <v>0</v>
      </c>
      <c r="R77" s="12" t="str">
        <f>IF(Raw_Data!AM80="","",Raw_Data!AM80)</f>
        <v/>
      </c>
      <c r="S77" s="12" t="str">
        <f t="shared" si="12"/>
        <v/>
      </c>
      <c r="T77" s="12" t="str">
        <f>IF(Raw_Data!AN80="","",Raw_Data!AN80)</f>
        <v/>
      </c>
      <c r="U77" s="12" t="str">
        <f t="shared" si="13"/>
        <v/>
      </c>
      <c r="V77" s="12" t="str">
        <f>IF(Raw_Data!AP80="","",IF(Raw_Data!AP80="oui",1,0))</f>
        <v/>
      </c>
      <c r="W77" s="12" t="str">
        <f>IF(Raw_Data!AQ80="","",IF(Raw_Data!AQ80="oui",1,0))</f>
        <v/>
      </c>
      <c r="X77" s="12" t="str">
        <f>IF(Raw_Data!AR80="","",IF(Raw_Data!AR80="oui",1,0))</f>
        <v/>
      </c>
      <c r="Y77" s="12" t="str">
        <f>IF(Raw_Data!AS80="","",IF(Raw_Data!AS80="oui",1,0))</f>
        <v/>
      </c>
      <c r="Z77" s="12" t="str">
        <f>IF(Raw_Data!V80="","",IF(Raw_Data!V80="oui",1,0))</f>
        <v/>
      </c>
      <c r="AA77" s="12" t="str">
        <f>IF(Raw_Data!W80="","",IF(Raw_Data!W80="oui",1,0))</f>
        <v/>
      </c>
      <c r="AB77" s="12" t="str">
        <f>IF(Raw_Data!Q80="","",IF(Raw_Data!Q80="oui",1,0))</f>
        <v/>
      </c>
      <c r="AC77" s="12">
        <f>Raw_Data!AF80</f>
        <v>0</v>
      </c>
      <c r="AD77" s="12" t="str">
        <f t="shared" si="14"/>
        <v/>
      </c>
      <c r="AE77" s="12" t="str">
        <f t="shared" si="15"/>
        <v/>
      </c>
      <c r="AF77" s="12" t="str">
        <f t="shared" si="16"/>
        <v/>
      </c>
      <c r="AG77" s="12">
        <f t="shared" si="17"/>
        <v>0</v>
      </c>
    </row>
    <row r="78" spans="1:33" ht="15" customHeight="1" x14ac:dyDescent="0.25">
      <c r="A78" s="12" t="str">
        <f>IF(Raw_Data!B81="","",Raw_Data!B81)</f>
        <v/>
      </c>
      <c r="B78" s="12">
        <f>IF(Raw_Data!X81&lt;&gt;"",Raw_Data!X81,Raw_Data!C81)</f>
        <v>0</v>
      </c>
      <c r="C78" s="12" t="str">
        <f>IF(Raw_Data!G81="","",Raw_Data!G81)</f>
        <v/>
      </c>
      <c r="D78" s="12" t="str">
        <f>IF(Raw_Data!H81="","",Raw_Data!H81)</f>
        <v/>
      </c>
      <c r="E78" s="12" t="str">
        <f>IF(Raw_Data!I81="","",Raw_Data!I81)</f>
        <v/>
      </c>
      <c r="F78" s="12" t="str">
        <f>IF(Raw_Data!J81="","",Raw_Data!J81)</f>
        <v/>
      </c>
      <c r="G78" s="12" t="str">
        <f>IF(Raw_Data!AH81&lt;&gt;"",Raw_Data!AH81,IF(Raw_Data!K81&lt;&gt;"",Raw_Data!K81,""))</f>
        <v/>
      </c>
      <c r="H78" s="12" t="str">
        <f>IF(Raw_Data!AI81&lt;&gt;"",Raw_Data!AI81,IF(Raw_Data!L81&lt;&gt;"",Raw_Data!L81,""))</f>
        <v/>
      </c>
      <c r="I78" s="12" t="str">
        <f t="shared" si="9"/>
        <v/>
      </c>
      <c r="J78" s="12" t="str">
        <f>IF(Raw_Data!M81="","",Raw_Data!M81)</f>
        <v/>
      </c>
      <c r="K78" s="12">
        <f>IF(Raw_Data!AJ81&lt;&gt;"",Raw_Data!AJ81,Raw_Data!N81)</f>
        <v>0</v>
      </c>
      <c r="L78" s="12">
        <f t="shared" si="10"/>
        <v>1</v>
      </c>
      <c r="M78" s="12" t="str">
        <f>IF(Raw_Data!AK81="","",Raw_Data!AK81)</f>
        <v/>
      </c>
      <c r="N78" s="12" t="str">
        <f>IF(Raw_Data!T81="","",Raw_Data!T81)</f>
        <v/>
      </c>
      <c r="O78" s="12" t="str">
        <f>IF(Raw_Data!AB81&lt;&gt;"",Raw_Data!AB81,IF(N78="tres_insatisfait",1,IF(N78="insatisfait",2,IF(N78="neutre",3,IF(N78="satisfait",4,IF(N78="tres_satisfait",5,""))))))</f>
        <v/>
      </c>
      <c r="P78" s="12">
        <f>IF(Raw_Data!AL81&lt;&gt;"",Raw_Data!AL81,Raw_Data!R81)</f>
        <v>0</v>
      </c>
      <c r="Q78" s="12">
        <f t="shared" si="11"/>
        <v>0</v>
      </c>
      <c r="R78" s="12" t="str">
        <f>IF(Raw_Data!AM81="","",Raw_Data!AM81)</f>
        <v/>
      </c>
      <c r="S78" s="12" t="str">
        <f t="shared" si="12"/>
        <v/>
      </c>
      <c r="T78" s="12" t="str">
        <f>IF(Raw_Data!AN81="","",Raw_Data!AN81)</f>
        <v/>
      </c>
      <c r="U78" s="12" t="str">
        <f t="shared" si="13"/>
        <v/>
      </c>
      <c r="V78" s="12" t="str">
        <f>IF(Raw_Data!AP81="","",IF(Raw_Data!AP81="oui",1,0))</f>
        <v/>
      </c>
      <c r="W78" s="12" t="str">
        <f>IF(Raw_Data!AQ81="","",IF(Raw_Data!AQ81="oui",1,0))</f>
        <v/>
      </c>
      <c r="X78" s="12" t="str">
        <f>IF(Raw_Data!AR81="","",IF(Raw_Data!AR81="oui",1,0))</f>
        <v/>
      </c>
      <c r="Y78" s="12" t="str">
        <f>IF(Raw_Data!AS81="","",IF(Raw_Data!AS81="oui",1,0))</f>
        <v/>
      </c>
      <c r="Z78" s="12" t="str">
        <f>IF(Raw_Data!V81="","",IF(Raw_Data!V81="oui",1,0))</f>
        <v/>
      </c>
      <c r="AA78" s="12" t="str">
        <f>IF(Raw_Data!W81="","",IF(Raw_Data!W81="oui",1,0))</f>
        <v/>
      </c>
      <c r="AB78" s="12" t="str">
        <f>IF(Raw_Data!Q81="","",IF(Raw_Data!Q81="oui",1,0))</f>
        <v/>
      </c>
      <c r="AC78" s="12">
        <f>Raw_Data!AF81</f>
        <v>0</v>
      </c>
      <c r="AD78" s="12" t="str">
        <f t="shared" si="14"/>
        <v/>
      </c>
      <c r="AE78" s="12" t="str">
        <f t="shared" si="15"/>
        <v/>
      </c>
      <c r="AF78" s="12" t="str">
        <f t="shared" si="16"/>
        <v/>
      </c>
      <c r="AG78" s="12">
        <f t="shared" si="17"/>
        <v>0</v>
      </c>
    </row>
    <row r="79" spans="1:33" ht="15" customHeight="1" x14ac:dyDescent="0.25">
      <c r="A79" s="12" t="str">
        <f>IF(Raw_Data!B82="","",Raw_Data!B82)</f>
        <v/>
      </c>
      <c r="B79" s="12">
        <f>IF(Raw_Data!X82&lt;&gt;"",Raw_Data!X82,Raw_Data!C82)</f>
        <v>0</v>
      </c>
      <c r="C79" s="12" t="str">
        <f>IF(Raw_Data!G82="","",Raw_Data!G82)</f>
        <v/>
      </c>
      <c r="D79" s="12" t="str">
        <f>IF(Raw_Data!H82="","",Raw_Data!H82)</f>
        <v/>
      </c>
      <c r="E79" s="12" t="str">
        <f>IF(Raw_Data!I82="","",Raw_Data!I82)</f>
        <v/>
      </c>
      <c r="F79" s="12" t="str">
        <f>IF(Raw_Data!J82="","",Raw_Data!J82)</f>
        <v/>
      </c>
      <c r="G79" s="12" t="str">
        <f>IF(Raw_Data!AH82&lt;&gt;"",Raw_Data!AH82,IF(Raw_Data!K82&lt;&gt;"",Raw_Data!K82,""))</f>
        <v/>
      </c>
      <c r="H79" s="12" t="str">
        <f>IF(Raw_Data!AI82&lt;&gt;"",Raw_Data!AI82,IF(Raw_Data!L82&lt;&gt;"",Raw_Data!L82,""))</f>
        <v/>
      </c>
      <c r="I79" s="12" t="str">
        <f t="shared" si="9"/>
        <v/>
      </c>
      <c r="J79" s="12" t="str">
        <f>IF(Raw_Data!M82="","",Raw_Data!M82)</f>
        <v/>
      </c>
      <c r="K79" s="12">
        <f>IF(Raw_Data!AJ82&lt;&gt;"",Raw_Data!AJ82,Raw_Data!N82)</f>
        <v>0</v>
      </c>
      <c r="L79" s="12">
        <f t="shared" si="10"/>
        <v>1</v>
      </c>
      <c r="M79" s="12" t="str">
        <f>IF(Raw_Data!AK82="","",Raw_Data!AK82)</f>
        <v/>
      </c>
      <c r="N79" s="12" t="str">
        <f>IF(Raw_Data!T82="","",Raw_Data!T82)</f>
        <v/>
      </c>
      <c r="O79" s="12" t="str">
        <f>IF(Raw_Data!AB82&lt;&gt;"",Raw_Data!AB82,IF(N79="tres_insatisfait",1,IF(N79="insatisfait",2,IF(N79="neutre",3,IF(N79="satisfait",4,IF(N79="tres_satisfait",5,""))))))</f>
        <v/>
      </c>
      <c r="P79" s="12">
        <f>IF(Raw_Data!AL82&lt;&gt;"",Raw_Data!AL82,Raw_Data!R82)</f>
        <v>0</v>
      </c>
      <c r="Q79" s="12">
        <f t="shared" si="11"/>
        <v>0</v>
      </c>
      <c r="R79" s="12" t="str">
        <f>IF(Raw_Data!AM82="","",Raw_Data!AM82)</f>
        <v/>
      </c>
      <c r="S79" s="12" t="str">
        <f t="shared" si="12"/>
        <v/>
      </c>
      <c r="T79" s="12" t="str">
        <f>IF(Raw_Data!AN82="","",Raw_Data!AN82)</f>
        <v/>
      </c>
      <c r="U79" s="12" t="str">
        <f t="shared" si="13"/>
        <v/>
      </c>
      <c r="V79" s="12" t="str">
        <f>IF(Raw_Data!AP82="","",IF(Raw_Data!AP82="oui",1,0))</f>
        <v/>
      </c>
      <c r="W79" s="12" t="str">
        <f>IF(Raw_Data!AQ82="","",IF(Raw_Data!AQ82="oui",1,0))</f>
        <v/>
      </c>
      <c r="X79" s="12" t="str">
        <f>IF(Raw_Data!AR82="","",IF(Raw_Data!AR82="oui",1,0))</f>
        <v/>
      </c>
      <c r="Y79" s="12" t="str">
        <f>IF(Raw_Data!AS82="","",IF(Raw_Data!AS82="oui",1,0))</f>
        <v/>
      </c>
      <c r="Z79" s="12" t="str">
        <f>IF(Raw_Data!V82="","",IF(Raw_Data!V82="oui",1,0))</f>
        <v/>
      </c>
      <c r="AA79" s="12" t="str">
        <f>IF(Raw_Data!W82="","",IF(Raw_Data!W82="oui",1,0))</f>
        <v/>
      </c>
      <c r="AB79" s="12" t="str">
        <f>IF(Raw_Data!Q82="","",IF(Raw_Data!Q82="oui",1,0))</f>
        <v/>
      </c>
      <c r="AC79" s="12">
        <f>Raw_Data!AF82</f>
        <v>0</v>
      </c>
      <c r="AD79" s="12" t="str">
        <f t="shared" si="14"/>
        <v/>
      </c>
      <c r="AE79" s="12" t="str">
        <f t="shared" si="15"/>
        <v/>
      </c>
      <c r="AF79" s="12" t="str">
        <f t="shared" si="16"/>
        <v/>
      </c>
      <c r="AG79" s="12">
        <f t="shared" si="17"/>
        <v>0</v>
      </c>
    </row>
    <row r="80" spans="1:33" ht="15" customHeight="1" x14ac:dyDescent="0.25">
      <c r="A80" s="12" t="str">
        <f>IF(Raw_Data!B83="","",Raw_Data!B83)</f>
        <v/>
      </c>
      <c r="B80" s="12">
        <f>IF(Raw_Data!X83&lt;&gt;"",Raw_Data!X83,Raw_Data!C83)</f>
        <v>0</v>
      </c>
      <c r="C80" s="12" t="str">
        <f>IF(Raw_Data!G83="","",Raw_Data!G83)</f>
        <v/>
      </c>
      <c r="D80" s="12" t="str">
        <f>IF(Raw_Data!H83="","",Raw_Data!H83)</f>
        <v/>
      </c>
      <c r="E80" s="12" t="str">
        <f>IF(Raw_Data!I83="","",Raw_Data!I83)</f>
        <v/>
      </c>
      <c r="F80" s="12" t="str">
        <f>IF(Raw_Data!J83="","",Raw_Data!J83)</f>
        <v/>
      </c>
      <c r="G80" s="12" t="str">
        <f>IF(Raw_Data!AH83&lt;&gt;"",Raw_Data!AH83,IF(Raw_Data!K83&lt;&gt;"",Raw_Data!K83,""))</f>
        <v/>
      </c>
      <c r="H80" s="12" t="str">
        <f>IF(Raw_Data!AI83&lt;&gt;"",Raw_Data!AI83,IF(Raw_Data!L83&lt;&gt;"",Raw_Data!L83,""))</f>
        <v/>
      </c>
      <c r="I80" s="12" t="str">
        <f t="shared" si="9"/>
        <v/>
      </c>
      <c r="J80" s="12" t="str">
        <f>IF(Raw_Data!M83="","",Raw_Data!M83)</f>
        <v/>
      </c>
      <c r="K80" s="12">
        <f>IF(Raw_Data!AJ83&lt;&gt;"",Raw_Data!AJ83,Raw_Data!N83)</f>
        <v>0</v>
      </c>
      <c r="L80" s="12">
        <f t="shared" si="10"/>
        <v>1</v>
      </c>
      <c r="M80" s="12" t="str">
        <f>IF(Raw_Data!AK83="","",Raw_Data!AK83)</f>
        <v/>
      </c>
      <c r="N80" s="12" t="str">
        <f>IF(Raw_Data!T83="","",Raw_Data!T83)</f>
        <v/>
      </c>
      <c r="O80" s="12" t="str">
        <f>IF(Raw_Data!AB83&lt;&gt;"",Raw_Data!AB83,IF(N80="tres_insatisfait",1,IF(N80="insatisfait",2,IF(N80="neutre",3,IF(N80="satisfait",4,IF(N80="tres_satisfait",5,""))))))</f>
        <v/>
      </c>
      <c r="P80" s="12">
        <f>IF(Raw_Data!AL83&lt;&gt;"",Raw_Data!AL83,Raw_Data!R83)</f>
        <v>0</v>
      </c>
      <c r="Q80" s="12">
        <f t="shared" si="11"/>
        <v>0</v>
      </c>
      <c r="R80" s="12" t="str">
        <f>IF(Raw_Data!AM83="","",Raw_Data!AM83)</f>
        <v/>
      </c>
      <c r="S80" s="12" t="str">
        <f t="shared" si="12"/>
        <v/>
      </c>
      <c r="T80" s="12" t="str">
        <f>IF(Raw_Data!AN83="","",Raw_Data!AN83)</f>
        <v/>
      </c>
      <c r="U80" s="12" t="str">
        <f t="shared" si="13"/>
        <v/>
      </c>
      <c r="V80" s="12" t="str">
        <f>IF(Raw_Data!AP83="","",IF(Raw_Data!AP83="oui",1,0))</f>
        <v/>
      </c>
      <c r="W80" s="12" t="str">
        <f>IF(Raw_Data!AQ83="","",IF(Raw_Data!AQ83="oui",1,0))</f>
        <v/>
      </c>
      <c r="X80" s="12" t="str">
        <f>IF(Raw_Data!AR83="","",IF(Raw_Data!AR83="oui",1,0))</f>
        <v/>
      </c>
      <c r="Y80" s="12" t="str">
        <f>IF(Raw_Data!AS83="","",IF(Raw_Data!AS83="oui",1,0))</f>
        <v/>
      </c>
      <c r="Z80" s="12" t="str">
        <f>IF(Raw_Data!V83="","",IF(Raw_Data!V83="oui",1,0))</f>
        <v/>
      </c>
      <c r="AA80" s="12" t="str">
        <f>IF(Raw_Data!W83="","",IF(Raw_Data!W83="oui",1,0))</f>
        <v/>
      </c>
      <c r="AB80" s="12" t="str">
        <f>IF(Raw_Data!Q83="","",IF(Raw_Data!Q83="oui",1,0))</f>
        <v/>
      </c>
      <c r="AC80" s="12">
        <f>Raw_Data!AF83</f>
        <v>0</v>
      </c>
      <c r="AD80" s="12" t="str">
        <f t="shared" si="14"/>
        <v/>
      </c>
      <c r="AE80" s="12" t="str">
        <f t="shared" si="15"/>
        <v/>
      </c>
      <c r="AF80" s="12" t="str">
        <f t="shared" si="16"/>
        <v/>
      </c>
      <c r="AG80" s="12">
        <f t="shared" si="17"/>
        <v>0</v>
      </c>
    </row>
    <row r="81" spans="1:33" ht="15" customHeight="1" x14ac:dyDescent="0.25">
      <c r="A81" s="12" t="str">
        <f>IF(Raw_Data!B84="","",Raw_Data!B84)</f>
        <v/>
      </c>
      <c r="B81" s="12">
        <f>IF(Raw_Data!X84&lt;&gt;"",Raw_Data!X84,Raw_Data!C84)</f>
        <v>0</v>
      </c>
      <c r="C81" s="12" t="str">
        <f>IF(Raw_Data!G84="","",Raw_Data!G84)</f>
        <v/>
      </c>
      <c r="D81" s="12" t="str">
        <f>IF(Raw_Data!H84="","",Raw_Data!H84)</f>
        <v/>
      </c>
      <c r="E81" s="12" t="str">
        <f>IF(Raw_Data!I84="","",Raw_Data!I84)</f>
        <v/>
      </c>
      <c r="F81" s="12" t="str">
        <f>IF(Raw_Data!J84="","",Raw_Data!J84)</f>
        <v/>
      </c>
      <c r="G81" s="12" t="str">
        <f>IF(Raw_Data!AH84&lt;&gt;"",Raw_Data!AH84,IF(Raw_Data!K84&lt;&gt;"",Raw_Data!K84,""))</f>
        <v/>
      </c>
      <c r="H81" s="12" t="str">
        <f>IF(Raw_Data!AI84&lt;&gt;"",Raw_Data!AI84,IF(Raw_Data!L84&lt;&gt;"",Raw_Data!L84,""))</f>
        <v/>
      </c>
      <c r="I81" s="12" t="str">
        <f t="shared" si="9"/>
        <v/>
      </c>
      <c r="J81" s="12" t="str">
        <f>IF(Raw_Data!M84="","",Raw_Data!M84)</f>
        <v/>
      </c>
      <c r="K81" s="12">
        <f>IF(Raw_Data!AJ84&lt;&gt;"",Raw_Data!AJ84,Raw_Data!N84)</f>
        <v>0</v>
      </c>
      <c r="L81" s="12">
        <f t="shared" si="10"/>
        <v>1</v>
      </c>
      <c r="M81" s="12" t="str">
        <f>IF(Raw_Data!AK84="","",Raw_Data!AK84)</f>
        <v/>
      </c>
      <c r="N81" s="12" t="str">
        <f>IF(Raw_Data!T84="","",Raw_Data!T84)</f>
        <v/>
      </c>
      <c r="O81" s="12" t="str">
        <f>IF(Raw_Data!AB84&lt;&gt;"",Raw_Data!AB84,IF(N81="tres_insatisfait",1,IF(N81="insatisfait",2,IF(N81="neutre",3,IF(N81="satisfait",4,IF(N81="tres_satisfait",5,""))))))</f>
        <v/>
      </c>
      <c r="P81" s="12">
        <f>IF(Raw_Data!AL84&lt;&gt;"",Raw_Data!AL84,Raw_Data!R84)</f>
        <v>0</v>
      </c>
      <c r="Q81" s="12">
        <f t="shared" si="11"/>
        <v>0</v>
      </c>
      <c r="R81" s="12" t="str">
        <f>IF(Raw_Data!AM84="","",Raw_Data!AM84)</f>
        <v/>
      </c>
      <c r="S81" s="12" t="str">
        <f t="shared" si="12"/>
        <v/>
      </c>
      <c r="T81" s="12" t="str">
        <f>IF(Raw_Data!AN84="","",Raw_Data!AN84)</f>
        <v/>
      </c>
      <c r="U81" s="12" t="str">
        <f t="shared" si="13"/>
        <v/>
      </c>
      <c r="V81" s="12" t="str">
        <f>IF(Raw_Data!AP84="","",IF(Raw_Data!AP84="oui",1,0))</f>
        <v/>
      </c>
      <c r="W81" s="12" t="str">
        <f>IF(Raw_Data!AQ84="","",IF(Raw_Data!AQ84="oui",1,0))</f>
        <v/>
      </c>
      <c r="X81" s="12" t="str">
        <f>IF(Raw_Data!AR84="","",IF(Raw_Data!AR84="oui",1,0))</f>
        <v/>
      </c>
      <c r="Y81" s="12" t="str">
        <f>IF(Raw_Data!AS84="","",IF(Raw_Data!AS84="oui",1,0))</f>
        <v/>
      </c>
      <c r="Z81" s="12" t="str">
        <f>IF(Raw_Data!V84="","",IF(Raw_Data!V84="oui",1,0))</f>
        <v/>
      </c>
      <c r="AA81" s="12" t="str">
        <f>IF(Raw_Data!W84="","",IF(Raw_Data!W84="oui",1,0))</f>
        <v/>
      </c>
      <c r="AB81" s="12" t="str">
        <f>IF(Raw_Data!Q84="","",IF(Raw_Data!Q84="oui",1,0))</f>
        <v/>
      </c>
      <c r="AC81" s="12">
        <f>Raw_Data!AF84</f>
        <v>0</v>
      </c>
      <c r="AD81" s="12" t="str">
        <f t="shared" si="14"/>
        <v/>
      </c>
      <c r="AE81" s="12" t="str">
        <f t="shared" si="15"/>
        <v/>
      </c>
      <c r="AF81" s="12" t="str">
        <f t="shared" si="16"/>
        <v/>
      </c>
      <c r="AG81" s="12">
        <f t="shared" si="17"/>
        <v>0</v>
      </c>
    </row>
    <row r="82" spans="1:33" ht="15" customHeight="1" x14ac:dyDescent="0.25">
      <c r="A82" s="12" t="str">
        <f>IF(Raw_Data!B85="","",Raw_Data!B85)</f>
        <v/>
      </c>
      <c r="B82" s="12">
        <f>IF(Raw_Data!X85&lt;&gt;"",Raw_Data!X85,Raw_Data!C85)</f>
        <v>0</v>
      </c>
      <c r="C82" s="12" t="str">
        <f>IF(Raw_Data!G85="","",Raw_Data!G85)</f>
        <v/>
      </c>
      <c r="D82" s="12" t="str">
        <f>IF(Raw_Data!H85="","",Raw_Data!H85)</f>
        <v/>
      </c>
      <c r="E82" s="12" t="str">
        <f>IF(Raw_Data!I85="","",Raw_Data!I85)</f>
        <v/>
      </c>
      <c r="F82" s="12" t="str">
        <f>IF(Raw_Data!J85="","",Raw_Data!J85)</f>
        <v/>
      </c>
      <c r="G82" s="12" t="str">
        <f>IF(Raw_Data!AH85&lt;&gt;"",Raw_Data!AH85,IF(Raw_Data!K85&lt;&gt;"",Raw_Data!K85,""))</f>
        <v/>
      </c>
      <c r="H82" s="12" t="str">
        <f>IF(Raw_Data!AI85&lt;&gt;"",Raw_Data!AI85,IF(Raw_Data!L85&lt;&gt;"",Raw_Data!L85,""))</f>
        <v/>
      </c>
      <c r="I82" s="12" t="str">
        <f t="shared" si="9"/>
        <v/>
      </c>
      <c r="J82" s="12" t="str">
        <f>IF(Raw_Data!M85="","",Raw_Data!M85)</f>
        <v/>
      </c>
      <c r="K82" s="12">
        <f>IF(Raw_Data!AJ85&lt;&gt;"",Raw_Data!AJ85,Raw_Data!N85)</f>
        <v>0</v>
      </c>
      <c r="L82" s="12">
        <f t="shared" si="10"/>
        <v>1</v>
      </c>
      <c r="M82" s="12" t="str">
        <f>IF(Raw_Data!AK85="","",Raw_Data!AK85)</f>
        <v/>
      </c>
      <c r="N82" s="12" t="str">
        <f>IF(Raw_Data!T85="","",Raw_Data!T85)</f>
        <v/>
      </c>
      <c r="O82" s="12" t="str">
        <f>IF(Raw_Data!AB85&lt;&gt;"",Raw_Data!AB85,IF(N82="tres_insatisfait",1,IF(N82="insatisfait",2,IF(N82="neutre",3,IF(N82="satisfait",4,IF(N82="tres_satisfait",5,""))))))</f>
        <v/>
      </c>
      <c r="P82" s="12">
        <f>IF(Raw_Data!AL85&lt;&gt;"",Raw_Data!AL85,Raw_Data!R85)</f>
        <v>0</v>
      </c>
      <c r="Q82" s="12">
        <f t="shared" si="11"/>
        <v>0</v>
      </c>
      <c r="R82" s="12" t="str">
        <f>IF(Raw_Data!AM85="","",Raw_Data!AM85)</f>
        <v/>
      </c>
      <c r="S82" s="12" t="str">
        <f t="shared" si="12"/>
        <v/>
      </c>
      <c r="T82" s="12" t="str">
        <f>IF(Raw_Data!AN85="","",Raw_Data!AN85)</f>
        <v/>
      </c>
      <c r="U82" s="12" t="str">
        <f t="shared" si="13"/>
        <v/>
      </c>
      <c r="V82" s="12" t="str">
        <f>IF(Raw_Data!AP85="","",IF(Raw_Data!AP85="oui",1,0))</f>
        <v/>
      </c>
      <c r="W82" s="12" t="str">
        <f>IF(Raw_Data!AQ85="","",IF(Raw_Data!AQ85="oui",1,0))</f>
        <v/>
      </c>
      <c r="X82" s="12" t="str">
        <f>IF(Raw_Data!AR85="","",IF(Raw_Data!AR85="oui",1,0))</f>
        <v/>
      </c>
      <c r="Y82" s="12" t="str">
        <f>IF(Raw_Data!AS85="","",IF(Raw_Data!AS85="oui",1,0))</f>
        <v/>
      </c>
      <c r="Z82" s="12" t="str">
        <f>IF(Raw_Data!V85="","",IF(Raw_Data!V85="oui",1,0))</f>
        <v/>
      </c>
      <c r="AA82" s="12" t="str">
        <f>IF(Raw_Data!W85="","",IF(Raw_Data!W85="oui",1,0))</f>
        <v/>
      </c>
      <c r="AB82" s="12" t="str">
        <f>IF(Raw_Data!Q85="","",IF(Raw_Data!Q85="oui",1,0))</f>
        <v/>
      </c>
      <c r="AC82" s="12">
        <f>Raw_Data!AF85</f>
        <v>0</v>
      </c>
      <c r="AD82" s="12" t="str">
        <f t="shared" si="14"/>
        <v/>
      </c>
      <c r="AE82" s="12" t="str">
        <f t="shared" si="15"/>
        <v/>
      </c>
      <c r="AF82" s="12" t="str">
        <f t="shared" si="16"/>
        <v/>
      </c>
      <c r="AG82" s="12">
        <f t="shared" si="17"/>
        <v>0</v>
      </c>
    </row>
    <row r="83" spans="1:33" ht="15" customHeight="1" x14ac:dyDescent="0.25">
      <c r="A83" s="12" t="str">
        <f>IF(Raw_Data!B86="","",Raw_Data!B86)</f>
        <v/>
      </c>
      <c r="B83" s="12">
        <f>IF(Raw_Data!X86&lt;&gt;"",Raw_Data!X86,Raw_Data!C86)</f>
        <v>0</v>
      </c>
      <c r="C83" s="12" t="str">
        <f>IF(Raw_Data!G86="","",Raw_Data!G86)</f>
        <v/>
      </c>
      <c r="D83" s="12" t="str">
        <f>IF(Raw_Data!H86="","",Raw_Data!H86)</f>
        <v/>
      </c>
      <c r="E83" s="12" t="str">
        <f>IF(Raw_Data!I86="","",Raw_Data!I86)</f>
        <v/>
      </c>
      <c r="F83" s="12" t="str">
        <f>IF(Raw_Data!J86="","",Raw_Data!J86)</f>
        <v/>
      </c>
      <c r="G83" s="12" t="str">
        <f>IF(Raw_Data!AH86&lt;&gt;"",Raw_Data!AH86,IF(Raw_Data!K86&lt;&gt;"",Raw_Data!K86,""))</f>
        <v/>
      </c>
      <c r="H83" s="12" t="str">
        <f>IF(Raw_Data!AI86&lt;&gt;"",Raw_Data!AI86,IF(Raw_Data!L86&lt;&gt;"",Raw_Data!L86,""))</f>
        <v/>
      </c>
      <c r="I83" s="12" t="str">
        <f t="shared" si="9"/>
        <v/>
      </c>
      <c r="J83" s="12" t="str">
        <f>IF(Raw_Data!M86="","",Raw_Data!M86)</f>
        <v/>
      </c>
      <c r="K83" s="12">
        <f>IF(Raw_Data!AJ86&lt;&gt;"",Raw_Data!AJ86,Raw_Data!N86)</f>
        <v>0</v>
      </c>
      <c r="L83" s="12">
        <f t="shared" si="10"/>
        <v>1</v>
      </c>
      <c r="M83" s="12" t="str">
        <f>IF(Raw_Data!AK86="","",Raw_Data!AK86)</f>
        <v/>
      </c>
      <c r="N83" s="12" t="str">
        <f>IF(Raw_Data!T86="","",Raw_Data!T86)</f>
        <v/>
      </c>
      <c r="O83" s="12" t="str">
        <f>IF(Raw_Data!AB86&lt;&gt;"",Raw_Data!AB86,IF(N83="tres_insatisfait",1,IF(N83="insatisfait",2,IF(N83="neutre",3,IF(N83="satisfait",4,IF(N83="tres_satisfait",5,""))))))</f>
        <v/>
      </c>
      <c r="P83" s="12">
        <f>IF(Raw_Data!AL86&lt;&gt;"",Raw_Data!AL86,Raw_Data!R86)</f>
        <v>0</v>
      </c>
      <c r="Q83" s="12">
        <f t="shared" si="11"/>
        <v>0</v>
      </c>
      <c r="R83" s="12" t="str">
        <f>IF(Raw_Data!AM86="","",Raw_Data!AM86)</f>
        <v/>
      </c>
      <c r="S83" s="12" t="str">
        <f t="shared" si="12"/>
        <v/>
      </c>
      <c r="T83" s="12" t="str">
        <f>IF(Raw_Data!AN86="","",Raw_Data!AN86)</f>
        <v/>
      </c>
      <c r="U83" s="12" t="str">
        <f t="shared" si="13"/>
        <v/>
      </c>
      <c r="V83" s="12" t="str">
        <f>IF(Raw_Data!AP86="","",IF(Raw_Data!AP86="oui",1,0))</f>
        <v/>
      </c>
      <c r="W83" s="12" t="str">
        <f>IF(Raw_Data!AQ86="","",IF(Raw_Data!AQ86="oui",1,0))</f>
        <v/>
      </c>
      <c r="X83" s="12" t="str">
        <f>IF(Raw_Data!AR86="","",IF(Raw_Data!AR86="oui",1,0))</f>
        <v/>
      </c>
      <c r="Y83" s="12" t="str">
        <f>IF(Raw_Data!AS86="","",IF(Raw_Data!AS86="oui",1,0))</f>
        <v/>
      </c>
      <c r="Z83" s="12" t="str">
        <f>IF(Raw_Data!V86="","",IF(Raw_Data!V86="oui",1,0))</f>
        <v/>
      </c>
      <c r="AA83" s="12" t="str">
        <f>IF(Raw_Data!W86="","",IF(Raw_Data!W86="oui",1,0))</f>
        <v/>
      </c>
      <c r="AB83" s="12" t="str">
        <f>IF(Raw_Data!Q86="","",IF(Raw_Data!Q86="oui",1,0))</f>
        <v/>
      </c>
      <c r="AC83" s="12">
        <f>Raw_Data!AF86</f>
        <v>0</v>
      </c>
      <c r="AD83" s="12" t="str">
        <f t="shared" si="14"/>
        <v/>
      </c>
      <c r="AE83" s="12" t="str">
        <f t="shared" si="15"/>
        <v/>
      </c>
      <c r="AF83" s="12" t="str">
        <f t="shared" si="16"/>
        <v/>
      </c>
      <c r="AG83" s="12">
        <f t="shared" si="17"/>
        <v>0</v>
      </c>
    </row>
    <row r="84" spans="1:33" ht="15" customHeight="1" x14ac:dyDescent="0.25">
      <c r="A84" s="12" t="str">
        <f>IF(Raw_Data!B87="","",Raw_Data!B87)</f>
        <v/>
      </c>
      <c r="B84" s="12">
        <f>IF(Raw_Data!X87&lt;&gt;"",Raw_Data!X87,Raw_Data!C87)</f>
        <v>0</v>
      </c>
      <c r="C84" s="12" t="str">
        <f>IF(Raw_Data!G87="","",Raw_Data!G87)</f>
        <v/>
      </c>
      <c r="D84" s="12" t="str">
        <f>IF(Raw_Data!H87="","",Raw_Data!H87)</f>
        <v/>
      </c>
      <c r="E84" s="12" t="str">
        <f>IF(Raw_Data!I87="","",Raw_Data!I87)</f>
        <v/>
      </c>
      <c r="F84" s="12" t="str">
        <f>IF(Raw_Data!J87="","",Raw_Data!J87)</f>
        <v/>
      </c>
      <c r="G84" s="12" t="str">
        <f>IF(Raw_Data!AH87&lt;&gt;"",Raw_Data!AH87,IF(Raw_Data!K87&lt;&gt;"",Raw_Data!K87,""))</f>
        <v/>
      </c>
      <c r="H84" s="12" t="str">
        <f>IF(Raw_Data!AI87&lt;&gt;"",Raw_Data!AI87,IF(Raw_Data!L87&lt;&gt;"",Raw_Data!L87,""))</f>
        <v/>
      </c>
      <c r="I84" s="12" t="str">
        <f t="shared" si="9"/>
        <v/>
      </c>
      <c r="J84" s="12" t="str">
        <f>IF(Raw_Data!M87="","",Raw_Data!M87)</f>
        <v/>
      </c>
      <c r="K84" s="12">
        <f>IF(Raw_Data!AJ87&lt;&gt;"",Raw_Data!AJ87,Raw_Data!N87)</f>
        <v>0</v>
      </c>
      <c r="L84" s="12">
        <f t="shared" si="10"/>
        <v>1</v>
      </c>
      <c r="M84" s="12" t="str">
        <f>IF(Raw_Data!AK87="","",Raw_Data!AK87)</f>
        <v/>
      </c>
      <c r="N84" s="12" t="str">
        <f>IF(Raw_Data!T87="","",Raw_Data!T87)</f>
        <v/>
      </c>
      <c r="O84" s="12" t="str">
        <f>IF(Raw_Data!AB87&lt;&gt;"",Raw_Data!AB87,IF(N84="tres_insatisfait",1,IF(N84="insatisfait",2,IF(N84="neutre",3,IF(N84="satisfait",4,IF(N84="tres_satisfait",5,""))))))</f>
        <v/>
      </c>
      <c r="P84" s="12">
        <f>IF(Raw_Data!AL87&lt;&gt;"",Raw_Data!AL87,Raw_Data!R87)</f>
        <v>0</v>
      </c>
      <c r="Q84" s="12">
        <f t="shared" si="11"/>
        <v>0</v>
      </c>
      <c r="R84" s="12" t="str">
        <f>IF(Raw_Data!AM87="","",Raw_Data!AM87)</f>
        <v/>
      </c>
      <c r="S84" s="12" t="str">
        <f t="shared" si="12"/>
        <v/>
      </c>
      <c r="T84" s="12" t="str">
        <f>IF(Raw_Data!AN87="","",Raw_Data!AN87)</f>
        <v/>
      </c>
      <c r="U84" s="12" t="str">
        <f t="shared" si="13"/>
        <v/>
      </c>
      <c r="V84" s="12" t="str">
        <f>IF(Raw_Data!AP87="","",IF(Raw_Data!AP87="oui",1,0))</f>
        <v/>
      </c>
      <c r="W84" s="12" t="str">
        <f>IF(Raw_Data!AQ87="","",IF(Raw_Data!AQ87="oui",1,0))</f>
        <v/>
      </c>
      <c r="X84" s="12" t="str">
        <f>IF(Raw_Data!AR87="","",IF(Raw_Data!AR87="oui",1,0))</f>
        <v/>
      </c>
      <c r="Y84" s="12" t="str">
        <f>IF(Raw_Data!AS87="","",IF(Raw_Data!AS87="oui",1,0))</f>
        <v/>
      </c>
      <c r="Z84" s="12" t="str">
        <f>IF(Raw_Data!V87="","",IF(Raw_Data!V87="oui",1,0))</f>
        <v/>
      </c>
      <c r="AA84" s="12" t="str">
        <f>IF(Raw_Data!W87="","",IF(Raw_Data!W87="oui",1,0))</f>
        <v/>
      </c>
      <c r="AB84" s="12" t="str">
        <f>IF(Raw_Data!Q87="","",IF(Raw_Data!Q87="oui",1,0))</f>
        <v/>
      </c>
      <c r="AC84" s="12">
        <f>Raw_Data!AF87</f>
        <v>0</v>
      </c>
      <c r="AD84" s="12" t="str">
        <f t="shared" si="14"/>
        <v/>
      </c>
      <c r="AE84" s="12" t="str">
        <f t="shared" si="15"/>
        <v/>
      </c>
      <c r="AF84" s="12" t="str">
        <f t="shared" si="16"/>
        <v/>
      </c>
      <c r="AG84" s="12">
        <f t="shared" si="17"/>
        <v>0</v>
      </c>
    </row>
    <row r="85" spans="1:33" ht="15" customHeight="1" x14ac:dyDescent="0.25">
      <c r="A85" s="12" t="str">
        <f>IF(Raw_Data!B88="","",Raw_Data!B88)</f>
        <v/>
      </c>
      <c r="B85" s="12">
        <f>IF(Raw_Data!X88&lt;&gt;"",Raw_Data!X88,Raw_Data!C88)</f>
        <v>0</v>
      </c>
      <c r="C85" s="12" t="str">
        <f>IF(Raw_Data!G88="","",Raw_Data!G88)</f>
        <v/>
      </c>
      <c r="D85" s="12" t="str">
        <f>IF(Raw_Data!H88="","",Raw_Data!H88)</f>
        <v/>
      </c>
      <c r="E85" s="12" t="str">
        <f>IF(Raw_Data!I88="","",Raw_Data!I88)</f>
        <v/>
      </c>
      <c r="F85" s="12" t="str">
        <f>IF(Raw_Data!J88="","",Raw_Data!J88)</f>
        <v/>
      </c>
      <c r="G85" s="12" t="str">
        <f>IF(Raw_Data!AH88&lt;&gt;"",Raw_Data!AH88,IF(Raw_Data!K88&lt;&gt;"",Raw_Data!K88,""))</f>
        <v/>
      </c>
      <c r="H85" s="12" t="str">
        <f>IF(Raw_Data!AI88&lt;&gt;"",Raw_Data!AI88,IF(Raw_Data!L88&lt;&gt;"",Raw_Data!L88,""))</f>
        <v/>
      </c>
      <c r="I85" s="12" t="str">
        <f t="shared" si="9"/>
        <v/>
      </c>
      <c r="J85" s="12" t="str">
        <f>IF(Raw_Data!M88="","",Raw_Data!M88)</f>
        <v/>
      </c>
      <c r="K85" s="12">
        <f>IF(Raw_Data!AJ88&lt;&gt;"",Raw_Data!AJ88,Raw_Data!N88)</f>
        <v>0</v>
      </c>
      <c r="L85" s="12">
        <f t="shared" si="10"/>
        <v>1</v>
      </c>
      <c r="M85" s="12" t="str">
        <f>IF(Raw_Data!AK88="","",Raw_Data!AK88)</f>
        <v/>
      </c>
      <c r="N85" s="12" t="str">
        <f>IF(Raw_Data!T88="","",Raw_Data!T88)</f>
        <v/>
      </c>
      <c r="O85" s="12" t="str">
        <f>IF(Raw_Data!AB88&lt;&gt;"",Raw_Data!AB88,IF(N85="tres_insatisfait",1,IF(N85="insatisfait",2,IF(N85="neutre",3,IF(N85="satisfait",4,IF(N85="tres_satisfait",5,""))))))</f>
        <v/>
      </c>
      <c r="P85" s="12">
        <f>IF(Raw_Data!AL88&lt;&gt;"",Raw_Data!AL88,Raw_Data!R88)</f>
        <v>0</v>
      </c>
      <c r="Q85" s="12">
        <f t="shared" si="11"/>
        <v>0</v>
      </c>
      <c r="R85" s="12" t="str">
        <f>IF(Raw_Data!AM88="","",Raw_Data!AM88)</f>
        <v/>
      </c>
      <c r="S85" s="12" t="str">
        <f t="shared" si="12"/>
        <v/>
      </c>
      <c r="T85" s="12" t="str">
        <f>IF(Raw_Data!AN88="","",Raw_Data!AN88)</f>
        <v/>
      </c>
      <c r="U85" s="12" t="str">
        <f t="shared" si="13"/>
        <v/>
      </c>
      <c r="V85" s="12" t="str">
        <f>IF(Raw_Data!AP88="","",IF(Raw_Data!AP88="oui",1,0))</f>
        <v/>
      </c>
      <c r="W85" s="12" t="str">
        <f>IF(Raw_Data!AQ88="","",IF(Raw_Data!AQ88="oui",1,0))</f>
        <v/>
      </c>
      <c r="X85" s="12" t="str">
        <f>IF(Raw_Data!AR88="","",IF(Raw_Data!AR88="oui",1,0))</f>
        <v/>
      </c>
      <c r="Y85" s="12" t="str">
        <f>IF(Raw_Data!AS88="","",IF(Raw_Data!AS88="oui",1,0))</f>
        <v/>
      </c>
      <c r="Z85" s="12" t="str">
        <f>IF(Raw_Data!V88="","",IF(Raw_Data!V88="oui",1,0))</f>
        <v/>
      </c>
      <c r="AA85" s="12" t="str">
        <f>IF(Raw_Data!W88="","",IF(Raw_Data!W88="oui",1,0))</f>
        <v/>
      </c>
      <c r="AB85" s="12" t="str">
        <f>IF(Raw_Data!Q88="","",IF(Raw_Data!Q88="oui",1,0))</f>
        <v/>
      </c>
      <c r="AC85" s="12">
        <f>Raw_Data!AF88</f>
        <v>0</v>
      </c>
      <c r="AD85" s="12" t="str">
        <f t="shared" si="14"/>
        <v/>
      </c>
      <c r="AE85" s="12" t="str">
        <f t="shared" si="15"/>
        <v/>
      </c>
      <c r="AF85" s="12" t="str">
        <f t="shared" si="16"/>
        <v/>
      </c>
      <c r="AG85" s="12">
        <f t="shared" si="17"/>
        <v>0</v>
      </c>
    </row>
    <row r="86" spans="1:33" ht="15" customHeight="1" x14ac:dyDescent="0.25">
      <c r="A86" s="12" t="str">
        <f>IF(Raw_Data!B89="","",Raw_Data!B89)</f>
        <v/>
      </c>
      <c r="B86" s="12">
        <f>IF(Raw_Data!X89&lt;&gt;"",Raw_Data!X89,Raw_Data!C89)</f>
        <v>0</v>
      </c>
      <c r="C86" s="12" t="str">
        <f>IF(Raw_Data!G89="","",Raw_Data!G89)</f>
        <v/>
      </c>
      <c r="D86" s="12" t="str">
        <f>IF(Raw_Data!H89="","",Raw_Data!H89)</f>
        <v/>
      </c>
      <c r="E86" s="12" t="str">
        <f>IF(Raw_Data!I89="","",Raw_Data!I89)</f>
        <v/>
      </c>
      <c r="F86" s="12" t="str">
        <f>IF(Raw_Data!J89="","",Raw_Data!J89)</f>
        <v/>
      </c>
      <c r="G86" s="12" t="str">
        <f>IF(Raw_Data!AH89&lt;&gt;"",Raw_Data!AH89,IF(Raw_Data!K89&lt;&gt;"",Raw_Data!K89,""))</f>
        <v/>
      </c>
      <c r="H86" s="12" t="str">
        <f>IF(Raw_Data!AI89&lt;&gt;"",Raw_Data!AI89,IF(Raw_Data!L89&lt;&gt;"",Raw_Data!L89,""))</f>
        <v/>
      </c>
      <c r="I86" s="12" t="str">
        <f t="shared" si="9"/>
        <v/>
      </c>
      <c r="J86" s="12" t="str">
        <f>IF(Raw_Data!M89="","",Raw_Data!M89)</f>
        <v/>
      </c>
      <c r="K86" s="12">
        <f>IF(Raw_Data!AJ89&lt;&gt;"",Raw_Data!AJ89,Raw_Data!N89)</f>
        <v>0</v>
      </c>
      <c r="L86" s="12">
        <f t="shared" si="10"/>
        <v>1</v>
      </c>
      <c r="M86" s="12" t="str">
        <f>IF(Raw_Data!AK89="","",Raw_Data!AK89)</f>
        <v/>
      </c>
      <c r="N86" s="12" t="str">
        <f>IF(Raw_Data!T89="","",Raw_Data!T89)</f>
        <v/>
      </c>
      <c r="O86" s="12" t="str">
        <f>IF(Raw_Data!AB89&lt;&gt;"",Raw_Data!AB89,IF(N86="tres_insatisfait",1,IF(N86="insatisfait",2,IF(N86="neutre",3,IF(N86="satisfait",4,IF(N86="tres_satisfait",5,""))))))</f>
        <v/>
      </c>
      <c r="P86" s="12">
        <f>IF(Raw_Data!AL89&lt;&gt;"",Raw_Data!AL89,Raw_Data!R89)</f>
        <v>0</v>
      </c>
      <c r="Q86" s="12">
        <f t="shared" si="11"/>
        <v>0</v>
      </c>
      <c r="R86" s="12" t="str">
        <f>IF(Raw_Data!AM89="","",Raw_Data!AM89)</f>
        <v/>
      </c>
      <c r="S86" s="12" t="str">
        <f t="shared" si="12"/>
        <v/>
      </c>
      <c r="T86" s="12" t="str">
        <f>IF(Raw_Data!AN89="","",Raw_Data!AN89)</f>
        <v/>
      </c>
      <c r="U86" s="12" t="str">
        <f t="shared" si="13"/>
        <v/>
      </c>
      <c r="V86" s="12" t="str">
        <f>IF(Raw_Data!AP89="","",IF(Raw_Data!AP89="oui",1,0))</f>
        <v/>
      </c>
      <c r="W86" s="12" t="str">
        <f>IF(Raw_Data!AQ89="","",IF(Raw_Data!AQ89="oui",1,0))</f>
        <v/>
      </c>
      <c r="X86" s="12" t="str">
        <f>IF(Raw_Data!AR89="","",IF(Raw_Data!AR89="oui",1,0))</f>
        <v/>
      </c>
      <c r="Y86" s="12" t="str">
        <f>IF(Raw_Data!AS89="","",IF(Raw_Data!AS89="oui",1,0))</f>
        <v/>
      </c>
      <c r="Z86" s="12" t="str">
        <f>IF(Raw_Data!V89="","",IF(Raw_Data!V89="oui",1,0))</f>
        <v/>
      </c>
      <c r="AA86" s="12" t="str">
        <f>IF(Raw_Data!W89="","",IF(Raw_Data!W89="oui",1,0))</f>
        <v/>
      </c>
      <c r="AB86" s="12" t="str">
        <f>IF(Raw_Data!Q89="","",IF(Raw_Data!Q89="oui",1,0))</f>
        <v/>
      </c>
      <c r="AC86" s="12">
        <f>Raw_Data!AF89</f>
        <v>0</v>
      </c>
      <c r="AD86" s="12" t="str">
        <f t="shared" si="14"/>
        <v/>
      </c>
      <c r="AE86" s="12" t="str">
        <f t="shared" si="15"/>
        <v/>
      </c>
      <c r="AF86" s="12" t="str">
        <f t="shared" si="16"/>
        <v/>
      </c>
      <c r="AG86" s="12">
        <f t="shared" si="17"/>
        <v>0</v>
      </c>
    </row>
    <row r="87" spans="1:33" ht="15" customHeight="1" x14ac:dyDescent="0.25">
      <c r="A87" s="12" t="str">
        <f>IF(Raw_Data!B90="","",Raw_Data!B90)</f>
        <v/>
      </c>
      <c r="B87" s="12">
        <f>IF(Raw_Data!X90&lt;&gt;"",Raw_Data!X90,Raw_Data!C90)</f>
        <v>0</v>
      </c>
      <c r="C87" s="12" t="str">
        <f>IF(Raw_Data!G90="","",Raw_Data!G90)</f>
        <v/>
      </c>
      <c r="D87" s="12" t="str">
        <f>IF(Raw_Data!H90="","",Raw_Data!H90)</f>
        <v/>
      </c>
      <c r="E87" s="12" t="str">
        <f>IF(Raw_Data!I90="","",Raw_Data!I90)</f>
        <v/>
      </c>
      <c r="F87" s="12" t="str">
        <f>IF(Raw_Data!J90="","",Raw_Data!J90)</f>
        <v/>
      </c>
      <c r="G87" s="12" t="str">
        <f>IF(Raw_Data!AH90&lt;&gt;"",Raw_Data!AH90,IF(Raw_Data!K90&lt;&gt;"",Raw_Data!K90,""))</f>
        <v/>
      </c>
      <c r="H87" s="12" t="str">
        <f>IF(Raw_Data!AI90&lt;&gt;"",Raw_Data!AI90,IF(Raw_Data!L90&lt;&gt;"",Raw_Data!L90,""))</f>
        <v/>
      </c>
      <c r="I87" s="12" t="str">
        <f t="shared" si="9"/>
        <v/>
      </c>
      <c r="J87" s="12" t="str">
        <f>IF(Raw_Data!M90="","",Raw_Data!M90)</f>
        <v/>
      </c>
      <c r="K87" s="12">
        <f>IF(Raw_Data!AJ90&lt;&gt;"",Raw_Data!AJ90,Raw_Data!N90)</f>
        <v>0</v>
      </c>
      <c r="L87" s="12">
        <f t="shared" si="10"/>
        <v>1</v>
      </c>
      <c r="M87" s="12" t="str">
        <f>IF(Raw_Data!AK90="","",Raw_Data!AK90)</f>
        <v/>
      </c>
      <c r="N87" s="12" t="str">
        <f>IF(Raw_Data!T90="","",Raw_Data!T90)</f>
        <v/>
      </c>
      <c r="O87" s="12" t="str">
        <f>IF(Raw_Data!AB90&lt;&gt;"",Raw_Data!AB90,IF(N87="tres_insatisfait",1,IF(N87="insatisfait",2,IF(N87="neutre",3,IF(N87="satisfait",4,IF(N87="tres_satisfait",5,""))))))</f>
        <v/>
      </c>
      <c r="P87" s="12">
        <f>IF(Raw_Data!AL90&lt;&gt;"",Raw_Data!AL90,Raw_Data!R90)</f>
        <v>0</v>
      </c>
      <c r="Q87" s="12">
        <f t="shared" si="11"/>
        <v>0</v>
      </c>
      <c r="R87" s="12" t="str">
        <f>IF(Raw_Data!AM90="","",Raw_Data!AM90)</f>
        <v/>
      </c>
      <c r="S87" s="12" t="str">
        <f t="shared" si="12"/>
        <v/>
      </c>
      <c r="T87" s="12" t="str">
        <f>IF(Raw_Data!AN90="","",Raw_Data!AN90)</f>
        <v/>
      </c>
      <c r="U87" s="12" t="str">
        <f t="shared" si="13"/>
        <v/>
      </c>
      <c r="V87" s="12" t="str">
        <f>IF(Raw_Data!AP90="","",IF(Raw_Data!AP90="oui",1,0))</f>
        <v/>
      </c>
      <c r="W87" s="12" t="str">
        <f>IF(Raw_Data!AQ90="","",IF(Raw_Data!AQ90="oui",1,0))</f>
        <v/>
      </c>
      <c r="X87" s="12" t="str">
        <f>IF(Raw_Data!AR90="","",IF(Raw_Data!AR90="oui",1,0))</f>
        <v/>
      </c>
      <c r="Y87" s="12" t="str">
        <f>IF(Raw_Data!AS90="","",IF(Raw_Data!AS90="oui",1,0))</f>
        <v/>
      </c>
      <c r="Z87" s="12" t="str">
        <f>IF(Raw_Data!V90="","",IF(Raw_Data!V90="oui",1,0))</f>
        <v/>
      </c>
      <c r="AA87" s="12" t="str">
        <f>IF(Raw_Data!W90="","",IF(Raw_Data!W90="oui",1,0))</f>
        <v/>
      </c>
      <c r="AB87" s="12" t="str">
        <f>IF(Raw_Data!Q90="","",IF(Raw_Data!Q90="oui",1,0))</f>
        <v/>
      </c>
      <c r="AC87" s="12">
        <f>Raw_Data!AF90</f>
        <v>0</v>
      </c>
      <c r="AD87" s="12" t="str">
        <f t="shared" si="14"/>
        <v/>
      </c>
      <c r="AE87" s="12" t="str">
        <f t="shared" si="15"/>
        <v/>
      </c>
      <c r="AF87" s="12" t="str">
        <f t="shared" si="16"/>
        <v/>
      </c>
      <c r="AG87" s="12">
        <f t="shared" si="17"/>
        <v>0</v>
      </c>
    </row>
    <row r="88" spans="1:33" ht="15" customHeight="1" x14ac:dyDescent="0.25">
      <c r="A88" s="12" t="str">
        <f>IF(Raw_Data!B91="","",Raw_Data!B91)</f>
        <v/>
      </c>
      <c r="B88" s="12">
        <f>IF(Raw_Data!X91&lt;&gt;"",Raw_Data!X91,Raw_Data!C91)</f>
        <v>0</v>
      </c>
      <c r="C88" s="12" t="str">
        <f>IF(Raw_Data!G91="","",Raw_Data!G91)</f>
        <v/>
      </c>
      <c r="D88" s="12" t="str">
        <f>IF(Raw_Data!H91="","",Raw_Data!H91)</f>
        <v/>
      </c>
      <c r="E88" s="12" t="str">
        <f>IF(Raw_Data!I91="","",Raw_Data!I91)</f>
        <v/>
      </c>
      <c r="F88" s="12" t="str">
        <f>IF(Raw_Data!J91="","",Raw_Data!J91)</f>
        <v/>
      </c>
      <c r="G88" s="12" t="str">
        <f>IF(Raw_Data!AH91&lt;&gt;"",Raw_Data!AH91,IF(Raw_Data!K91&lt;&gt;"",Raw_Data!K91,""))</f>
        <v/>
      </c>
      <c r="H88" s="12" t="str">
        <f>IF(Raw_Data!AI91&lt;&gt;"",Raw_Data!AI91,IF(Raw_Data!L91&lt;&gt;"",Raw_Data!L91,""))</f>
        <v/>
      </c>
      <c r="I88" s="12" t="str">
        <f t="shared" si="9"/>
        <v/>
      </c>
      <c r="J88" s="12" t="str">
        <f>IF(Raw_Data!M91="","",Raw_Data!M91)</f>
        <v/>
      </c>
      <c r="K88" s="12">
        <f>IF(Raw_Data!AJ91&lt;&gt;"",Raw_Data!AJ91,Raw_Data!N91)</f>
        <v>0</v>
      </c>
      <c r="L88" s="12">
        <f t="shared" si="10"/>
        <v>1</v>
      </c>
      <c r="M88" s="12" t="str">
        <f>IF(Raw_Data!AK91="","",Raw_Data!AK91)</f>
        <v/>
      </c>
      <c r="N88" s="12" t="str">
        <f>IF(Raw_Data!T91="","",Raw_Data!T91)</f>
        <v/>
      </c>
      <c r="O88" s="12" t="str">
        <f>IF(Raw_Data!AB91&lt;&gt;"",Raw_Data!AB91,IF(N88="tres_insatisfait",1,IF(N88="insatisfait",2,IF(N88="neutre",3,IF(N88="satisfait",4,IF(N88="tres_satisfait",5,""))))))</f>
        <v/>
      </c>
      <c r="P88" s="12">
        <f>IF(Raw_Data!AL91&lt;&gt;"",Raw_Data!AL91,Raw_Data!R91)</f>
        <v>0</v>
      </c>
      <c r="Q88" s="12">
        <f t="shared" si="11"/>
        <v>0</v>
      </c>
      <c r="R88" s="12" t="str">
        <f>IF(Raw_Data!AM91="","",Raw_Data!AM91)</f>
        <v/>
      </c>
      <c r="S88" s="12" t="str">
        <f t="shared" si="12"/>
        <v/>
      </c>
      <c r="T88" s="12" t="str">
        <f>IF(Raw_Data!AN91="","",Raw_Data!AN91)</f>
        <v/>
      </c>
      <c r="U88" s="12" t="str">
        <f t="shared" si="13"/>
        <v/>
      </c>
      <c r="V88" s="12" t="str">
        <f>IF(Raw_Data!AP91="","",IF(Raw_Data!AP91="oui",1,0))</f>
        <v/>
      </c>
      <c r="W88" s="12" t="str">
        <f>IF(Raw_Data!AQ91="","",IF(Raw_Data!AQ91="oui",1,0))</f>
        <v/>
      </c>
      <c r="X88" s="12" t="str">
        <f>IF(Raw_Data!AR91="","",IF(Raw_Data!AR91="oui",1,0))</f>
        <v/>
      </c>
      <c r="Y88" s="12" t="str">
        <f>IF(Raw_Data!AS91="","",IF(Raw_Data!AS91="oui",1,0))</f>
        <v/>
      </c>
      <c r="Z88" s="12" t="str">
        <f>IF(Raw_Data!V91="","",IF(Raw_Data!V91="oui",1,0))</f>
        <v/>
      </c>
      <c r="AA88" s="12" t="str">
        <f>IF(Raw_Data!W91="","",IF(Raw_Data!W91="oui",1,0))</f>
        <v/>
      </c>
      <c r="AB88" s="12" t="str">
        <f>IF(Raw_Data!Q91="","",IF(Raw_Data!Q91="oui",1,0))</f>
        <v/>
      </c>
      <c r="AC88" s="12">
        <f>Raw_Data!AF91</f>
        <v>0</v>
      </c>
      <c r="AD88" s="12" t="str">
        <f t="shared" si="14"/>
        <v/>
      </c>
      <c r="AE88" s="12" t="str">
        <f t="shared" si="15"/>
        <v/>
      </c>
      <c r="AF88" s="12" t="str">
        <f t="shared" si="16"/>
        <v/>
      </c>
      <c r="AG88" s="12">
        <f t="shared" si="17"/>
        <v>0</v>
      </c>
    </row>
    <row r="89" spans="1:33" ht="15" customHeight="1" x14ac:dyDescent="0.25">
      <c r="A89" s="12" t="str">
        <f>IF(Raw_Data!B92="","",Raw_Data!B92)</f>
        <v/>
      </c>
      <c r="B89" s="12">
        <f>IF(Raw_Data!X92&lt;&gt;"",Raw_Data!X92,Raw_Data!C92)</f>
        <v>0</v>
      </c>
      <c r="C89" s="12" t="str">
        <f>IF(Raw_Data!G92="","",Raw_Data!G92)</f>
        <v/>
      </c>
      <c r="D89" s="12" t="str">
        <f>IF(Raw_Data!H92="","",Raw_Data!H92)</f>
        <v/>
      </c>
      <c r="E89" s="12" t="str">
        <f>IF(Raw_Data!I92="","",Raw_Data!I92)</f>
        <v/>
      </c>
      <c r="F89" s="12" t="str">
        <f>IF(Raw_Data!J92="","",Raw_Data!J92)</f>
        <v/>
      </c>
      <c r="G89" s="12" t="str">
        <f>IF(Raw_Data!AH92&lt;&gt;"",Raw_Data!AH92,IF(Raw_Data!K92&lt;&gt;"",Raw_Data!K92,""))</f>
        <v/>
      </c>
      <c r="H89" s="12" t="str">
        <f>IF(Raw_Data!AI92&lt;&gt;"",Raw_Data!AI92,IF(Raw_Data!L92&lt;&gt;"",Raw_Data!L92,""))</f>
        <v/>
      </c>
      <c r="I89" s="12" t="str">
        <f t="shared" si="9"/>
        <v/>
      </c>
      <c r="J89" s="12" t="str">
        <f>IF(Raw_Data!M92="","",Raw_Data!M92)</f>
        <v/>
      </c>
      <c r="K89" s="12">
        <f>IF(Raw_Data!AJ92&lt;&gt;"",Raw_Data!AJ92,Raw_Data!N92)</f>
        <v>0</v>
      </c>
      <c r="L89" s="12">
        <f t="shared" si="10"/>
        <v>1</v>
      </c>
      <c r="M89" s="12" t="str">
        <f>IF(Raw_Data!AK92="","",Raw_Data!AK92)</f>
        <v/>
      </c>
      <c r="N89" s="12" t="str">
        <f>IF(Raw_Data!T92="","",Raw_Data!T92)</f>
        <v/>
      </c>
      <c r="O89" s="12" t="str">
        <f>IF(Raw_Data!AB92&lt;&gt;"",Raw_Data!AB92,IF(N89="tres_insatisfait",1,IF(N89="insatisfait",2,IF(N89="neutre",3,IF(N89="satisfait",4,IF(N89="tres_satisfait",5,""))))))</f>
        <v/>
      </c>
      <c r="P89" s="12">
        <f>IF(Raw_Data!AL92&lt;&gt;"",Raw_Data!AL92,Raw_Data!R92)</f>
        <v>0</v>
      </c>
      <c r="Q89" s="12">
        <f t="shared" si="11"/>
        <v>0</v>
      </c>
      <c r="R89" s="12" t="str">
        <f>IF(Raw_Data!AM92="","",Raw_Data!AM92)</f>
        <v/>
      </c>
      <c r="S89" s="12" t="str">
        <f t="shared" si="12"/>
        <v/>
      </c>
      <c r="T89" s="12" t="str">
        <f>IF(Raw_Data!AN92="","",Raw_Data!AN92)</f>
        <v/>
      </c>
      <c r="U89" s="12" t="str">
        <f t="shared" si="13"/>
        <v/>
      </c>
      <c r="V89" s="12" t="str">
        <f>IF(Raw_Data!AP92="","",IF(Raw_Data!AP92="oui",1,0))</f>
        <v/>
      </c>
      <c r="W89" s="12" t="str">
        <f>IF(Raw_Data!AQ92="","",IF(Raw_Data!AQ92="oui",1,0))</f>
        <v/>
      </c>
      <c r="X89" s="12" t="str">
        <f>IF(Raw_Data!AR92="","",IF(Raw_Data!AR92="oui",1,0))</f>
        <v/>
      </c>
      <c r="Y89" s="12" t="str">
        <f>IF(Raw_Data!AS92="","",IF(Raw_Data!AS92="oui",1,0))</f>
        <v/>
      </c>
      <c r="Z89" s="12" t="str">
        <f>IF(Raw_Data!V92="","",IF(Raw_Data!V92="oui",1,0))</f>
        <v/>
      </c>
      <c r="AA89" s="12" t="str">
        <f>IF(Raw_Data!W92="","",IF(Raw_Data!W92="oui",1,0))</f>
        <v/>
      </c>
      <c r="AB89" s="12" t="str">
        <f>IF(Raw_Data!Q92="","",IF(Raw_Data!Q92="oui",1,0))</f>
        <v/>
      </c>
      <c r="AC89" s="12">
        <f>Raw_Data!AF92</f>
        <v>0</v>
      </c>
      <c r="AD89" s="12" t="str">
        <f t="shared" si="14"/>
        <v/>
      </c>
      <c r="AE89" s="12" t="str">
        <f t="shared" si="15"/>
        <v/>
      </c>
      <c r="AF89" s="12" t="str">
        <f t="shared" si="16"/>
        <v/>
      </c>
      <c r="AG89" s="12">
        <f t="shared" si="17"/>
        <v>0</v>
      </c>
    </row>
    <row r="90" spans="1:33" ht="15" customHeight="1" x14ac:dyDescent="0.25">
      <c r="A90" s="12" t="str">
        <f>IF(Raw_Data!B93="","",Raw_Data!B93)</f>
        <v/>
      </c>
      <c r="B90" s="12">
        <f>IF(Raw_Data!X93&lt;&gt;"",Raw_Data!X93,Raw_Data!C93)</f>
        <v>0</v>
      </c>
      <c r="C90" s="12" t="str">
        <f>IF(Raw_Data!G93="","",Raw_Data!G93)</f>
        <v/>
      </c>
      <c r="D90" s="12" t="str">
        <f>IF(Raw_Data!H93="","",Raw_Data!H93)</f>
        <v/>
      </c>
      <c r="E90" s="12" t="str">
        <f>IF(Raw_Data!I93="","",Raw_Data!I93)</f>
        <v/>
      </c>
      <c r="F90" s="12" t="str">
        <f>IF(Raw_Data!J93="","",Raw_Data!J93)</f>
        <v/>
      </c>
      <c r="G90" s="12" t="str">
        <f>IF(Raw_Data!AH93&lt;&gt;"",Raw_Data!AH93,IF(Raw_Data!K93&lt;&gt;"",Raw_Data!K93,""))</f>
        <v/>
      </c>
      <c r="H90" s="12" t="str">
        <f>IF(Raw_Data!AI93&lt;&gt;"",Raw_Data!AI93,IF(Raw_Data!L93&lt;&gt;"",Raw_Data!L93,""))</f>
        <v/>
      </c>
      <c r="I90" s="12" t="str">
        <f t="shared" si="9"/>
        <v/>
      </c>
      <c r="J90" s="12" t="str">
        <f>IF(Raw_Data!M93="","",Raw_Data!M93)</f>
        <v/>
      </c>
      <c r="K90" s="12">
        <f>IF(Raw_Data!AJ93&lt;&gt;"",Raw_Data!AJ93,Raw_Data!N93)</f>
        <v>0</v>
      </c>
      <c r="L90" s="12">
        <f t="shared" si="10"/>
        <v>1</v>
      </c>
      <c r="M90" s="12" t="str">
        <f>IF(Raw_Data!AK93="","",Raw_Data!AK93)</f>
        <v/>
      </c>
      <c r="N90" s="12" t="str">
        <f>IF(Raw_Data!T93="","",Raw_Data!T93)</f>
        <v/>
      </c>
      <c r="O90" s="12" t="str">
        <f>IF(Raw_Data!AB93&lt;&gt;"",Raw_Data!AB93,IF(N90="tres_insatisfait",1,IF(N90="insatisfait",2,IF(N90="neutre",3,IF(N90="satisfait",4,IF(N90="tres_satisfait",5,""))))))</f>
        <v/>
      </c>
      <c r="P90" s="12">
        <f>IF(Raw_Data!AL93&lt;&gt;"",Raw_Data!AL93,Raw_Data!R93)</f>
        <v>0</v>
      </c>
      <c r="Q90" s="12">
        <f t="shared" si="11"/>
        <v>0</v>
      </c>
      <c r="R90" s="12" t="str">
        <f>IF(Raw_Data!AM93="","",Raw_Data!AM93)</f>
        <v/>
      </c>
      <c r="S90" s="12" t="str">
        <f t="shared" si="12"/>
        <v/>
      </c>
      <c r="T90" s="12" t="str">
        <f>IF(Raw_Data!AN93="","",Raw_Data!AN93)</f>
        <v/>
      </c>
      <c r="U90" s="12" t="str">
        <f t="shared" si="13"/>
        <v/>
      </c>
      <c r="V90" s="12" t="str">
        <f>IF(Raw_Data!AP93="","",IF(Raw_Data!AP93="oui",1,0))</f>
        <v/>
      </c>
      <c r="W90" s="12" t="str">
        <f>IF(Raw_Data!AQ93="","",IF(Raw_Data!AQ93="oui",1,0))</f>
        <v/>
      </c>
      <c r="X90" s="12" t="str">
        <f>IF(Raw_Data!AR93="","",IF(Raw_Data!AR93="oui",1,0))</f>
        <v/>
      </c>
      <c r="Y90" s="12" t="str">
        <f>IF(Raw_Data!AS93="","",IF(Raw_Data!AS93="oui",1,0))</f>
        <v/>
      </c>
      <c r="Z90" s="12" t="str">
        <f>IF(Raw_Data!V93="","",IF(Raw_Data!V93="oui",1,0))</f>
        <v/>
      </c>
      <c r="AA90" s="12" t="str">
        <f>IF(Raw_Data!W93="","",IF(Raw_Data!W93="oui",1,0))</f>
        <v/>
      </c>
      <c r="AB90" s="12" t="str">
        <f>IF(Raw_Data!Q93="","",IF(Raw_Data!Q93="oui",1,0))</f>
        <v/>
      </c>
      <c r="AC90" s="12">
        <f>Raw_Data!AF93</f>
        <v>0</v>
      </c>
      <c r="AD90" s="12" t="str">
        <f t="shared" si="14"/>
        <v/>
      </c>
      <c r="AE90" s="12" t="str">
        <f t="shared" si="15"/>
        <v/>
      </c>
      <c r="AF90" s="12" t="str">
        <f t="shared" si="16"/>
        <v/>
      </c>
      <c r="AG90" s="12">
        <f t="shared" si="17"/>
        <v>0</v>
      </c>
    </row>
    <row r="91" spans="1:33" ht="15" customHeight="1" x14ac:dyDescent="0.25">
      <c r="A91" s="12" t="str">
        <f>IF(Raw_Data!B94="","",Raw_Data!B94)</f>
        <v/>
      </c>
      <c r="B91" s="12">
        <f>IF(Raw_Data!X94&lt;&gt;"",Raw_Data!X94,Raw_Data!C94)</f>
        <v>0</v>
      </c>
      <c r="C91" s="12" t="str">
        <f>IF(Raw_Data!G94="","",Raw_Data!G94)</f>
        <v/>
      </c>
      <c r="D91" s="12" t="str">
        <f>IF(Raw_Data!H94="","",Raw_Data!H94)</f>
        <v/>
      </c>
      <c r="E91" s="12" t="str">
        <f>IF(Raw_Data!I94="","",Raw_Data!I94)</f>
        <v/>
      </c>
      <c r="F91" s="12" t="str">
        <f>IF(Raw_Data!J94="","",Raw_Data!J94)</f>
        <v/>
      </c>
      <c r="G91" s="12" t="str">
        <f>IF(Raw_Data!AH94&lt;&gt;"",Raw_Data!AH94,IF(Raw_Data!K94&lt;&gt;"",Raw_Data!K94,""))</f>
        <v/>
      </c>
      <c r="H91" s="12" t="str">
        <f>IF(Raw_Data!AI94&lt;&gt;"",Raw_Data!AI94,IF(Raw_Data!L94&lt;&gt;"",Raw_Data!L94,""))</f>
        <v/>
      </c>
      <c r="I91" s="12" t="str">
        <f t="shared" si="9"/>
        <v/>
      </c>
      <c r="J91" s="12" t="str">
        <f>IF(Raw_Data!M94="","",Raw_Data!M94)</f>
        <v/>
      </c>
      <c r="K91" s="12">
        <f>IF(Raw_Data!AJ94&lt;&gt;"",Raw_Data!AJ94,Raw_Data!N94)</f>
        <v>0</v>
      </c>
      <c r="L91" s="12">
        <f t="shared" si="10"/>
        <v>1</v>
      </c>
      <c r="M91" s="12" t="str">
        <f>IF(Raw_Data!AK94="","",Raw_Data!AK94)</f>
        <v/>
      </c>
      <c r="N91" s="12" t="str">
        <f>IF(Raw_Data!T94="","",Raw_Data!T94)</f>
        <v/>
      </c>
      <c r="O91" s="12" t="str">
        <f>IF(Raw_Data!AB94&lt;&gt;"",Raw_Data!AB94,IF(N91="tres_insatisfait",1,IF(N91="insatisfait",2,IF(N91="neutre",3,IF(N91="satisfait",4,IF(N91="tres_satisfait",5,""))))))</f>
        <v/>
      </c>
      <c r="P91" s="12">
        <f>IF(Raw_Data!AL94&lt;&gt;"",Raw_Data!AL94,Raw_Data!R94)</f>
        <v>0</v>
      </c>
      <c r="Q91" s="12">
        <f t="shared" si="11"/>
        <v>0</v>
      </c>
      <c r="R91" s="12" t="str">
        <f>IF(Raw_Data!AM94="","",Raw_Data!AM94)</f>
        <v/>
      </c>
      <c r="S91" s="12" t="str">
        <f t="shared" si="12"/>
        <v/>
      </c>
      <c r="T91" s="12" t="str">
        <f>IF(Raw_Data!AN94="","",Raw_Data!AN94)</f>
        <v/>
      </c>
      <c r="U91" s="12" t="str">
        <f t="shared" si="13"/>
        <v/>
      </c>
      <c r="V91" s="12" t="str">
        <f>IF(Raw_Data!AP94="","",IF(Raw_Data!AP94="oui",1,0))</f>
        <v/>
      </c>
      <c r="W91" s="12" t="str">
        <f>IF(Raw_Data!AQ94="","",IF(Raw_Data!AQ94="oui",1,0))</f>
        <v/>
      </c>
      <c r="X91" s="12" t="str">
        <f>IF(Raw_Data!AR94="","",IF(Raw_Data!AR94="oui",1,0))</f>
        <v/>
      </c>
      <c r="Y91" s="12" t="str">
        <f>IF(Raw_Data!AS94="","",IF(Raw_Data!AS94="oui",1,0))</f>
        <v/>
      </c>
      <c r="Z91" s="12" t="str">
        <f>IF(Raw_Data!V94="","",IF(Raw_Data!V94="oui",1,0))</f>
        <v/>
      </c>
      <c r="AA91" s="12" t="str">
        <f>IF(Raw_Data!W94="","",IF(Raw_Data!W94="oui",1,0))</f>
        <v/>
      </c>
      <c r="AB91" s="12" t="str">
        <f>IF(Raw_Data!Q94="","",IF(Raw_Data!Q94="oui",1,0))</f>
        <v/>
      </c>
      <c r="AC91" s="12">
        <f>Raw_Data!AF94</f>
        <v>0</v>
      </c>
      <c r="AD91" s="12" t="str">
        <f t="shared" si="14"/>
        <v/>
      </c>
      <c r="AE91" s="12" t="str">
        <f t="shared" si="15"/>
        <v/>
      </c>
      <c r="AF91" s="12" t="str">
        <f t="shared" si="16"/>
        <v/>
      </c>
      <c r="AG91" s="12">
        <f t="shared" si="17"/>
        <v>0</v>
      </c>
    </row>
    <row r="92" spans="1:33" ht="15" customHeight="1" x14ac:dyDescent="0.25">
      <c r="A92" s="12" t="str">
        <f>IF(Raw_Data!B95="","",Raw_Data!B95)</f>
        <v/>
      </c>
      <c r="B92" s="12">
        <f>IF(Raw_Data!X95&lt;&gt;"",Raw_Data!X95,Raw_Data!C95)</f>
        <v>0</v>
      </c>
      <c r="C92" s="12" t="str">
        <f>IF(Raw_Data!G95="","",Raw_Data!G95)</f>
        <v/>
      </c>
      <c r="D92" s="12" t="str">
        <f>IF(Raw_Data!H95="","",Raw_Data!H95)</f>
        <v/>
      </c>
      <c r="E92" s="12" t="str">
        <f>IF(Raw_Data!I95="","",Raw_Data!I95)</f>
        <v/>
      </c>
      <c r="F92" s="12" t="str">
        <f>IF(Raw_Data!J95="","",Raw_Data!J95)</f>
        <v/>
      </c>
      <c r="G92" s="12" t="str">
        <f>IF(Raw_Data!AH95&lt;&gt;"",Raw_Data!AH95,IF(Raw_Data!K95&lt;&gt;"",Raw_Data!K95,""))</f>
        <v/>
      </c>
      <c r="H92" s="12" t="str">
        <f>IF(Raw_Data!AI95&lt;&gt;"",Raw_Data!AI95,IF(Raw_Data!L95&lt;&gt;"",Raw_Data!L95,""))</f>
        <v/>
      </c>
      <c r="I92" s="12" t="str">
        <f t="shared" si="9"/>
        <v/>
      </c>
      <c r="J92" s="12" t="str">
        <f>IF(Raw_Data!M95="","",Raw_Data!M95)</f>
        <v/>
      </c>
      <c r="K92" s="12">
        <f>IF(Raw_Data!AJ95&lt;&gt;"",Raw_Data!AJ95,Raw_Data!N95)</f>
        <v>0</v>
      </c>
      <c r="L92" s="12">
        <f t="shared" si="10"/>
        <v>1</v>
      </c>
      <c r="M92" s="12" t="str">
        <f>IF(Raw_Data!AK95="","",Raw_Data!AK95)</f>
        <v/>
      </c>
      <c r="N92" s="12" t="str">
        <f>IF(Raw_Data!T95="","",Raw_Data!T95)</f>
        <v/>
      </c>
      <c r="O92" s="12" t="str">
        <f>IF(Raw_Data!AB95&lt;&gt;"",Raw_Data!AB95,IF(N92="tres_insatisfait",1,IF(N92="insatisfait",2,IF(N92="neutre",3,IF(N92="satisfait",4,IF(N92="tres_satisfait",5,""))))))</f>
        <v/>
      </c>
      <c r="P92" s="12">
        <f>IF(Raw_Data!AL95&lt;&gt;"",Raw_Data!AL95,Raw_Data!R95)</f>
        <v>0</v>
      </c>
      <c r="Q92" s="12">
        <f t="shared" si="11"/>
        <v>0</v>
      </c>
      <c r="R92" s="12" t="str">
        <f>IF(Raw_Data!AM95="","",Raw_Data!AM95)</f>
        <v/>
      </c>
      <c r="S92" s="12" t="str">
        <f t="shared" si="12"/>
        <v/>
      </c>
      <c r="T92" s="12" t="str">
        <f>IF(Raw_Data!AN95="","",Raw_Data!AN95)</f>
        <v/>
      </c>
      <c r="U92" s="12" t="str">
        <f t="shared" si="13"/>
        <v/>
      </c>
      <c r="V92" s="12" t="str">
        <f>IF(Raw_Data!AP95="","",IF(Raw_Data!AP95="oui",1,0))</f>
        <v/>
      </c>
      <c r="W92" s="12" t="str">
        <f>IF(Raw_Data!AQ95="","",IF(Raw_Data!AQ95="oui",1,0))</f>
        <v/>
      </c>
      <c r="X92" s="12" t="str">
        <f>IF(Raw_Data!AR95="","",IF(Raw_Data!AR95="oui",1,0))</f>
        <v/>
      </c>
      <c r="Y92" s="12" t="str">
        <f>IF(Raw_Data!AS95="","",IF(Raw_Data!AS95="oui",1,0))</f>
        <v/>
      </c>
      <c r="Z92" s="12" t="str">
        <f>IF(Raw_Data!V95="","",IF(Raw_Data!V95="oui",1,0))</f>
        <v/>
      </c>
      <c r="AA92" s="12" t="str">
        <f>IF(Raw_Data!W95="","",IF(Raw_Data!W95="oui",1,0))</f>
        <v/>
      </c>
      <c r="AB92" s="12" t="str">
        <f>IF(Raw_Data!Q95="","",IF(Raw_Data!Q95="oui",1,0))</f>
        <v/>
      </c>
      <c r="AC92" s="12">
        <f>Raw_Data!AF95</f>
        <v>0</v>
      </c>
      <c r="AD92" s="12" t="str">
        <f t="shared" si="14"/>
        <v/>
      </c>
      <c r="AE92" s="12" t="str">
        <f t="shared" si="15"/>
        <v/>
      </c>
      <c r="AF92" s="12" t="str">
        <f t="shared" si="16"/>
        <v/>
      </c>
      <c r="AG92" s="12">
        <f t="shared" si="17"/>
        <v>0</v>
      </c>
    </row>
    <row r="93" spans="1:33" ht="15" customHeight="1" x14ac:dyDescent="0.25">
      <c r="A93" s="12" t="str">
        <f>IF(Raw_Data!B96="","",Raw_Data!B96)</f>
        <v/>
      </c>
      <c r="B93" s="12">
        <f>IF(Raw_Data!X96&lt;&gt;"",Raw_Data!X96,Raw_Data!C96)</f>
        <v>0</v>
      </c>
      <c r="C93" s="12" t="str">
        <f>IF(Raw_Data!G96="","",Raw_Data!G96)</f>
        <v/>
      </c>
      <c r="D93" s="12" t="str">
        <f>IF(Raw_Data!H96="","",Raw_Data!H96)</f>
        <v/>
      </c>
      <c r="E93" s="12" t="str">
        <f>IF(Raw_Data!I96="","",Raw_Data!I96)</f>
        <v/>
      </c>
      <c r="F93" s="12" t="str">
        <f>IF(Raw_Data!J96="","",Raw_Data!J96)</f>
        <v/>
      </c>
      <c r="G93" s="12" t="str">
        <f>IF(Raw_Data!AH96&lt;&gt;"",Raw_Data!AH96,IF(Raw_Data!K96&lt;&gt;"",Raw_Data!K96,""))</f>
        <v/>
      </c>
      <c r="H93" s="12" t="str">
        <f>IF(Raw_Data!AI96&lt;&gt;"",Raw_Data!AI96,IF(Raw_Data!L96&lt;&gt;"",Raw_Data!L96,""))</f>
        <v/>
      </c>
      <c r="I93" s="12" t="str">
        <f t="shared" si="9"/>
        <v/>
      </c>
      <c r="J93" s="12" t="str">
        <f>IF(Raw_Data!M96="","",Raw_Data!M96)</f>
        <v/>
      </c>
      <c r="K93" s="12">
        <f>IF(Raw_Data!AJ96&lt;&gt;"",Raw_Data!AJ96,Raw_Data!N96)</f>
        <v>0</v>
      </c>
      <c r="L93" s="12">
        <f t="shared" si="10"/>
        <v>1</v>
      </c>
      <c r="M93" s="12" t="str">
        <f>IF(Raw_Data!AK96="","",Raw_Data!AK96)</f>
        <v/>
      </c>
      <c r="N93" s="12" t="str">
        <f>IF(Raw_Data!T96="","",Raw_Data!T96)</f>
        <v/>
      </c>
      <c r="O93" s="12" t="str">
        <f>IF(Raw_Data!AB96&lt;&gt;"",Raw_Data!AB96,IF(N93="tres_insatisfait",1,IF(N93="insatisfait",2,IF(N93="neutre",3,IF(N93="satisfait",4,IF(N93="tres_satisfait",5,""))))))</f>
        <v/>
      </c>
      <c r="P93" s="12">
        <f>IF(Raw_Data!AL96&lt;&gt;"",Raw_Data!AL96,Raw_Data!R96)</f>
        <v>0</v>
      </c>
      <c r="Q93" s="12">
        <f t="shared" si="11"/>
        <v>0</v>
      </c>
      <c r="R93" s="12" t="str">
        <f>IF(Raw_Data!AM96="","",Raw_Data!AM96)</f>
        <v/>
      </c>
      <c r="S93" s="12" t="str">
        <f t="shared" si="12"/>
        <v/>
      </c>
      <c r="T93" s="12" t="str">
        <f>IF(Raw_Data!AN96="","",Raw_Data!AN96)</f>
        <v/>
      </c>
      <c r="U93" s="12" t="str">
        <f t="shared" si="13"/>
        <v/>
      </c>
      <c r="V93" s="12" t="str">
        <f>IF(Raw_Data!AP96="","",IF(Raw_Data!AP96="oui",1,0))</f>
        <v/>
      </c>
      <c r="W93" s="12" t="str">
        <f>IF(Raw_Data!AQ96="","",IF(Raw_Data!AQ96="oui",1,0))</f>
        <v/>
      </c>
      <c r="X93" s="12" t="str">
        <f>IF(Raw_Data!AR96="","",IF(Raw_Data!AR96="oui",1,0))</f>
        <v/>
      </c>
      <c r="Y93" s="12" t="str">
        <f>IF(Raw_Data!AS96="","",IF(Raw_Data!AS96="oui",1,0))</f>
        <v/>
      </c>
      <c r="Z93" s="12" t="str">
        <f>IF(Raw_Data!V96="","",IF(Raw_Data!V96="oui",1,0))</f>
        <v/>
      </c>
      <c r="AA93" s="12" t="str">
        <f>IF(Raw_Data!W96="","",IF(Raw_Data!W96="oui",1,0))</f>
        <v/>
      </c>
      <c r="AB93" s="12" t="str">
        <f>IF(Raw_Data!Q96="","",IF(Raw_Data!Q96="oui",1,0))</f>
        <v/>
      </c>
      <c r="AC93" s="12">
        <f>Raw_Data!AF96</f>
        <v>0</v>
      </c>
      <c r="AD93" s="12" t="str">
        <f t="shared" si="14"/>
        <v/>
      </c>
      <c r="AE93" s="12" t="str">
        <f t="shared" si="15"/>
        <v/>
      </c>
      <c r="AF93" s="12" t="str">
        <f t="shared" si="16"/>
        <v/>
      </c>
      <c r="AG93" s="12">
        <f t="shared" si="17"/>
        <v>0</v>
      </c>
    </row>
    <row r="94" spans="1:33" ht="15" customHeight="1" x14ac:dyDescent="0.25">
      <c r="A94" s="12" t="str">
        <f>IF(Raw_Data!B97="","",Raw_Data!B97)</f>
        <v/>
      </c>
      <c r="B94" s="12">
        <f>IF(Raw_Data!X97&lt;&gt;"",Raw_Data!X97,Raw_Data!C97)</f>
        <v>0</v>
      </c>
      <c r="C94" s="12" t="str">
        <f>IF(Raw_Data!G97="","",Raw_Data!G97)</f>
        <v/>
      </c>
      <c r="D94" s="12" t="str">
        <f>IF(Raw_Data!H97="","",Raw_Data!H97)</f>
        <v/>
      </c>
      <c r="E94" s="12" t="str">
        <f>IF(Raw_Data!I97="","",Raw_Data!I97)</f>
        <v/>
      </c>
      <c r="F94" s="12" t="str">
        <f>IF(Raw_Data!J97="","",Raw_Data!J97)</f>
        <v/>
      </c>
      <c r="G94" s="12" t="str">
        <f>IF(Raw_Data!AH97&lt;&gt;"",Raw_Data!AH97,IF(Raw_Data!K97&lt;&gt;"",Raw_Data!K97,""))</f>
        <v/>
      </c>
      <c r="H94" s="12" t="str">
        <f>IF(Raw_Data!AI97&lt;&gt;"",Raw_Data!AI97,IF(Raw_Data!L97&lt;&gt;"",Raw_Data!L97,""))</f>
        <v/>
      </c>
      <c r="I94" s="12" t="str">
        <f t="shared" si="9"/>
        <v/>
      </c>
      <c r="J94" s="12" t="str">
        <f>IF(Raw_Data!M97="","",Raw_Data!M97)</f>
        <v/>
      </c>
      <c r="K94" s="12">
        <f>IF(Raw_Data!AJ97&lt;&gt;"",Raw_Data!AJ97,Raw_Data!N97)</f>
        <v>0</v>
      </c>
      <c r="L94" s="12">
        <f t="shared" si="10"/>
        <v>1</v>
      </c>
      <c r="M94" s="12" t="str">
        <f>IF(Raw_Data!AK97="","",Raw_Data!AK97)</f>
        <v/>
      </c>
      <c r="N94" s="12" t="str">
        <f>IF(Raw_Data!T97="","",Raw_Data!T97)</f>
        <v/>
      </c>
      <c r="O94" s="12" t="str">
        <f>IF(Raw_Data!AB97&lt;&gt;"",Raw_Data!AB97,IF(N94="tres_insatisfait",1,IF(N94="insatisfait",2,IF(N94="neutre",3,IF(N94="satisfait",4,IF(N94="tres_satisfait",5,""))))))</f>
        <v/>
      </c>
      <c r="P94" s="12">
        <f>IF(Raw_Data!AL97&lt;&gt;"",Raw_Data!AL97,Raw_Data!R97)</f>
        <v>0</v>
      </c>
      <c r="Q94" s="12">
        <f t="shared" si="11"/>
        <v>0</v>
      </c>
      <c r="R94" s="12" t="str">
        <f>IF(Raw_Data!AM97="","",Raw_Data!AM97)</f>
        <v/>
      </c>
      <c r="S94" s="12" t="str">
        <f t="shared" si="12"/>
        <v/>
      </c>
      <c r="T94" s="12" t="str">
        <f>IF(Raw_Data!AN97="","",Raw_Data!AN97)</f>
        <v/>
      </c>
      <c r="U94" s="12" t="str">
        <f t="shared" si="13"/>
        <v/>
      </c>
      <c r="V94" s="12" t="str">
        <f>IF(Raw_Data!AP97="","",IF(Raw_Data!AP97="oui",1,0))</f>
        <v/>
      </c>
      <c r="W94" s="12" t="str">
        <f>IF(Raw_Data!AQ97="","",IF(Raw_Data!AQ97="oui",1,0))</f>
        <v/>
      </c>
      <c r="X94" s="12" t="str">
        <f>IF(Raw_Data!AR97="","",IF(Raw_Data!AR97="oui",1,0))</f>
        <v/>
      </c>
      <c r="Y94" s="12" t="str">
        <f>IF(Raw_Data!AS97="","",IF(Raw_Data!AS97="oui",1,0))</f>
        <v/>
      </c>
      <c r="Z94" s="12" t="str">
        <f>IF(Raw_Data!V97="","",IF(Raw_Data!V97="oui",1,0))</f>
        <v/>
      </c>
      <c r="AA94" s="12" t="str">
        <f>IF(Raw_Data!W97="","",IF(Raw_Data!W97="oui",1,0))</f>
        <v/>
      </c>
      <c r="AB94" s="12" t="str">
        <f>IF(Raw_Data!Q97="","",IF(Raw_Data!Q97="oui",1,0))</f>
        <v/>
      </c>
      <c r="AC94" s="12">
        <f>Raw_Data!AF97</f>
        <v>0</v>
      </c>
      <c r="AD94" s="12" t="str">
        <f t="shared" si="14"/>
        <v/>
      </c>
      <c r="AE94" s="12" t="str">
        <f t="shared" si="15"/>
        <v/>
      </c>
      <c r="AF94" s="12" t="str">
        <f t="shared" si="16"/>
        <v/>
      </c>
      <c r="AG94" s="12">
        <f t="shared" si="17"/>
        <v>0</v>
      </c>
    </row>
    <row r="95" spans="1:33" ht="15" customHeight="1" x14ac:dyDescent="0.25">
      <c r="A95" s="12" t="str">
        <f>IF(Raw_Data!B98="","",Raw_Data!B98)</f>
        <v/>
      </c>
      <c r="B95" s="12">
        <f>IF(Raw_Data!X98&lt;&gt;"",Raw_Data!X98,Raw_Data!C98)</f>
        <v>0</v>
      </c>
      <c r="C95" s="12" t="str">
        <f>IF(Raw_Data!G98="","",Raw_Data!G98)</f>
        <v/>
      </c>
      <c r="D95" s="12" t="str">
        <f>IF(Raw_Data!H98="","",Raw_Data!H98)</f>
        <v/>
      </c>
      <c r="E95" s="12" t="str">
        <f>IF(Raw_Data!I98="","",Raw_Data!I98)</f>
        <v/>
      </c>
      <c r="F95" s="12" t="str">
        <f>IF(Raw_Data!J98="","",Raw_Data!J98)</f>
        <v/>
      </c>
      <c r="G95" s="12" t="str">
        <f>IF(Raw_Data!AH98&lt;&gt;"",Raw_Data!AH98,IF(Raw_Data!K98&lt;&gt;"",Raw_Data!K98,""))</f>
        <v/>
      </c>
      <c r="H95" s="12" t="str">
        <f>IF(Raw_Data!AI98&lt;&gt;"",Raw_Data!AI98,IF(Raw_Data!L98&lt;&gt;"",Raw_Data!L98,""))</f>
        <v/>
      </c>
      <c r="I95" s="12" t="str">
        <f t="shared" si="9"/>
        <v/>
      </c>
      <c r="J95" s="12" t="str">
        <f>IF(Raw_Data!M98="","",Raw_Data!M98)</f>
        <v/>
      </c>
      <c r="K95" s="12">
        <f>IF(Raw_Data!AJ98&lt;&gt;"",Raw_Data!AJ98,Raw_Data!N98)</f>
        <v>0</v>
      </c>
      <c r="L95" s="12">
        <f t="shared" si="10"/>
        <v>1</v>
      </c>
      <c r="M95" s="12" t="str">
        <f>IF(Raw_Data!AK98="","",Raw_Data!AK98)</f>
        <v/>
      </c>
      <c r="N95" s="12" t="str">
        <f>IF(Raw_Data!T98="","",Raw_Data!T98)</f>
        <v/>
      </c>
      <c r="O95" s="12" t="str">
        <f>IF(Raw_Data!AB98&lt;&gt;"",Raw_Data!AB98,IF(N95="tres_insatisfait",1,IF(N95="insatisfait",2,IF(N95="neutre",3,IF(N95="satisfait",4,IF(N95="tres_satisfait",5,""))))))</f>
        <v/>
      </c>
      <c r="P95" s="12">
        <f>IF(Raw_Data!AL98&lt;&gt;"",Raw_Data!AL98,Raw_Data!R98)</f>
        <v>0</v>
      </c>
      <c r="Q95" s="12">
        <f t="shared" si="11"/>
        <v>0</v>
      </c>
      <c r="R95" s="12" t="str">
        <f>IF(Raw_Data!AM98="","",Raw_Data!AM98)</f>
        <v/>
      </c>
      <c r="S95" s="12" t="str">
        <f t="shared" si="12"/>
        <v/>
      </c>
      <c r="T95" s="12" t="str">
        <f>IF(Raw_Data!AN98="","",Raw_Data!AN98)</f>
        <v/>
      </c>
      <c r="U95" s="12" t="str">
        <f t="shared" si="13"/>
        <v/>
      </c>
      <c r="V95" s="12" t="str">
        <f>IF(Raw_Data!AP98="","",IF(Raw_Data!AP98="oui",1,0))</f>
        <v/>
      </c>
      <c r="W95" s="12" t="str">
        <f>IF(Raw_Data!AQ98="","",IF(Raw_Data!AQ98="oui",1,0))</f>
        <v/>
      </c>
      <c r="X95" s="12" t="str">
        <f>IF(Raw_Data!AR98="","",IF(Raw_Data!AR98="oui",1,0))</f>
        <v/>
      </c>
      <c r="Y95" s="12" t="str">
        <f>IF(Raw_Data!AS98="","",IF(Raw_Data!AS98="oui",1,0))</f>
        <v/>
      </c>
      <c r="Z95" s="12" t="str">
        <f>IF(Raw_Data!V98="","",IF(Raw_Data!V98="oui",1,0))</f>
        <v/>
      </c>
      <c r="AA95" s="12" t="str">
        <f>IF(Raw_Data!W98="","",IF(Raw_Data!W98="oui",1,0))</f>
        <v/>
      </c>
      <c r="AB95" s="12" t="str">
        <f>IF(Raw_Data!Q98="","",IF(Raw_Data!Q98="oui",1,0))</f>
        <v/>
      </c>
      <c r="AC95" s="12">
        <f>Raw_Data!AF98</f>
        <v>0</v>
      </c>
      <c r="AD95" s="12" t="str">
        <f t="shared" si="14"/>
        <v/>
      </c>
      <c r="AE95" s="12" t="str">
        <f t="shared" si="15"/>
        <v/>
      </c>
      <c r="AF95" s="12" t="str">
        <f t="shared" si="16"/>
        <v/>
      </c>
      <c r="AG95" s="12">
        <f t="shared" si="17"/>
        <v>0</v>
      </c>
    </row>
    <row r="96" spans="1:33" ht="15" customHeight="1" x14ac:dyDescent="0.25">
      <c r="A96" s="12" t="str">
        <f>IF(Raw_Data!B99="","",Raw_Data!B99)</f>
        <v/>
      </c>
      <c r="B96" s="12">
        <f>IF(Raw_Data!X99&lt;&gt;"",Raw_Data!X99,Raw_Data!C99)</f>
        <v>0</v>
      </c>
      <c r="C96" s="12" t="str">
        <f>IF(Raw_Data!G99="","",Raw_Data!G99)</f>
        <v/>
      </c>
      <c r="D96" s="12" t="str">
        <f>IF(Raw_Data!H99="","",Raw_Data!H99)</f>
        <v/>
      </c>
      <c r="E96" s="12" t="str">
        <f>IF(Raw_Data!I99="","",Raw_Data!I99)</f>
        <v/>
      </c>
      <c r="F96" s="12" t="str">
        <f>IF(Raw_Data!J99="","",Raw_Data!J99)</f>
        <v/>
      </c>
      <c r="G96" s="12" t="str">
        <f>IF(Raw_Data!AH99&lt;&gt;"",Raw_Data!AH99,IF(Raw_Data!K99&lt;&gt;"",Raw_Data!K99,""))</f>
        <v/>
      </c>
      <c r="H96" s="12" t="str">
        <f>IF(Raw_Data!AI99&lt;&gt;"",Raw_Data!AI99,IF(Raw_Data!L99&lt;&gt;"",Raw_Data!L99,""))</f>
        <v/>
      </c>
      <c r="I96" s="12" t="str">
        <f t="shared" si="9"/>
        <v/>
      </c>
      <c r="J96" s="12" t="str">
        <f>IF(Raw_Data!M99="","",Raw_Data!M99)</f>
        <v/>
      </c>
      <c r="K96" s="12">
        <f>IF(Raw_Data!AJ99&lt;&gt;"",Raw_Data!AJ99,Raw_Data!N99)</f>
        <v>0</v>
      </c>
      <c r="L96" s="12">
        <f t="shared" si="10"/>
        <v>1</v>
      </c>
      <c r="M96" s="12" t="str">
        <f>IF(Raw_Data!AK99="","",Raw_Data!AK99)</f>
        <v/>
      </c>
      <c r="N96" s="12" t="str">
        <f>IF(Raw_Data!T99="","",Raw_Data!T99)</f>
        <v/>
      </c>
      <c r="O96" s="12" t="str">
        <f>IF(Raw_Data!AB99&lt;&gt;"",Raw_Data!AB99,IF(N96="tres_insatisfait",1,IF(N96="insatisfait",2,IF(N96="neutre",3,IF(N96="satisfait",4,IF(N96="tres_satisfait",5,""))))))</f>
        <v/>
      </c>
      <c r="P96" s="12">
        <f>IF(Raw_Data!AL99&lt;&gt;"",Raw_Data!AL99,Raw_Data!R99)</f>
        <v>0</v>
      </c>
      <c r="Q96" s="12">
        <f t="shared" si="11"/>
        <v>0</v>
      </c>
      <c r="R96" s="12" t="str">
        <f>IF(Raw_Data!AM99="","",Raw_Data!AM99)</f>
        <v/>
      </c>
      <c r="S96" s="12" t="str">
        <f t="shared" si="12"/>
        <v/>
      </c>
      <c r="T96" s="12" t="str">
        <f>IF(Raw_Data!AN99="","",Raw_Data!AN99)</f>
        <v/>
      </c>
      <c r="U96" s="12" t="str">
        <f t="shared" si="13"/>
        <v/>
      </c>
      <c r="V96" s="12" t="str">
        <f>IF(Raw_Data!AP99="","",IF(Raw_Data!AP99="oui",1,0))</f>
        <v/>
      </c>
      <c r="W96" s="12" t="str">
        <f>IF(Raw_Data!AQ99="","",IF(Raw_Data!AQ99="oui",1,0))</f>
        <v/>
      </c>
      <c r="X96" s="12" t="str">
        <f>IF(Raw_Data!AR99="","",IF(Raw_Data!AR99="oui",1,0))</f>
        <v/>
      </c>
      <c r="Y96" s="12" t="str">
        <f>IF(Raw_Data!AS99="","",IF(Raw_Data!AS99="oui",1,0))</f>
        <v/>
      </c>
      <c r="Z96" s="12" t="str">
        <f>IF(Raw_Data!V99="","",IF(Raw_Data!V99="oui",1,0))</f>
        <v/>
      </c>
      <c r="AA96" s="12" t="str">
        <f>IF(Raw_Data!W99="","",IF(Raw_Data!W99="oui",1,0))</f>
        <v/>
      </c>
      <c r="AB96" s="12" t="str">
        <f>IF(Raw_Data!Q99="","",IF(Raw_Data!Q99="oui",1,0))</f>
        <v/>
      </c>
      <c r="AC96" s="12">
        <f>Raw_Data!AF99</f>
        <v>0</v>
      </c>
      <c r="AD96" s="12" t="str">
        <f t="shared" si="14"/>
        <v/>
      </c>
      <c r="AE96" s="12" t="str">
        <f t="shared" si="15"/>
        <v/>
      </c>
      <c r="AF96" s="12" t="str">
        <f t="shared" si="16"/>
        <v/>
      </c>
      <c r="AG96" s="12">
        <f t="shared" si="17"/>
        <v>0</v>
      </c>
    </row>
    <row r="97" spans="1:33" ht="15" customHeight="1" x14ac:dyDescent="0.25">
      <c r="A97" s="12" t="str">
        <f>IF(Raw_Data!B100="","",Raw_Data!B100)</f>
        <v/>
      </c>
      <c r="B97" s="12">
        <f>IF(Raw_Data!X100&lt;&gt;"",Raw_Data!X100,Raw_Data!C100)</f>
        <v>0</v>
      </c>
      <c r="C97" s="12" t="str">
        <f>IF(Raw_Data!G100="","",Raw_Data!G100)</f>
        <v/>
      </c>
      <c r="D97" s="12" t="str">
        <f>IF(Raw_Data!H100="","",Raw_Data!H100)</f>
        <v/>
      </c>
      <c r="E97" s="12" t="str">
        <f>IF(Raw_Data!I100="","",Raw_Data!I100)</f>
        <v/>
      </c>
      <c r="F97" s="12" t="str">
        <f>IF(Raw_Data!J100="","",Raw_Data!J100)</f>
        <v/>
      </c>
      <c r="G97" s="12" t="str">
        <f>IF(Raw_Data!AH100&lt;&gt;"",Raw_Data!AH100,IF(Raw_Data!K100&lt;&gt;"",Raw_Data!K100,""))</f>
        <v/>
      </c>
      <c r="H97" s="12" t="str">
        <f>IF(Raw_Data!AI100&lt;&gt;"",Raw_Data!AI100,IF(Raw_Data!L100&lt;&gt;"",Raw_Data!L100,""))</f>
        <v/>
      </c>
      <c r="I97" s="12" t="str">
        <f t="shared" si="9"/>
        <v/>
      </c>
      <c r="J97" s="12" t="str">
        <f>IF(Raw_Data!M100="","",Raw_Data!M100)</f>
        <v/>
      </c>
      <c r="K97" s="12">
        <f>IF(Raw_Data!AJ100&lt;&gt;"",Raw_Data!AJ100,Raw_Data!N100)</f>
        <v>0</v>
      </c>
      <c r="L97" s="12">
        <f t="shared" si="10"/>
        <v>1</v>
      </c>
      <c r="M97" s="12" t="str">
        <f>IF(Raw_Data!AK100="","",Raw_Data!AK100)</f>
        <v/>
      </c>
      <c r="N97" s="12" t="str">
        <f>IF(Raw_Data!T100="","",Raw_Data!T100)</f>
        <v/>
      </c>
      <c r="O97" s="12" t="str">
        <f>IF(Raw_Data!AB100&lt;&gt;"",Raw_Data!AB100,IF(N97="tres_insatisfait",1,IF(N97="insatisfait",2,IF(N97="neutre",3,IF(N97="satisfait",4,IF(N97="tres_satisfait",5,""))))))</f>
        <v/>
      </c>
      <c r="P97" s="12">
        <f>IF(Raw_Data!AL100&lt;&gt;"",Raw_Data!AL100,Raw_Data!R100)</f>
        <v>0</v>
      </c>
      <c r="Q97" s="12">
        <f t="shared" si="11"/>
        <v>0</v>
      </c>
      <c r="R97" s="12" t="str">
        <f>IF(Raw_Data!AM100="","",Raw_Data!AM100)</f>
        <v/>
      </c>
      <c r="S97" s="12" t="str">
        <f t="shared" si="12"/>
        <v/>
      </c>
      <c r="T97" s="12" t="str">
        <f>IF(Raw_Data!AN100="","",Raw_Data!AN100)</f>
        <v/>
      </c>
      <c r="U97" s="12" t="str">
        <f t="shared" si="13"/>
        <v/>
      </c>
      <c r="V97" s="12" t="str">
        <f>IF(Raw_Data!AP100="","",IF(Raw_Data!AP100="oui",1,0))</f>
        <v/>
      </c>
      <c r="W97" s="12" t="str">
        <f>IF(Raw_Data!AQ100="","",IF(Raw_Data!AQ100="oui",1,0))</f>
        <v/>
      </c>
      <c r="X97" s="12" t="str">
        <f>IF(Raw_Data!AR100="","",IF(Raw_Data!AR100="oui",1,0))</f>
        <v/>
      </c>
      <c r="Y97" s="12" t="str">
        <f>IF(Raw_Data!AS100="","",IF(Raw_Data!AS100="oui",1,0))</f>
        <v/>
      </c>
      <c r="Z97" s="12" t="str">
        <f>IF(Raw_Data!V100="","",IF(Raw_Data!V100="oui",1,0))</f>
        <v/>
      </c>
      <c r="AA97" s="12" t="str">
        <f>IF(Raw_Data!W100="","",IF(Raw_Data!W100="oui",1,0))</f>
        <v/>
      </c>
      <c r="AB97" s="12" t="str">
        <f>IF(Raw_Data!Q100="","",IF(Raw_Data!Q100="oui",1,0))</f>
        <v/>
      </c>
      <c r="AC97" s="12">
        <f>Raw_Data!AF100</f>
        <v>0</v>
      </c>
      <c r="AD97" s="12" t="str">
        <f t="shared" si="14"/>
        <v/>
      </c>
      <c r="AE97" s="12" t="str">
        <f t="shared" si="15"/>
        <v/>
      </c>
      <c r="AF97" s="12" t="str">
        <f t="shared" si="16"/>
        <v/>
      </c>
      <c r="AG97" s="12">
        <f t="shared" si="17"/>
        <v>0</v>
      </c>
    </row>
    <row r="98" spans="1:33" ht="15" customHeight="1" x14ac:dyDescent="0.25">
      <c r="A98" s="12" t="str">
        <f>IF(Raw_Data!B101="","",Raw_Data!B101)</f>
        <v/>
      </c>
      <c r="B98" s="12">
        <f>IF(Raw_Data!X101&lt;&gt;"",Raw_Data!X101,Raw_Data!C101)</f>
        <v>0</v>
      </c>
      <c r="C98" s="12" t="str">
        <f>IF(Raw_Data!G101="","",Raw_Data!G101)</f>
        <v/>
      </c>
      <c r="D98" s="12" t="str">
        <f>IF(Raw_Data!H101="","",Raw_Data!H101)</f>
        <v/>
      </c>
      <c r="E98" s="12" t="str">
        <f>IF(Raw_Data!I101="","",Raw_Data!I101)</f>
        <v/>
      </c>
      <c r="F98" s="12" t="str">
        <f>IF(Raw_Data!J101="","",Raw_Data!J101)</f>
        <v/>
      </c>
      <c r="G98" s="12" t="str">
        <f>IF(Raw_Data!AH101&lt;&gt;"",Raw_Data!AH101,IF(Raw_Data!K101&lt;&gt;"",Raw_Data!K101,""))</f>
        <v/>
      </c>
      <c r="H98" s="12" t="str">
        <f>IF(Raw_Data!AI101&lt;&gt;"",Raw_Data!AI101,IF(Raw_Data!L101&lt;&gt;"",Raw_Data!L101,""))</f>
        <v/>
      </c>
      <c r="I98" s="12" t="str">
        <f t="shared" si="9"/>
        <v/>
      </c>
      <c r="J98" s="12" t="str">
        <f>IF(Raw_Data!M101="","",Raw_Data!M101)</f>
        <v/>
      </c>
      <c r="K98" s="12">
        <f>IF(Raw_Data!AJ101&lt;&gt;"",Raw_Data!AJ101,Raw_Data!N101)</f>
        <v>0</v>
      </c>
      <c r="L98" s="12">
        <f t="shared" si="10"/>
        <v>1</v>
      </c>
      <c r="M98" s="12" t="str">
        <f>IF(Raw_Data!AK101="","",Raw_Data!AK101)</f>
        <v/>
      </c>
      <c r="N98" s="12" t="str">
        <f>IF(Raw_Data!T101="","",Raw_Data!T101)</f>
        <v/>
      </c>
      <c r="O98" s="12" t="str">
        <f>IF(Raw_Data!AB101&lt;&gt;"",Raw_Data!AB101,IF(N98="tres_insatisfait",1,IF(N98="insatisfait",2,IF(N98="neutre",3,IF(N98="satisfait",4,IF(N98="tres_satisfait",5,""))))))</f>
        <v/>
      </c>
      <c r="P98" s="12">
        <f>IF(Raw_Data!AL101&lt;&gt;"",Raw_Data!AL101,Raw_Data!R101)</f>
        <v>0</v>
      </c>
      <c r="Q98" s="12">
        <f t="shared" si="11"/>
        <v>0</v>
      </c>
      <c r="R98" s="12" t="str">
        <f>IF(Raw_Data!AM101="","",Raw_Data!AM101)</f>
        <v/>
      </c>
      <c r="S98" s="12" t="str">
        <f t="shared" si="12"/>
        <v/>
      </c>
      <c r="T98" s="12" t="str">
        <f>IF(Raw_Data!AN101="","",Raw_Data!AN101)</f>
        <v/>
      </c>
      <c r="U98" s="12" t="str">
        <f t="shared" si="13"/>
        <v/>
      </c>
      <c r="V98" s="12" t="str">
        <f>IF(Raw_Data!AP101="","",IF(Raw_Data!AP101="oui",1,0))</f>
        <v/>
      </c>
      <c r="W98" s="12" t="str">
        <f>IF(Raw_Data!AQ101="","",IF(Raw_Data!AQ101="oui",1,0))</f>
        <v/>
      </c>
      <c r="X98" s="12" t="str">
        <f>IF(Raw_Data!AR101="","",IF(Raw_Data!AR101="oui",1,0))</f>
        <v/>
      </c>
      <c r="Y98" s="12" t="str">
        <f>IF(Raw_Data!AS101="","",IF(Raw_Data!AS101="oui",1,0))</f>
        <v/>
      </c>
      <c r="Z98" s="12" t="str">
        <f>IF(Raw_Data!V101="","",IF(Raw_Data!V101="oui",1,0))</f>
        <v/>
      </c>
      <c r="AA98" s="12" t="str">
        <f>IF(Raw_Data!W101="","",IF(Raw_Data!W101="oui",1,0))</f>
        <v/>
      </c>
      <c r="AB98" s="12" t="str">
        <f>IF(Raw_Data!Q101="","",IF(Raw_Data!Q101="oui",1,0))</f>
        <v/>
      </c>
      <c r="AC98" s="12">
        <f>Raw_Data!AF101</f>
        <v>0</v>
      </c>
      <c r="AD98" s="12" t="str">
        <f t="shared" si="14"/>
        <v/>
      </c>
      <c r="AE98" s="12" t="str">
        <f t="shared" si="15"/>
        <v/>
      </c>
      <c r="AF98" s="12" t="str">
        <f t="shared" si="16"/>
        <v/>
      </c>
      <c r="AG98" s="12">
        <f t="shared" si="17"/>
        <v>0</v>
      </c>
    </row>
    <row r="99" spans="1:33" ht="15" customHeight="1" x14ac:dyDescent="0.25">
      <c r="A99" s="12" t="str">
        <f>IF(Raw_Data!B102="","",Raw_Data!B102)</f>
        <v/>
      </c>
      <c r="B99" s="12">
        <f>IF(Raw_Data!X102&lt;&gt;"",Raw_Data!X102,Raw_Data!C102)</f>
        <v>0</v>
      </c>
      <c r="C99" s="12" t="str">
        <f>IF(Raw_Data!G102="","",Raw_Data!G102)</f>
        <v/>
      </c>
      <c r="D99" s="12" t="str">
        <f>IF(Raw_Data!H102="","",Raw_Data!H102)</f>
        <v/>
      </c>
      <c r="E99" s="12" t="str">
        <f>IF(Raw_Data!I102="","",Raw_Data!I102)</f>
        <v/>
      </c>
      <c r="F99" s="12" t="str">
        <f>IF(Raw_Data!J102="","",Raw_Data!J102)</f>
        <v/>
      </c>
      <c r="G99" s="12" t="str">
        <f>IF(Raw_Data!AH102&lt;&gt;"",Raw_Data!AH102,IF(Raw_Data!K102&lt;&gt;"",Raw_Data!K102,""))</f>
        <v/>
      </c>
      <c r="H99" s="12" t="str">
        <f>IF(Raw_Data!AI102&lt;&gt;"",Raw_Data!AI102,IF(Raw_Data!L102&lt;&gt;"",Raw_Data!L102,""))</f>
        <v/>
      </c>
      <c r="I99" s="12" t="str">
        <f t="shared" si="9"/>
        <v/>
      </c>
      <c r="J99" s="12" t="str">
        <f>IF(Raw_Data!M102="","",Raw_Data!M102)</f>
        <v/>
      </c>
      <c r="K99" s="12">
        <f>IF(Raw_Data!AJ102&lt;&gt;"",Raw_Data!AJ102,Raw_Data!N102)</f>
        <v>0</v>
      </c>
      <c r="L99" s="12">
        <f t="shared" si="10"/>
        <v>1</v>
      </c>
      <c r="M99" s="12" t="str">
        <f>IF(Raw_Data!AK102="","",Raw_Data!AK102)</f>
        <v/>
      </c>
      <c r="N99" s="12" t="str">
        <f>IF(Raw_Data!T102="","",Raw_Data!T102)</f>
        <v/>
      </c>
      <c r="O99" s="12" t="str">
        <f>IF(Raw_Data!AB102&lt;&gt;"",Raw_Data!AB102,IF(N99="tres_insatisfait",1,IF(N99="insatisfait",2,IF(N99="neutre",3,IF(N99="satisfait",4,IF(N99="tres_satisfait",5,""))))))</f>
        <v/>
      </c>
      <c r="P99" s="12">
        <f>IF(Raw_Data!AL102&lt;&gt;"",Raw_Data!AL102,Raw_Data!R102)</f>
        <v>0</v>
      </c>
      <c r="Q99" s="12">
        <f t="shared" si="11"/>
        <v>0</v>
      </c>
      <c r="R99" s="12" t="str">
        <f>IF(Raw_Data!AM102="","",Raw_Data!AM102)</f>
        <v/>
      </c>
      <c r="S99" s="12" t="str">
        <f t="shared" si="12"/>
        <v/>
      </c>
      <c r="T99" s="12" t="str">
        <f>IF(Raw_Data!AN102="","",Raw_Data!AN102)</f>
        <v/>
      </c>
      <c r="U99" s="12" t="str">
        <f t="shared" si="13"/>
        <v/>
      </c>
      <c r="V99" s="12" t="str">
        <f>IF(Raw_Data!AP102="","",IF(Raw_Data!AP102="oui",1,0))</f>
        <v/>
      </c>
      <c r="W99" s="12" t="str">
        <f>IF(Raw_Data!AQ102="","",IF(Raw_Data!AQ102="oui",1,0))</f>
        <v/>
      </c>
      <c r="X99" s="12" t="str">
        <f>IF(Raw_Data!AR102="","",IF(Raw_Data!AR102="oui",1,0))</f>
        <v/>
      </c>
      <c r="Y99" s="12" t="str">
        <f>IF(Raw_Data!AS102="","",IF(Raw_Data!AS102="oui",1,0))</f>
        <v/>
      </c>
      <c r="Z99" s="12" t="str">
        <f>IF(Raw_Data!V102="","",IF(Raw_Data!V102="oui",1,0))</f>
        <v/>
      </c>
      <c r="AA99" s="12" t="str">
        <f>IF(Raw_Data!W102="","",IF(Raw_Data!W102="oui",1,0))</f>
        <v/>
      </c>
      <c r="AB99" s="12" t="str">
        <f>IF(Raw_Data!Q102="","",IF(Raw_Data!Q102="oui",1,0))</f>
        <v/>
      </c>
      <c r="AC99" s="12">
        <f>Raw_Data!AF102</f>
        <v>0</v>
      </c>
      <c r="AD99" s="12" t="str">
        <f t="shared" si="14"/>
        <v/>
      </c>
      <c r="AE99" s="12" t="str">
        <f t="shared" si="15"/>
        <v/>
      </c>
      <c r="AF99" s="12" t="str">
        <f t="shared" si="16"/>
        <v/>
      </c>
      <c r="AG99" s="12">
        <f t="shared" si="17"/>
        <v>0</v>
      </c>
    </row>
    <row r="100" spans="1:33" ht="15" customHeight="1" x14ac:dyDescent="0.25">
      <c r="A100" s="12" t="str">
        <f>IF(Raw_Data!B103="","",Raw_Data!B103)</f>
        <v/>
      </c>
      <c r="B100" s="12">
        <f>IF(Raw_Data!X103&lt;&gt;"",Raw_Data!X103,Raw_Data!C103)</f>
        <v>0</v>
      </c>
      <c r="C100" s="12" t="str">
        <f>IF(Raw_Data!G103="","",Raw_Data!G103)</f>
        <v/>
      </c>
      <c r="D100" s="12" t="str">
        <f>IF(Raw_Data!H103="","",Raw_Data!H103)</f>
        <v/>
      </c>
      <c r="E100" s="12" t="str">
        <f>IF(Raw_Data!I103="","",Raw_Data!I103)</f>
        <v/>
      </c>
      <c r="F100" s="12" t="str">
        <f>IF(Raw_Data!J103="","",Raw_Data!J103)</f>
        <v/>
      </c>
      <c r="G100" s="12" t="str">
        <f>IF(Raw_Data!AH103&lt;&gt;"",Raw_Data!AH103,IF(Raw_Data!K103&lt;&gt;"",Raw_Data!K103,""))</f>
        <v/>
      </c>
      <c r="H100" s="12" t="str">
        <f>IF(Raw_Data!AI103&lt;&gt;"",Raw_Data!AI103,IF(Raw_Data!L103&lt;&gt;"",Raw_Data!L103,""))</f>
        <v/>
      </c>
      <c r="I100" s="12" t="str">
        <f t="shared" si="9"/>
        <v/>
      </c>
      <c r="J100" s="12" t="str">
        <f>IF(Raw_Data!M103="","",Raw_Data!M103)</f>
        <v/>
      </c>
      <c r="K100" s="12">
        <f>IF(Raw_Data!AJ103&lt;&gt;"",Raw_Data!AJ103,Raw_Data!N103)</f>
        <v>0</v>
      </c>
      <c r="L100" s="12">
        <f t="shared" si="10"/>
        <v>1</v>
      </c>
      <c r="M100" s="12" t="str">
        <f>IF(Raw_Data!AK103="","",Raw_Data!AK103)</f>
        <v/>
      </c>
      <c r="N100" s="12" t="str">
        <f>IF(Raw_Data!T103="","",Raw_Data!T103)</f>
        <v/>
      </c>
      <c r="O100" s="12" t="str">
        <f>IF(Raw_Data!AB103&lt;&gt;"",Raw_Data!AB103,IF(N100="tres_insatisfait",1,IF(N100="insatisfait",2,IF(N100="neutre",3,IF(N100="satisfait",4,IF(N100="tres_satisfait",5,""))))))</f>
        <v/>
      </c>
      <c r="P100" s="12">
        <f>IF(Raw_Data!AL103&lt;&gt;"",Raw_Data!AL103,Raw_Data!R103)</f>
        <v>0</v>
      </c>
      <c r="Q100" s="12">
        <f t="shared" si="11"/>
        <v>0</v>
      </c>
      <c r="R100" s="12" t="str">
        <f>IF(Raw_Data!AM103="","",Raw_Data!AM103)</f>
        <v/>
      </c>
      <c r="S100" s="12" t="str">
        <f t="shared" si="12"/>
        <v/>
      </c>
      <c r="T100" s="12" t="str">
        <f>IF(Raw_Data!AN103="","",Raw_Data!AN103)</f>
        <v/>
      </c>
      <c r="U100" s="12" t="str">
        <f t="shared" si="13"/>
        <v/>
      </c>
      <c r="V100" s="12" t="str">
        <f>IF(Raw_Data!AP103="","",IF(Raw_Data!AP103="oui",1,0))</f>
        <v/>
      </c>
      <c r="W100" s="12" t="str">
        <f>IF(Raw_Data!AQ103="","",IF(Raw_Data!AQ103="oui",1,0))</f>
        <v/>
      </c>
      <c r="X100" s="12" t="str">
        <f>IF(Raw_Data!AR103="","",IF(Raw_Data!AR103="oui",1,0))</f>
        <v/>
      </c>
      <c r="Y100" s="12" t="str">
        <f>IF(Raw_Data!AS103="","",IF(Raw_Data!AS103="oui",1,0))</f>
        <v/>
      </c>
      <c r="Z100" s="12" t="str">
        <f>IF(Raw_Data!V103="","",IF(Raw_Data!V103="oui",1,0))</f>
        <v/>
      </c>
      <c r="AA100" s="12" t="str">
        <f>IF(Raw_Data!W103="","",IF(Raw_Data!W103="oui",1,0))</f>
        <v/>
      </c>
      <c r="AB100" s="12" t="str">
        <f>IF(Raw_Data!Q103="","",IF(Raw_Data!Q103="oui",1,0))</f>
        <v/>
      </c>
      <c r="AC100" s="12">
        <f>Raw_Data!AF103</f>
        <v>0</v>
      </c>
      <c r="AD100" s="12" t="str">
        <f t="shared" si="14"/>
        <v/>
      </c>
      <c r="AE100" s="12" t="str">
        <f t="shared" si="15"/>
        <v/>
      </c>
      <c r="AF100" s="12" t="str">
        <f t="shared" si="16"/>
        <v/>
      </c>
      <c r="AG100" s="12">
        <f t="shared" si="17"/>
        <v>0</v>
      </c>
    </row>
    <row r="101" spans="1:33" ht="15" customHeight="1" x14ac:dyDescent="0.25">
      <c r="A101" s="12" t="str">
        <f>IF(Raw_Data!B104="","",Raw_Data!B104)</f>
        <v/>
      </c>
      <c r="B101" s="12">
        <f>IF(Raw_Data!X104&lt;&gt;"",Raw_Data!X104,Raw_Data!C104)</f>
        <v>0</v>
      </c>
      <c r="C101" s="12" t="str">
        <f>IF(Raw_Data!G104="","",Raw_Data!G104)</f>
        <v/>
      </c>
      <c r="D101" s="12" t="str">
        <f>IF(Raw_Data!H104="","",Raw_Data!H104)</f>
        <v/>
      </c>
      <c r="E101" s="12" t="str">
        <f>IF(Raw_Data!I104="","",Raw_Data!I104)</f>
        <v/>
      </c>
      <c r="F101" s="12" t="str">
        <f>IF(Raw_Data!J104="","",Raw_Data!J104)</f>
        <v/>
      </c>
      <c r="G101" s="12" t="str">
        <f>IF(Raw_Data!AH104&lt;&gt;"",Raw_Data!AH104,IF(Raw_Data!K104&lt;&gt;"",Raw_Data!K104,""))</f>
        <v/>
      </c>
      <c r="H101" s="12" t="str">
        <f>IF(Raw_Data!AI104&lt;&gt;"",Raw_Data!AI104,IF(Raw_Data!L104&lt;&gt;"",Raw_Data!L104,""))</f>
        <v/>
      </c>
      <c r="I101" s="12" t="str">
        <f t="shared" si="9"/>
        <v/>
      </c>
      <c r="J101" s="12" t="str">
        <f>IF(Raw_Data!M104="","",Raw_Data!M104)</f>
        <v/>
      </c>
      <c r="K101" s="12">
        <f>IF(Raw_Data!AJ104&lt;&gt;"",Raw_Data!AJ104,Raw_Data!N104)</f>
        <v>0</v>
      </c>
      <c r="L101" s="12">
        <f t="shared" si="10"/>
        <v>1</v>
      </c>
      <c r="M101" s="12" t="str">
        <f>IF(Raw_Data!AK104="","",Raw_Data!AK104)</f>
        <v/>
      </c>
      <c r="N101" s="12" t="str">
        <f>IF(Raw_Data!T104="","",Raw_Data!T104)</f>
        <v/>
      </c>
      <c r="O101" s="12" t="str">
        <f>IF(Raw_Data!AB104&lt;&gt;"",Raw_Data!AB104,IF(N101="tres_insatisfait",1,IF(N101="insatisfait",2,IF(N101="neutre",3,IF(N101="satisfait",4,IF(N101="tres_satisfait",5,""))))))</f>
        <v/>
      </c>
      <c r="P101" s="12">
        <f>IF(Raw_Data!AL104&lt;&gt;"",Raw_Data!AL104,Raw_Data!R104)</f>
        <v>0</v>
      </c>
      <c r="Q101" s="12">
        <f t="shared" si="11"/>
        <v>0</v>
      </c>
      <c r="R101" s="12" t="str">
        <f>IF(Raw_Data!AM104="","",Raw_Data!AM104)</f>
        <v/>
      </c>
      <c r="S101" s="12" t="str">
        <f t="shared" si="12"/>
        <v/>
      </c>
      <c r="T101" s="12" t="str">
        <f>IF(Raw_Data!AN104="","",Raw_Data!AN104)</f>
        <v/>
      </c>
      <c r="U101" s="12" t="str">
        <f t="shared" si="13"/>
        <v/>
      </c>
      <c r="V101" s="12" t="str">
        <f>IF(Raw_Data!AP104="","",IF(Raw_Data!AP104="oui",1,0))</f>
        <v/>
      </c>
      <c r="W101" s="12" t="str">
        <f>IF(Raw_Data!AQ104="","",IF(Raw_Data!AQ104="oui",1,0))</f>
        <v/>
      </c>
      <c r="X101" s="12" t="str">
        <f>IF(Raw_Data!AR104="","",IF(Raw_Data!AR104="oui",1,0))</f>
        <v/>
      </c>
      <c r="Y101" s="12" t="str">
        <f>IF(Raw_Data!AS104="","",IF(Raw_Data!AS104="oui",1,0))</f>
        <v/>
      </c>
      <c r="Z101" s="12" t="str">
        <f>IF(Raw_Data!V104="","",IF(Raw_Data!V104="oui",1,0))</f>
        <v/>
      </c>
      <c r="AA101" s="12" t="str">
        <f>IF(Raw_Data!W104="","",IF(Raw_Data!W104="oui",1,0))</f>
        <v/>
      </c>
      <c r="AB101" s="12" t="str">
        <f>IF(Raw_Data!Q104="","",IF(Raw_Data!Q104="oui",1,0))</f>
        <v/>
      </c>
      <c r="AC101" s="12">
        <f>Raw_Data!AF104</f>
        <v>0</v>
      </c>
      <c r="AD101" s="12" t="str">
        <f t="shared" si="14"/>
        <v/>
      </c>
      <c r="AE101" s="12" t="str">
        <f t="shared" si="15"/>
        <v/>
      </c>
      <c r="AF101" s="12" t="str">
        <f t="shared" si="16"/>
        <v/>
      </c>
      <c r="AG101" s="12">
        <f t="shared" si="17"/>
        <v>0</v>
      </c>
    </row>
    <row r="102" spans="1:33" ht="15" customHeight="1" x14ac:dyDescent="0.25">
      <c r="A102" s="12" t="str">
        <f>IF(Raw_Data!B105="","",Raw_Data!B105)</f>
        <v/>
      </c>
      <c r="B102" s="12">
        <f>IF(Raw_Data!X105&lt;&gt;"",Raw_Data!X105,Raw_Data!C105)</f>
        <v>0</v>
      </c>
      <c r="C102" s="12" t="str">
        <f>IF(Raw_Data!G105="","",Raw_Data!G105)</f>
        <v/>
      </c>
      <c r="D102" s="12" t="str">
        <f>IF(Raw_Data!H105="","",Raw_Data!H105)</f>
        <v/>
      </c>
      <c r="E102" s="12" t="str">
        <f>IF(Raw_Data!I105="","",Raw_Data!I105)</f>
        <v/>
      </c>
      <c r="F102" s="12" t="str">
        <f>IF(Raw_Data!J105="","",Raw_Data!J105)</f>
        <v/>
      </c>
      <c r="G102" s="12" t="str">
        <f>IF(Raw_Data!AH105&lt;&gt;"",Raw_Data!AH105,IF(Raw_Data!K105&lt;&gt;"",Raw_Data!K105,""))</f>
        <v/>
      </c>
      <c r="H102" s="12" t="str">
        <f>IF(Raw_Data!AI105&lt;&gt;"",Raw_Data!AI105,IF(Raw_Data!L105&lt;&gt;"",Raw_Data!L105,""))</f>
        <v/>
      </c>
      <c r="I102" s="12" t="str">
        <f t="shared" si="9"/>
        <v/>
      </c>
      <c r="J102" s="12" t="str">
        <f>IF(Raw_Data!M105="","",Raw_Data!M105)</f>
        <v/>
      </c>
      <c r="K102" s="12">
        <f>IF(Raw_Data!AJ105&lt;&gt;"",Raw_Data!AJ105,Raw_Data!N105)</f>
        <v>0</v>
      </c>
      <c r="L102" s="12">
        <f t="shared" si="10"/>
        <v>1</v>
      </c>
      <c r="M102" s="12" t="str">
        <f>IF(Raw_Data!AK105="","",Raw_Data!AK105)</f>
        <v/>
      </c>
      <c r="N102" s="12" t="str">
        <f>IF(Raw_Data!T105="","",Raw_Data!T105)</f>
        <v/>
      </c>
      <c r="O102" s="12" t="str">
        <f>IF(Raw_Data!AB105&lt;&gt;"",Raw_Data!AB105,IF(N102="tres_insatisfait",1,IF(N102="insatisfait",2,IF(N102="neutre",3,IF(N102="satisfait",4,IF(N102="tres_satisfait",5,""))))))</f>
        <v/>
      </c>
      <c r="P102" s="12">
        <f>IF(Raw_Data!AL105&lt;&gt;"",Raw_Data!AL105,Raw_Data!R105)</f>
        <v>0</v>
      </c>
      <c r="Q102" s="12">
        <f t="shared" si="11"/>
        <v>0</v>
      </c>
      <c r="R102" s="12" t="str">
        <f>IF(Raw_Data!AM105="","",Raw_Data!AM105)</f>
        <v/>
      </c>
      <c r="S102" s="12" t="str">
        <f t="shared" si="12"/>
        <v/>
      </c>
      <c r="T102" s="12" t="str">
        <f>IF(Raw_Data!AN105="","",Raw_Data!AN105)</f>
        <v/>
      </c>
      <c r="U102" s="12" t="str">
        <f t="shared" si="13"/>
        <v/>
      </c>
      <c r="V102" s="12" t="str">
        <f>IF(Raw_Data!AP105="","",IF(Raw_Data!AP105="oui",1,0))</f>
        <v/>
      </c>
      <c r="W102" s="12" t="str">
        <f>IF(Raw_Data!AQ105="","",IF(Raw_Data!AQ105="oui",1,0))</f>
        <v/>
      </c>
      <c r="X102" s="12" t="str">
        <f>IF(Raw_Data!AR105="","",IF(Raw_Data!AR105="oui",1,0))</f>
        <v/>
      </c>
      <c r="Y102" s="12" t="str">
        <f>IF(Raw_Data!AS105="","",IF(Raw_Data!AS105="oui",1,0))</f>
        <v/>
      </c>
      <c r="Z102" s="12" t="str">
        <f>IF(Raw_Data!V105="","",IF(Raw_Data!V105="oui",1,0))</f>
        <v/>
      </c>
      <c r="AA102" s="12" t="str">
        <f>IF(Raw_Data!W105="","",IF(Raw_Data!W105="oui",1,0))</f>
        <v/>
      </c>
      <c r="AB102" s="12" t="str">
        <f>IF(Raw_Data!Q105="","",IF(Raw_Data!Q105="oui",1,0))</f>
        <v/>
      </c>
      <c r="AC102" s="12">
        <f>Raw_Data!AF105</f>
        <v>0</v>
      </c>
      <c r="AD102" s="12" t="str">
        <f t="shared" si="14"/>
        <v/>
      </c>
      <c r="AE102" s="12" t="str">
        <f t="shared" si="15"/>
        <v/>
      </c>
      <c r="AF102" s="12" t="str">
        <f t="shared" si="16"/>
        <v/>
      </c>
      <c r="AG102" s="12">
        <f t="shared" si="17"/>
        <v>0</v>
      </c>
    </row>
    <row r="103" spans="1:33" ht="15" customHeight="1" x14ac:dyDescent="0.25">
      <c r="A103" s="12" t="str">
        <f>IF(Raw_Data!B106="","",Raw_Data!B106)</f>
        <v/>
      </c>
      <c r="B103" s="12">
        <f>IF(Raw_Data!X106&lt;&gt;"",Raw_Data!X106,Raw_Data!C106)</f>
        <v>0</v>
      </c>
      <c r="C103" s="12" t="str">
        <f>IF(Raw_Data!G106="","",Raw_Data!G106)</f>
        <v/>
      </c>
      <c r="D103" s="12" t="str">
        <f>IF(Raw_Data!H106="","",Raw_Data!H106)</f>
        <v/>
      </c>
      <c r="E103" s="12" t="str">
        <f>IF(Raw_Data!I106="","",Raw_Data!I106)</f>
        <v/>
      </c>
      <c r="F103" s="12" t="str">
        <f>IF(Raw_Data!J106="","",Raw_Data!J106)</f>
        <v/>
      </c>
      <c r="G103" s="12" t="str">
        <f>IF(Raw_Data!AH106&lt;&gt;"",Raw_Data!AH106,IF(Raw_Data!K106&lt;&gt;"",Raw_Data!K106,""))</f>
        <v/>
      </c>
      <c r="H103" s="12" t="str">
        <f>IF(Raw_Data!AI106&lt;&gt;"",Raw_Data!AI106,IF(Raw_Data!L106&lt;&gt;"",Raw_Data!L106,""))</f>
        <v/>
      </c>
      <c r="I103" s="12" t="str">
        <f t="shared" si="9"/>
        <v/>
      </c>
      <c r="J103" s="12" t="str">
        <f>IF(Raw_Data!M106="","",Raw_Data!M106)</f>
        <v/>
      </c>
      <c r="K103" s="12">
        <f>IF(Raw_Data!AJ106&lt;&gt;"",Raw_Data!AJ106,Raw_Data!N106)</f>
        <v>0</v>
      </c>
      <c r="L103" s="12">
        <f t="shared" si="10"/>
        <v>1</v>
      </c>
      <c r="M103" s="12" t="str">
        <f>IF(Raw_Data!AK106="","",Raw_Data!AK106)</f>
        <v/>
      </c>
      <c r="N103" s="12" t="str">
        <f>IF(Raw_Data!T106="","",Raw_Data!T106)</f>
        <v/>
      </c>
      <c r="O103" s="12" t="str">
        <f>IF(Raw_Data!AB106&lt;&gt;"",Raw_Data!AB106,IF(N103="tres_insatisfait",1,IF(N103="insatisfait",2,IF(N103="neutre",3,IF(N103="satisfait",4,IF(N103="tres_satisfait",5,""))))))</f>
        <v/>
      </c>
      <c r="P103" s="12">
        <f>IF(Raw_Data!AL106&lt;&gt;"",Raw_Data!AL106,Raw_Data!R106)</f>
        <v>0</v>
      </c>
      <c r="Q103" s="12">
        <f t="shared" si="11"/>
        <v>0</v>
      </c>
      <c r="R103" s="12" t="str">
        <f>IF(Raw_Data!AM106="","",Raw_Data!AM106)</f>
        <v/>
      </c>
      <c r="S103" s="12" t="str">
        <f t="shared" si="12"/>
        <v/>
      </c>
      <c r="T103" s="12" t="str">
        <f>IF(Raw_Data!AN106="","",Raw_Data!AN106)</f>
        <v/>
      </c>
      <c r="U103" s="12" t="str">
        <f t="shared" si="13"/>
        <v/>
      </c>
      <c r="V103" s="12" t="str">
        <f>IF(Raw_Data!AP106="","",IF(Raw_Data!AP106="oui",1,0))</f>
        <v/>
      </c>
      <c r="W103" s="12" t="str">
        <f>IF(Raw_Data!AQ106="","",IF(Raw_Data!AQ106="oui",1,0))</f>
        <v/>
      </c>
      <c r="X103" s="12" t="str">
        <f>IF(Raw_Data!AR106="","",IF(Raw_Data!AR106="oui",1,0))</f>
        <v/>
      </c>
      <c r="Y103" s="12" t="str">
        <f>IF(Raw_Data!AS106="","",IF(Raw_Data!AS106="oui",1,0))</f>
        <v/>
      </c>
      <c r="Z103" s="12" t="str">
        <f>IF(Raw_Data!V106="","",IF(Raw_Data!V106="oui",1,0))</f>
        <v/>
      </c>
      <c r="AA103" s="12" t="str">
        <f>IF(Raw_Data!W106="","",IF(Raw_Data!W106="oui",1,0))</f>
        <v/>
      </c>
      <c r="AB103" s="12" t="str">
        <f>IF(Raw_Data!Q106="","",IF(Raw_Data!Q106="oui",1,0))</f>
        <v/>
      </c>
      <c r="AC103" s="12">
        <f>Raw_Data!AF106</f>
        <v>0</v>
      </c>
      <c r="AD103" s="12" t="str">
        <f t="shared" si="14"/>
        <v/>
      </c>
      <c r="AE103" s="12" t="str">
        <f t="shared" si="15"/>
        <v/>
      </c>
      <c r="AF103" s="12" t="str">
        <f t="shared" si="16"/>
        <v/>
      </c>
      <c r="AG103" s="12">
        <f t="shared" si="17"/>
        <v>0</v>
      </c>
    </row>
    <row r="104" spans="1:33" ht="15" customHeight="1" x14ac:dyDescent="0.25">
      <c r="A104" s="12" t="str">
        <f>IF(Raw_Data!B107="","",Raw_Data!B107)</f>
        <v/>
      </c>
      <c r="B104" s="12">
        <f>IF(Raw_Data!X107&lt;&gt;"",Raw_Data!X107,Raw_Data!C107)</f>
        <v>0</v>
      </c>
      <c r="C104" s="12" t="str">
        <f>IF(Raw_Data!G107="","",Raw_Data!G107)</f>
        <v/>
      </c>
      <c r="D104" s="12" t="str">
        <f>IF(Raw_Data!H107="","",Raw_Data!H107)</f>
        <v/>
      </c>
      <c r="E104" s="12" t="str">
        <f>IF(Raw_Data!I107="","",Raw_Data!I107)</f>
        <v/>
      </c>
      <c r="F104" s="12" t="str">
        <f>IF(Raw_Data!J107="","",Raw_Data!J107)</f>
        <v/>
      </c>
      <c r="G104" s="12" t="str">
        <f>IF(Raw_Data!AH107&lt;&gt;"",Raw_Data!AH107,IF(Raw_Data!K107&lt;&gt;"",Raw_Data!K107,""))</f>
        <v/>
      </c>
      <c r="H104" s="12" t="str">
        <f>IF(Raw_Data!AI107&lt;&gt;"",Raw_Data!AI107,IF(Raw_Data!L107&lt;&gt;"",Raw_Data!L107,""))</f>
        <v/>
      </c>
      <c r="I104" s="12" t="str">
        <f t="shared" si="9"/>
        <v/>
      </c>
      <c r="J104" s="12" t="str">
        <f>IF(Raw_Data!M107="","",Raw_Data!M107)</f>
        <v/>
      </c>
      <c r="K104" s="12">
        <f>IF(Raw_Data!AJ107&lt;&gt;"",Raw_Data!AJ107,Raw_Data!N107)</f>
        <v>0</v>
      </c>
      <c r="L104" s="12">
        <f t="shared" si="10"/>
        <v>1</v>
      </c>
      <c r="M104" s="12" t="str">
        <f>IF(Raw_Data!AK107="","",Raw_Data!AK107)</f>
        <v/>
      </c>
      <c r="N104" s="12" t="str">
        <f>IF(Raw_Data!T107="","",Raw_Data!T107)</f>
        <v/>
      </c>
      <c r="O104" s="12" t="str">
        <f>IF(Raw_Data!AB107&lt;&gt;"",Raw_Data!AB107,IF(N104="tres_insatisfait",1,IF(N104="insatisfait",2,IF(N104="neutre",3,IF(N104="satisfait",4,IF(N104="tres_satisfait",5,""))))))</f>
        <v/>
      </c>
      <c r="P104" s="12">
        <f>IF(Raw_Data!AL107&lt;&gt;"",Raw_Data!AL107,Raw_Data!R107)</f>
        <v>0</v>
      </c>
      <c r="Q104" s="12">
        <f t="shared" si="11"/>
        <v>0</v>
      </c>
      <c r="R104" s="12" t="str">
        <f>IF(Raw_Data!AM107="","",Raw_Data!AM107)</f>
        <v/>
      </c>
      <c r="S104" s="12" t="str">
        <f t="shared" si="12"/>
        <v/>
      </c>
      <c r="T104" s="12" t="str">
        <f>IF(Raw_Data!AN107="","",Raw_Data!AN107)</f>
        <v/>
      </c>
      <c r="U104" s="12" t="str">
        <f t="shared" si="13"/>
        <v/>
      </c>
      <c r="V104" s="12" t="str">
        <f>IF(Raw_Data!AP107="","",IF(Raw_Data!AP107="oui",1,0))</f>
        <v/>
      </c>
      <c r="W104" s="12" t="str">
        <f>IF(Raw_Data!AQ107="","",IF(Raw_Data!AQ107="oui",1,0))</f>
        <v/>
      </c>
      <c r="X104" s="12" t="str">
        <f>IF(Raw_Data!AR107="","",IF(Raw_Data!AR107="oui",1,0))</f>
        <v/>
      </c>
      <c r="Y104" s="12" t="str">
        <f>IF(Raw_Data!AS107="","",IF(Raw_Data!AS107="oui",1,0))</f>
        <v/>
      </c>
      <c r="Z104" s="12" t="str">
        <f>IF(Raw_Data!V107="","",IF(Raw_Data!V107="oui",1,0))</f>
        <v/>
      </c>
      <c r="AA104" s="12" t="str">
        <f>IF(Raw_Data!W107="","",IF(Raw_Data!W107="oui",1,0))</f>
        <v/>
      </c>
      <c r="AB104" s="12" t="str">
        <f>IF(Raw_Data!Q107="","",IF(Raw_Data!Q107="oui",1,0))</f>
        <v/>
      </c>
      <c r="AC104" s="12">
        <f>Raw_Data!AF107</f>
        <v>0</v>
      </c>
      <c r="AD104" s="12" t="str">
        <f t="shared" si="14"/>
        <v/>
      </c>
      <c r="AE104" s="12" t="str">
        <f t="shared" si="15"/>
        <v/>
      </c>
      <c r="AF104" s="12" t="str">
        <f t="shared" si="16"/>
        <v/>
      </c>
      <c r="AG104" s="12">
        <f t="shared" si="17"/>
        <v>0</v>
      </c>
    </row>
    <row r="105" spans="1:33" ht="15" customHeight="1" x14ac:dyDescent="0.25">
      <c r="A105" s="12" t="str">
        <f>IF(Raw_Data!B108="","",Raw_Data!B108)</f>
        <v/>
      </c>
      <c r="B105" s="12">
        <f>IF(Raw_Data!X108&lt;&gt;"",Raw_Data!X108,Raw_Data!C108)</f>
        <v>0</v>
      </c>
      <c r="C105" s="12" t="str">
        <f>IF(Raw_Data!G108="","",Raw_Data!G108)</f>
        <v/>
      </c>
      <c r="D105" s="12" t="str">
        <f>IF(Raw_Data!H108="","",Raw_Data!H108)</f>
        <v/>
      </c>
      <c r="E105" s="12" t="str">
        <f>IF(Raw_Data!I108="","",Raw_Data!I108)</f>
        <v/>
      </c>
      <c r="F105" s="12" t="str">
        <f>IF(Raw_Data!J108="","",Raw_Data!J108)</f>
        <v/>
      </c>
      <c r="G105" s="12" t="str">
        <f>IF(Raw_Data!AH108&lt;&gt;"",Raw_Data!AH108,IF(Raw_Data!K108&lt;&gt;"",Raw_Data!K108,""))</f>
        <v/>
      </c>
      <c r="H105" s="12" t="str">
        <f>IF(Raw_Data!AI108&lt;&gt;"",Raw_Data!AI108,IF(Raw_Data!L108&lt;&gt;"",Raw_Data!L108,""))</f>
        <v/>
      </c>
      <c r="I105" s="12" t="str">
        <f t="shared" si="9"/>
        <v/>
      </c>
      <c r="J105" s="12" t="str">
        <f>IF(Raw_Data!M108="","",Raw_Data!M108)</f>
        <v/>
      </c>
      <c r="K105" s="12">
        <f>IF(Raw_Data!AJ108&lt;&gt;"",Raw_Data!AJ108,Raw_Data!N108)</f>
        <v>0</v>
      </c>
      <c r="L105" s="12">
        <f t="shared" si="10"/>
        <v>1</v>
      </c>
      <c r="M105" s="12" t="str">
        <f>IF(Raw_Data!AK108="","",Raw_Data!AK108)</f>
        <v/>
      </c>
      <c r="N105" s="12" t="str">
        <f>IF(Raw_Data!T108="","",Raw_Data!T108)</f>
        <v/>
      </c>
      <c r="O105" s="12" t="str">
        <f>IF(Raw_Data!AB108&lt;&gt;"",Raw_Data!AB108,IF(N105="tres_insatisfait",1,IF(N105="insatisfait",2,IF(N105="neutre",3,IF(N105="satisfait",4,IF(N105="tres_satisfait",5,""))))))</f>
        <v/>
      </c>
      <c r="P105" s="12">
        <f>IF(Raw_Data!AL108&lt;&gt;"",Raw_Data!AL108,Raw_Data!R108)</f>
        <v>0</v>
      </c>
      <c r="Q105" s="12">
        <f t="shared" si="11"/>
        <v>0</v>
      </c>
      <c r="R105" s="12" t="str">
        <f>IF(Raw_Data!AM108="","",Raw_Data!AM108)</f>
        <v/>
      </c>
      <c r="S105" s="12" t="str">
        <f t="shared" si="12"/>
        <v/>
      </c>
      <c r="T105" s="12" t="str">
        <f>IF(Raw_Data!AN108="","",Raw_Data!AN108)</f>
        <v/>
      </c>
      <c r="U105" s="12" t="str">
        <f t="shared" si="13"/>
        <v/>
      </c>
      <c r="V105" s="12" t="str">
        <f>IF(Raw_Data!AP108="","",IF(Raw_Data!AP108="oui",1,0))</f>
        <v/>
      </c>
      <c r="W105" s="12" t="str">
        <f>IF(Raw_Data!AQ108="","",IF(Raw_Data!AQ108="oui",1,0))</f>
        <v/>
      </c>
      <c r="X105" s="12" t="str">
        <f>IF(Raw_Data!AR108="","",IF(Raw_Data!AR108="oui",1,0))</f>
        <v/>
      </c>
      <c r="Y105" s="12" t="str">
        <f>IF(Raw_Data!AS108="","",IF(Raw_Data!AS108="oui",1,0))</f>
        <v/>
      </c>
      <c r="Z105" s="12" t="str">
        <f>IF(Raw_Data!V108="","",IF(Raw_Data!V108="oui",1,0))</f>
        <v/>
      </c>
      <c r="AA105" s="12" t="str">
        <f>IF(Raw_Data!W108="","",IF(Raw_Data!W108="oui",1,0))</f>
        <v/>
      </c>
      <c r="AB105" s="12" t="str">
        <f>IF(Raw_Data!Q108="","",IF(Raw_Data!Q108="oui",1,0))</f>
        <v/>
      </c>
      <c r="AC105" s="12">
        <f>Raw_Data!AF108</f>
        <v>0</v>
      </c>
      <c r="AD105" s="12" t="str">
        <f t="shared" si="14"/>
        <v/>
      </c>
      <c r="AE105" s="12" t="str">
        <f t="shared" si="15"/>
        <v/>
      </c>
      <c r="AF105" s="12" t="str">
        <f t="shared" si="16"/>
        <v/>
      </c>
      <c r="AG105" s="12">
        <f t="shared" si="17"/>
        <v>0</v>
      </c>
    </row>
    <row r="106" spans="1:33" ht="15" customHeight="1" x14ac:dyDescent="0.25">
      <c r="A106" s="12" t="str">
        <f>IF(Raw_Data!B109="","",Raw_Data!B109)</f>
        <v/>
      </c>
      <c r="B106" s="12">
        <f>IF(Raw_Data!X109&lt;&gt;"",Raw_Data!X109,Raw_Data!C109)</f>
        <v>0</v>
      </c>
      <c r="C106" s="12" t="str">
        <f>IF(Raw_Data!G109="","",Raw_Data!G109)</f>
        <v/>
      </c>
      <c r="D106" s="12" t="str">
        <f>IF(Raw_Data!H109="","",Raw_Data!H109)</f>
        <v/>
      </c>
      <c r="E106" s="12" t="str">
        <f>IF(Raw_Data!I109="","",Raw_Data!I109)</f>
        <v/>
      </c>
      <c r="F106" s="12" t="str">
        <f>IF(Raw_Data!J109="","",Raw_Data!J109)</f>
        <v/>
      </c>
      <c r="G106" s="12" t="str">
        <f>IF(Raw_Data!AH109&lt;&gt;"",Raw_Data!AH109,IF(Raw_Data!K109&lt;&gt;"",Raw_Data!K109,""))</f>
        <v/>
      </c>
      <c r="H106" s="12" t="str">
        <f>IF(Raw_Data!AI109&lt;&gt;"",Raw_Data!AI109,IF(Raw_Data!L109&lt;&gt;"",Raw_Data!L109,""))</f>
        <v/>
      </c>
      <c r="I106" s="12" t="str">
        <f t="shared" si="9"/>
        <v/>
      </c>
      <c r="J106" s="12" t="str">
        <f>IF(Raw_Data!M109="","",Raw_Data!M109)</f>
        <v/>
      </c>
      <c r="K106" s="12">
        <f>IF(Raw_Data!AJ109&lt;&gt;"",Raw_Data!AJ109,Raw_Data!N109)</f>
        <v>0</v>
      </c>
      <c r="L106" s="12">
        <f t="shared" si="10"/>
        <v>1</v>
      </c>
      <c r="M106" s="12" t="str">
        <f>IF(Raw_Data!AK109="","",Raw_Data!AK109)</f>
        <v/>
      </c>
      <c r="N106" s="12" t="str">
        <f>IF(Raw_Data!T109="","",Raw_Data!T109)</f>
        <v/>
      </c>
      <c r="O106" s="12" t="str">
        <f>IF(Raw_Data!AB109&lt;&gt;"",Raw_Data!AB109,IF(N106="tres_insatisfait",1,IF(N106="insatisfait",2,IF(N106="neutre",3,IF(N106="satisfait",4,IF(N106="tres_satisfait",5,""))))))</f>
        <v/>
      </c>
      <c r="P106" s="12">
        <f>IF(Raw_Data!AL109&lt;&gt;"",Raw_Data!AL109,Raw_Data!R109)</f>
        <v>0</v>
      </c>
      <c r="Q106" s="12">
        <f t="shared" si="11"/>
        <v>0</v>
      </c>
      <c r="R106" s="12" t="str">
        <f>IF(Raw_Data!AM109="","",Raw_Data!AM109)</f>
        <v/>
      </c>
      <c r="S106" s="12" t="str">
        <f t="shared" si="12"/>
        <v/>
      </c>
      <c r="T106" s="12" t="str">
        <f>IF(Raw_Data!AN109="","",Raw_Data!AN109)</f>
        <v/>
      </c>
      <c r="U106" s="12" t="str">
        <f t="shared" si="13"/>
        <v/>
      </c>
      <c r="V106" s="12" t="str">
        <f>IF(Raw_Data!AP109="","",IF(Raw_Data!AP109="oui",1,0))</f>
        <v/>
      </c>
      <c r="W106" s="12" t="str">
        <f>IF(Raw_Data!AQ109="","",IF(Raw_Data!AQ109="oui",1,0))</f>
        <v/>
      </c>
      <c r="X106" s="12" t="str">
        <f>IF(Raw_Data!AR109="","",IF(Raw_Data!AR109="oui",1,0))</f>
        <v/>
      </c>
      <c r="Y106" s="12" t="str">
        <f>IF(Raw_Data!AS109="","",IF(Raw_Data!AS109="oui",1,0))</f>
        <v/>
      </c>
      <c r="Z106" s="12" t="str">
        <f>IF(Raw_Data!V109="","",IF(Raw_Data!V109="oui",1,0))</f>
        <v/>
      </c>
      <c r="AA106" s="12" t="str">
        <f>IF(Raw_Data!W109="","",IF(Raw_Data!W109="oui",1,0))</f>
        <v/>
      </c>
      <c r="AB106" s="12" t="str">
        <f>IF(Raw_Data!Q109="","",IF(Raw_Data!Q109="oui",1,0))</f>
        <v/>
      </c>
      <c r="AC106" s="12">
        <f>Raw_Data!AF109</f>
        <v>0</v>
      </c>
      <c r="AD106" s="12" t="str">
        <f t="shared" si="14"/>
        <v/>
      </c>
      <c r="AE106" s="12" t="str">
        <f t="shared" si="15"/>
        <v/>
      </c>
      <c r="AF106" s="12" t="str">
        <f t="shared" si="16"/>
        <v/>
      </c>
      <c r="AG106" s="12">
        <f t="shared" si="17"/>
        <v>0</v>
      </c>
    </row>
    <row r="107" spans="1:33" ht="15" customHeight="1" x14ac:dyDescent="0.25">
      <c r="A107" s="12" t="str">
        <f>IF(Raw_Data!B110="","",Raw_Data!B110)</f>
        <v/>
      </c>
      <c r="B107" s="12">
        <f>IF(Raw_Data!X110&lt;&gt;"",Raw_Data!X110,Raw_Data!C110)</f>
        <v>0</v>
      </c>
      <c r="C107" s="12" t="str">
        <f>IF(Raw_Data!G110="","",Raw_Data!G110)</f>
        <v/>
      </c>
      <c r="D107" s="12" t="str">
        <f>IF(Raw_Data!H110="","",Raw_Data!H110)</f>
        <v/>
      </c>
      <c r="E107" s="12" t="str">
        <f>IF(Raw_Data!I110="","",Raw_Data!I110)</f>
        <v/>
      </c>
      <c r="F107" s="12" t="str">
        <f>IF(Raw_Data!J110="","",Raw_Data!J110)</f>
        <v/>
      </c>
      <c r="G107" s="12" t="str">
        <f>IF(Raw_Data!AH110&lt;&gt;"",Raw_Data!AH110,IF(Raw_Data!K110&lt;&gt;"",Raw_Data!K110,""))</f>
        <v/>
      </c>
      <c r="H107" s="12" t="str">
        <f>IF(Raw_Data!AI110&lt;&gt;"",Raw_Data!AI110,IF(Raw_Data!L110&lt;&gt;"",Raw_Data!L110,""))</f>
        <v/>
      </c>
      <c r="I107" s="12" t="str">
        <f t="shared" si="9"/>
        <v/>
      </c>
      <c r="J107" s="12" t="str">
        <f>IF(Raw_Data!M110="","",Raw_Data!M110)</f>
        <v/>
      </c>
      <c r="K107" s="12">
        <f>IF(Raw_Data!AJ110&lt;&gt;"",Raw_Data!AJ110,Raw_Data!N110)</f>
        <v>0</v>
      </c>
      <c r="L107" s="12">
        <f t="shared" si="10"/>
        <v>1</v>
      </c>
      <c r="M107" s="12" t="str">
        <f>IF(Raw_Data!AK110="","",Raw_Data!AK110)</f>
        <v/>
      </c>
      <c r="N107" s="12" t="str">
        <f>IF(Raw_Data!T110="","",Raw_Data!T110)</f>
        <v/>
      </c>
      <c r="O107" s="12" t="str">
        <f>IF(Raw_Data!AB110&lt;&gt;"",Raw_Data!AB110,IF(N107="tres_insatisfait",1,IF(N107="insatisfait",2,IF(N107="neutre",3,IF(N107="satisfait",4,IF(N107="tres_satisfait",5,""))))))</f>
        <v/>
      </c>
      <c r="P107" s="12">
        <f>IF(Raw_Data!AL110&lt;&gt;"",Raw_Data!AL110,Raw_Data!R110)</f>
        <v>0</v>
      </c>
      <c r="Q107" s="12">
        <f t="shared" si="11"/>
        <v>0</v>
      </c>
      <c r="R107" s="12" t="str">
        <f>IF(Raw_Data!AM110="","",Raw_Data!AM110)</f>
        <v/>
      </c>
      <c r="S107" s="12" t="str">
        <f t="shared" si="12"/>
        <v/>
      </c>
      <c r="T107" s="12" t="str">
        <f>IF(Raw_Data!AN110="","",Raw_Data!AN110)</f>
        <v/>
      </c>
      <c r="U107" s="12" t="str">
        <f t="shared" si="13"/>
        <v/>
      </c>
      <c r="V107" s="12" t="str">
        <f>IF(Raw_Data!AP110="","",IF(Raw_Data!AP110="oui",1,0))</f>
        <v/>
      </c>
      <c r="W107" s="12" t="str">
        <f>IF(Raw_Data!AQ110="","",IF(Raw_Data!AQ110="oui",1,0))</f>
        <v/>
      </c>
      <c r="X107" s="12" t="str">
        <f>IF(Raw_Data!AR110="","",IF(Raw_Data!AR110="oui",1,0))</f>
        <v/>
      </c>
      <c r="Y107" s="12" t="str">
        <f>IF(Raw_Data!AS110="","",IF(Raw_Data!AS110="oui",1,0))</f>
        <v/>
      </c>
      <c r="Z107" s="12" t="str">
        <f>IF(Raw_Data!V110="","",IF(Raw_Data!V110="oui",1,0))</f>
        <v/>
      </c>
      <c r="AA107" s="12" t="str">
        <f>IF(Raw_Data!W110="","",IF(Raw_Data!W110="oui",1,0))</f>
        <v/>
      </c>
      <c r="AB107" s="12" t="str">
        <f>IF(Raw_Data!Q110="","",IF(Raw_Data!Q110="oui",1,0))</f>
        <v/>
      </c>
      <c r="AC107" s="12">
        <f>Raw_Data!AF110</f>
        <v>0</v>
      </c>
      <c r="AD107" s="12" t="str">
        <f t="shared" si="14"/>
        <v/>
      </c>
      <c r="AE107" s="12" t="str">
        <f t="shared" si="15"/>
        <v/>
      </c>
      <c r="AF107" s="12" t="str">
        <f t="shared" si="16"/>
        <v/>
      </c>
      <c r="AG107" s="12">
        <f t="shared" si="17"/>
        <v>0</v>
      </c>
    </row>
    <row r="108" spans="1:33" ht="15" customHeight="1" x14ac:dyDescent="0.25">
      <c r="A108" s="12" t="str">
        <f>IF(Raw_Data!B111="","",Raw_Data!B111)</f>
        <v/>
      </c>
      <c r="B108" s="12">
        <f>IF(Raw_Data!X111&lt;&gt;"",Raw_Data!X111,Raw_Data!C111)</f>
        <v>0</v>
      </c>
      <c r="C108" s="12" t="str">
        <f>IF(Raw_Data!G111="","",Raw_Data!G111)</f>
        <v/>
      </c>
      <c r="D108" s="12" t="str">
        <f>IF(Raw_Data!H111="","",Raw_Data!H111)</f>
        <v/>
      </c>
      <c r="E108" s="12" t="str">
        <f>IF(Raw_Data!I111="","",Raw_Data!I111)</f>
        <v/>
      </c>
      <c r="F108" s="12" t="str">
        <f>IF(Raw_Data!J111="","",Raw_Data!J111)</f>
        <v/>
      </c>
      <c r="G108" s="12" t="str">
        <f>IF(Raw_Data!AH111&lt;&gt;"",Raw_Data!AH111,IF(Raw_Data!K111&lt;&gt;"",Raw_Data!K111,""))</f>
        <v/>
      </c>
      <c r="H108" s="12" t="str">
        <f>IF(Raw_Data!AI111&lt;&gt;"",Raw_Data!AI111,IF(Raw_Data!L111&lt;&gt;"",Raw_Data!L111,""))</f>
        <v/>
      </c>
      <c r="I108" s="12" t="str">
        <f t="shared" si="9"/>
        <v/>
      </c>
      <c r="J108" s="12" t="str">
        <f>IF(Raw_Data!M111="","",Raw_Data!M111)</f>
        <v/>
      </c>
      <c r="K108" s="12">
        <f>IF(Raw_Data!AJ111&lt;&gt;"",Raw_Data!AJ111,Raw_Data!N111)</f>
        <v>0</v>
      </c>
      <c r="L108" s="12">
        <f t="shared" si="10"/>
        <v>1</v>
      </c>
      <c r="M108" s="12" t="str">
        <f>IF(Raw_Data!AK111="","",Raw_Data!AK111)</f>
        <v/>
      </c>
      <c r="N108" s="12" t="str">
        <f>IF(Raw_Data!T111="","",Raw_Data!T111)</f>
        <v/>
      </c>
      <c r="O108" s="12" t="str">
        <f>IF(Raw_Data!AB111&lt;&gt;"",Raw_Data!AB111,IF(N108="tres_insatisfait",1,IF(N108="insatisfait",2,IF(N108="neutre",3,IF(N108="satisfait",4,IF(N108="tres_satisfait",5,""))))))</f>
        <v/>
      </c>
      <c r="P108" s="12">
        <f>IF(Raw_Data!AL111&lt;&gt;"",Raw_Data!AL111,Raw_Data!R111)</f>
        <v>0</v>
      </c>
      <c r="Q108" s="12">
        <f t="shared" si="11"/>
        <v>0</v>
      </c>
      <c r="R108" s="12" t="str">
        <f>IF(Raw_Data!AM111="","",Raw_Data!AM111)</f>
        <v/>
      </c>
      <c r="S108" s="12" t="str">
        <f t="shared" si="12"/>
        <v/>
      </c>
      <c r="T108" s="12" t="str">
        <f>IF(Raw_Data!AN111="","",Raw_Data!AN111)</f>
        <v/>
      </c>
      <c r="U108" s="12" t="str">
        <f t="shared" si="13"/>
        <v/>
      </c>
      <c r="V108" s="12" t="str">
        <f>IF(Raw_Data!AP111="","",IF(Raw_Data!AP111="oui",1,0))</f>
        <v/>
      </c>
      <c r="W108" s="12" t="str">
        <f>IF(Raw_Data!AQ111="","",IF(Raw_Data!AQ111="oui",1,0))</f>
        <v/>
      </c>
      <c r="X108" s="12" t="str">
        <f>IF(Raw_Data!AR111="","",IF(Raw_Data!AR111="oui",1,0))</f>
        <v/>
      </c>
      <c r="Y108" s="12" t="str">
        <f>IF(Raw_Data!AS111="","",IF(Raw_Data!AS111="oui",1,0))</f>
        <v/>
      </c>
      <c r="Z108" s="12" t="str">
        <f>IF(Raw_Data!V111="","",IF(Raw_Data!V111="oui",1,0))</f>
        <v/>
      </c>
      <c r="AA108" s="12" t="str">
        <f>IF(Raw_Data!W111="","",IF(Raw_Data!W111="oui",1,0))</f>
        <v/>
      </c>
      <c r="AB108" s="12" t="str">
        <f>IF(Raw_Data!Q111="","",IF(Raw_Data!Q111="oui",1,0))</f>
        <v/>
      </c>
      <c r="AC108" s="12">
        <f>Raw_Data!AF111</f>
        <v>0</v>
      </c>
      <c r="AD108" s="12" t="str">
        <f t="shared" si="14"/>
        <v/>
      </c>
      <c r="AE108" s="12" t="str">
        <f t="shared" si="15"/>
        <v/>
      </c>
      <c r="AF108" s="12" t="str">
        <f t="shared" si="16"/>
        <v/>
      </c>
      <c r="AG108" s="12">
        <f t="shared" si="17"/>
        <v>0</v>
      </c>
    </row>
    <row r="109" spans="1:33" ht="15" customHeight="1" x14ac:dyDescent="0.25">
      <c r="A109" s="12" t="str">
        <f>IF(Raw_Data!B112="","",Raw_Data!B112)</f>
        <v/>
      </c>
      <c r="B109" s="12">
        <f>IF(Raw_Data!X112&lt;&gt;"",Raw_Data!X112,Raw_Data!C112)</f>
        <v>0</v>
      </c>
      <c r="C109" s="12" t="str">
        <f>IF(Raw_Data!G112="","",Raw_Data!G112)</f>
        <v/>
      </c>
      <c r="D109" s="12" t="str">
        <f>IF(Raw_Data!H112="","",Raw_Data!H112)</f>
        <v/>
      </c>
      <c r="E109" s="12" t="str">
        <f>IF(Raw_Data!I112="","",Raw_Data!I112)</f>
        <v/>
      </c>
      <c r="F109" s="12" t="str">
        <f>IF(Raw_Data!J112="","",Raw_Data!J112)</f>
        <v/>
      </c>
      <c r="G109" s="12" t="str">
        <f>IF(Raw_Data!AH112&lt;&gt;"",Raw_Data!AH112,IF(Raw_Data!K112&lt;&gt;"",Raw_Data!K112,""))</f>
        <v/>
      </c>
      <c r="H109" s="12" t="str">
        <f>IF(Raw_Data!AI112&lt;&gt;"",Raw_Data!AI112,IF(Raw_Data!L112&lt;&gt;"",Raw_Data!L112,""))</f>
        <v/>
      </c>
      <c r="I109" s="12" t="str">
        <f t="shared" si="9"/>
        <v/>
      </c>
      <c r="J109" s="12" t="str">
        <f>IF(Raw_Data!M112="","",Raw_Data!M112)</f>
        <v/>
      </c>
      <c r="K109" s="12">
        <f>IF(Raw_Data!AJ112&lt;&gt;"",Raw_Data!AJ112,Raw_Data!N112)</f>
        <v>0</v>
      </c>
      <c r="L109" s="12">
        <f t="shared" si="10"/>
        <v>1</v>
      </c>
      <c r="M109" s="12" t="str">
        <f>IF(Raw_Data!AK112="","",Raw_Data!AK112)</f>
        <v/>
      </c>
      <c r="N109" s="12" t="str">
        <f>IF(Raw_Data!T112="","",Raw_Data!T112)</f>
        <v/>
      </c>
      <c r="O109" s="12" t="str">
        <f>IF(Raw_Data!AB112&lt;&gt;"",Raw_Data!AB112,IF(N109="tres_insatisfait",1,IF(N109="insatisfait",2,IF(N109="neutre",3,IF(N109="satisfait",4,IF(N109="tres_satisfait",5,""))))))</f>
        <v/>
      </c>
      <c r="P109" s="12">
        <f>IF(Raw_Data!AL112&lt;&gt;"",Raw_Data!AL112,Raw_Data!R112)</f>
        <v>0</v>
      </c>
      <c r="Q109" s="12">
        <f t="shared" si="11"/>
        <v>0</v>
      </c>
      <c r="R109" s="12" t="str">
        <f>IF(Raw_Data!AM112="","",Raw_Data!AM112)</f>
        <v/>
      </c>
      <c r="S109" s="12" t="str">
        <f t="shared" si="12"/>
        <v/>
      </c>
      <c r="T109" s="12" t="str">
        <f>IF(Raw_Data!AN112="","",Raw_Data!AN112)</f>
        <v/>
      </c>
      <c r="U109" s="12" t="str">
        <f t="shared" si="13"/>
        <v/>
      </c>
      <c r="V109" s="12" t="str">
        <f>IF(Raw_Data!AP112="","",IF(Raw_Data!AP112="oui",1,0))</f>
        <v/>
      </c>
      <c r="W109" s="12" t="str">
        <f>IF(Raw_Data!AQ112="","",IF(Raw_Data!AQ112="oui",1,0))</f>
        <v/>
      </c>
      <c r="X109" s="12" t="str">
        <f>IF(Raw_Data!AR112="","",IF(Raw_Data!AR112="oui",1,0))</f>
        <v/>
      </c>
      <c r="Y109" s="12" t="str">
        <f>IF(Raw_Data!AS112="","",IF(Raw_Data!AS112="oui",1,0))</f>
        <v/>
      </c>
      <c r="Z109" s="12" t="str">
        <f>IF(Raw_Data!V112="","",IF(Raw_Data!V112="oui",1,0))</f>
        <v/>
      </c>
      <c r="AA109" s="12" t="str">
        <f>IF(Raw_Data!W112="","",IF(Raw_Data!W112="oui",1,0))</f>
        <v/>
      </c>
      <c r="AB109" s="12" t="str">
        <f>IF(Raw_Data!Q112="","",IF(Raw_Data!Q112="oui",1,0))</f>
        <v/>
      </c>
      <c r="AC109" s="12">
        <f>Raw_Data!AF112</f>
        <v>0</v>
      </c>
      <c r="AD109" s="12" t="str">
        <f t="shared" si="14"/>
        <v/>
      </c>
      <c r="AE109" s="12" t="str">
        <f t="shared" si="15"/>
        <v/>
      </c>
      <c r="AF109" s="12" t="str">
        <f t="shared" si="16"/>
        <v/>
      </c>
      <c r="AG109" s="12">
        <f t="shared" si="17"/>
        <v>0</v>
      </c>
    </row>
    <row r="110" spans="1:33" ht="15" customHeight="1" x14ac:dyDescent="0.25">
      <c r="A110" s="12" t="str">
        <f>IF(Raw_Data!B113="","",Raw_Data!B113)</f>
        <v/>
      </c>
      <c r="B110" s="12">
        <f>IF(Raw_Data!X113&lt;&gt;"",Raw_Data!X113,Raw_Data!C113)</f>
        <v>0</v>
      </c>
      <c r="C110" s="12" t="str">
        <f>IF(Raw_Data!G113="","",Raw_Data!G113)</f>
        <v/>
      </c>
      <c r="D110" s="12" t="str">
        <f>IF(Raw_Data!H113="","",Raw_Data!H113)</f>
        <v/>
      </c>
      <c r="E110" s="12" t="str">
        <f>IF(Raw_Data!I113="","",Raw_Data!I113)</f>
        <v/>
      </c>
      <c r="F110" s="12" t="str">
        <f>IF(Raw_Data!J113="","",Raw_Data!J113)</f>
        <v/>
      </c>
      <c r="G110" s="12" t="str">
        <f>IF(Raw_Data!AH113&lt;&gt;"",Raw_Data!AH113,IF(Raw_Data!K113&lt;&gt;"",Raw_Data!K113,""))</f>
        <v/>
      </c>
      <c r="H110" s="12" t="str">
        <f>IF(Raw_Data!AI113&lt;&gt;"",Raw_Data!AI113,IF(Raw_Data!L113&lt;&gt;"",Raw_Data!L113,""))</f>
        <v/>
      </c>
      <c r="I110" s="12" t="str">
        <f t="shared" si="9"/>
        <v/>
      </c>
      <c r="J110" s="12" t="str">
        <f>IF(Raw_Data!M113="","",Raw_Data!M113)</f>
        <v/>
      </c>
      <c r="K110" s="12">
        <f>IF(Raw_Data!AJ113&lt;&gt;"",Raw_Data!AJ113,Raw_Data!N113)</f>
        <v>0</v>
      </c>
      <c r="L110" s="12">
        <f t="shared" si="10"/>
        <v>1</v>
      </c>
      <c r="M110" s="12" t="str">
        <f>IF(Raw_Data!AK113="","",Raw_Data!AK113)</f>
        <v/>
      </c>
      <c r="N110" s="12" t="str">
        <f>IF(Raw_Data!T113="","",Raw_Data!T113)</f>
        <v/>
      </c>
      <c r="O110" s="12" t="str">
        <f>IF(Raw_Data!AB113&lt;&gt;"",Raw_Data!AB113,IF(N110="tres_insatisfait",1,IF(N110="insatisfait",2,IF(N110="neutre",3,IF(N110="satisfait",4,IF(N110="tres_satisfait",5,""))))))</f>
        <v/>
      </c>
      <c r="P110" s="12">
        <f>IF(Raw_Data!AL113&lt;&gt;"",Raw_Data!AL113,Raw_Data!R113)</f>
        <v>0</v>
      </c>
      <c r="Q110" s="12">
        <f t="shared" si="11"/>
        <v>0</v>
      </c>
      <c r="R110" s="12" t="str">
        <f>IF(Raw_Data!AM113="","",Raw_Data!AM113)</f>
        <v/>
      </c>
      <c r="S110" s="12" t="str">
        <f t="shared" si="12"/>
        <v/>
      </c>
      <c r="T110" s="12" t="str">
        <f>IF(Raw_Data!AN113="","",Raw_Data!AN113)</f>
        <v/>
      </c>
      <c r="U110" s="12" t="str">
        <f t="shared" si="13"/>
        <v/>
      </c>
      <c r="V110" s="12" t="str">
        <f>IF(Raw_Data!AP113="","",IF(Raw_Data!AP113="oui",1,0))</f>
        <v/>
      </c>
      <c r="W110" s="12" t="str">
        <f>IF(Raw_Data!AQ113="","",IF(Raw_Data!AQ113="oui",1,0))</f>
        <v/>
      </c>
      <c r="X110" s="12" t="str">
        <f>IF(Raw_Data!AR113="","",IF(Raw_Data!AR113="oui",1,0))</f>
        <v/>
      </c>
      <c r="Y110" s="12" t="str">
        <f>IF(Raw_Data!AS113="","",IF(Raw_Data!AS113="oui",1,0))</f>
        <v/>
      </c>
      <c r="Z110" s="12" t="str">
        <f>IF(Raw_Data!V113="","",IF(Raw_Data!V113="oui",1,0))</f>
        <v/>
      </c>
      <c r="AA110" s="12" t="str">
        <f>IF(Raw_Data!W113="","",IF(Raw_Data!W113="oui",1,0))</f>
        <v/>
      </c>
      <c r="AB110" s="12" t="str">
        <f>IF(Raw_Data!Q113="","",IF(Raw_Data!Q113="oui",1,0))</f>
        <v/>
      </c>
      <c r="AC110" s="12">
        <f>Raw_Data!AF113</f>
        <v>0</v>
      </c>
      <c r="AD110" s="12" t="str">
        <f t="shared" si="14"/>
        <v/>
      </c>
      <c r="AE110" s="12" t="str">
        <f t="shared" si="15"/>
        <v/>
      </c>
      <c r="AF110" s="12" t="str">
        <f t="shared" si="16"/>
        <v/>
      </c>
      <c r="AG110" s="12">
        <f t="shared" si="17"/>
        <v>0</v>
      </c>
    </row>
    <row r="111" spans="1:33" ht="15" customHeight="1" x14ac:dyDescent="0.25">
      <c r="A111" s="12" t="str">
        <f>IF(Raw_Data!B114="","",Raw_Data!B114)</f>
        <v/>
      </c>
      <c r="B111" s="12">
        <f>IF(Raw_Data!X114&lt;&gt;"",Raw_Data!X114,Raw_Data!C114)</f>
        <v>0</v>
      </c>
      <c r="C111" s="12" t="str">
        <f>IF(Raw_Data!G114="","",Raw_Data!G114)</f>
        <v/>
      </c>
      <c r="D111" s="12" t="str">
        <f>IF(Raw_Data!H114="","",Raw_Data!H114)</f>
        <v/>
      </c>
      <c r="E111" s="12" t="str">
        <f>IF(Raw_Data!I114="","",Raw_Data!I114)</f>
        <v/>
      </c>
      <c r="F111" s="12" t="str">
        <f>IF(Raw_Data!J114="","",Raw_Data!J114)</f>
        <v/>
      </c>
      <c r="G111" s="12" t="str">
        <f>IF(Raw_Data!AH114&lt;&gt;"",Raw_Data!AH114,IF(Raw_Data!K114&lt;&gt;"",Raw_Data!K114,""))</f>
        <v/>
      </c>
      <c r="H111" s="12" t="str">
        <f>IF(Raw_Data!AI114&lt;&gt;"",Raw_Data!AI114,IF(Raw_Data!L114&lt;&gt;"",Raw_Data!L114,""))</f>
        <v/>
      </c>
      <c r="I111" s="12" t="str">
        <f t="shared" si="9"/>
        <v/>
      </c>
      <c r="J111" s="12" t="str">
        <f>IF(Raw_Data!M114="","",Raw_Data!M114)</f>
        <v/>
      </c>
      <c r="K111" s="12">
        <f>IF(Raw_Data!AJ114&lt;&gt;"",Raw_Data!AJ114,Raw_Data!N114)</f>
        <v>0</v>
      </c>
      <c r="L111" s="12">
        <f t="shared" si="10"/>
        <v>1</v>
      </c>
      <c r="M111" s="12" t="str">
        <f>IF(Raw_Data!AK114="","",Raw_Data!AK114)</f>
        <v/>
      </c>
      <c r="N111" s="12" t="str">
        <f>IF(Raw_Data!T114="","",Raw_Data!T114)</f>
        <v/>
      </c>
      <c r="O111" s="12" t="str">
        <f>IF(Raw_Data!AB114&lt;&gt;"",Raw_Data!AB114,IF(N111="tres_insatisfait",1,IF(N111="insatisfait",2,IF(N111="neutre",3,IF(N111="satisfait",4,IF(N111="tres_satisfait",5,""))))))</f>
        <v/>
      </c>
      <c r="P111" s="12">
        <f>IF(Raw_Data!AL114&lt;&gt;"",Raw_Data!AL114,Raw_Data!R114)</f>
        <v>0</v>
      </c>
      <c r="Q111" s="12">
        <f t="shared" si="11"/>
        <v>0</v>
      </c>
      <c r="R111" s="12" t="str">
        <f>IF(Raw_Data!AM114="","",Raw_Data!AM114)</f>
        <v/>
      </c>
      <c r="S111" s="12" t="str">
        <f t="shared" si="12"/>
        <v/>
      </c>
      <c r="T111" s="12" t="str">
        <f>IF(Raw_Data!AN114="","",Raw_Data!AN114)</f>
        <v/>
      </c>
      <c r="U111" s="12" t="str">
        <f t="shared" si="13"/>
        <v/>
      </c>
      <c r="V111" s="12" t="str">
        <f>IF(Raw_Data!AP114="","",IF(Raw_Data!AP114="oui",1,0))</f>
        <v/>
      </c>
      <c r="W111" s="12" t="str">
        <f>IF(Raw_Data!AQ114="","",IF(Raw_Data!AQ114="oui",1,0))</f>
        <v/>
      </c>
      <c r="X111" s="12" t="str">
        <f>IF(Raw_Data!AR114="","",IF(Raw_Data!AR114="oui",1,0))</f>
        <v/>
      </c>
      <c r="Y111" s="12" t="str">
        <f>IF(Raw_Data!AS114="","",IF(Raw_Data!AS114="oui",1,0))</f>
        <v/>
      </c>
      <c r="Z111" s="12" t="str">
        <f>IF(Raw_Data!V114="","",IF(Raw_Data!V114="oui",1,0))</f>
        <v/>
      </c>
      <c r="AA111" s="12" t="str">
        <f>IF(Raw_Data!W114="","",IF(Raw_Data!W114="oui",1,0))</f>
        <v/>
      </c>
      <c r="AB111" s="12" t="str">
        <f>IF(Raw_Data!Q114="","",IF(Raw_Data!Q114="oui",1,0))</f>
        <v/>
      </c>
      <c r="AC111" s="12">
        <f>Raw_Data!AF114</f>
        <v>0</v>
      </c>
      <c r="AD111" s="12" t="str">
        <f t="shared" si="14"/>
        <v/>
      </c>
      <c r="AE111" s="12" t="str">
        <f t="shared" si="15"/>
        <v/>
      </c>
      <c r="AF111" s="12" t="str">
        <f t="shared" si="16"/>
        <v/>
      </c>
      <c r="AG111" s="12">
        <f t="shared" si="17"/>
        <v>0</v>
      </c>
    </row>
    <row r="112" spans="1:33" ht="15" customHeight="1" x14ac:dyDescent="0.25">
      <c r="A112" s="12" t="str">
        <f>IF(Raw_Data!B115="","",Raw_Data!B115)</f>
        <v/>
      </c>
      <c r="B112" s="12">
        <f>IF(Raw_Data!X115&lt;&gt;"",Raw_Data!X115,Raw_Data!C115)</f>
        <v>0</v>
      </c>
      <c r="C112" s="12" t="str">
        <f>IF(Raw_Data!G115="","",Raw_Data!G115)</f>
        <v/>
      </c>
      <c r="D112" s="12" t="str">
        <f>IF(Raw_Data!H115="","",Raw_Data!H115)</f>
        <v/>
      </c>
      <c r="E112" s="12" t="str">
        <f>IF(Raw_Data!I115="","",Raw_Data!I115)</f>
        <v/>
      </c>
      <c r="F112" s="12" t="str">
        <f>IF(Raw_Data!J115="","",Raw_Data!J115)</f>
        <v/>
      </c>
      <c r="G112" s="12" t="str">
        <f>IF(Raw_Data!AH115&lt;&gt;"",Raw_Data!AH115,IF(Raw_Data!K115&lt;&gt;"",Raw_Data!K115,""))</f>
        <v/>
      </c>
      <c r="H112" s="12" t="str">
        <f>IF(Raw_Data!AI115&lt;&gt;"",Raw_Data!AI115,IF(Raw_Data!L115&lt;&gt;"",Raw_Data!L115,""))</f>
        <v/>
      </c>
      <c r="I112" s="12" t="str">
        <f t="shared" si="9"/>
        <v/>
      </c>
      <c r="J112" s="12" t="str">
        <f>IF(Raw_Data!M115="","",Raw_Data!M115)</f>
        <v/>
      </c>
      <c r="K112" s="12">
        <f>IF(Raw_Data!AJ115&lt;&gt;"",Raw_Data!AJ115,Raw_Data!N115)</f>
        <v>0</v>
      </c>
      <c r="L112" s="12">
        <f t="shared" si="10"/>
        <v>1</v>
      </c>
      <c r="M112" s="12" t="str">
        <f>IF(Raw_Data!AK115="","",Raw_Data!AK115)</f>
        <v/>
      </c>
      <c r="N112" s="12" t="str">
        <f>IF(Raw_Data!T115="","",Raw_Data!T115)</f>
        <v/>
      </c>
      <c r="O112" s="12" t="str">
        <f>IF(Raw_Data!AB115&lt;&gt;"",Raw_Data!AB115,IF(N112="tres_insatisfait",1,IF(N112="insatisfait",2,IF(N112="neutre",3,IF(N112="satisfait",4,IF(N112="tres_satisfait",5,""))))))</f>
        <v/>
      </c>
      <c r="P112" s="12">
        <f>IF(Raw_Data!AL115&lt;&gt;"",Raw_Data!AL115,Raw_Data!R115)</f>
        <v>0</v>
      </c>
      <c r="Q112" s="12">
        <f t="shared" si="11"/>
        <v>0</v>
      </c>
      <c r="R112" s="12" t="str">
        <f>IF(Raw_Data!AM115="","",Raw_Data!AM115)</f>
        <v/>
      </c>
      <c r="S112" s="12" t="str">
        <f t="shared" si="12"/>
        <v/>
      </c>
      <c r="T112" s="12" t="str">
        <f>IF(Raw_Data!AN115="","",Raw_Data!AN115)</f>
        <v/>
      </c>
      <c r="U112" s="12" t="str">
        <f t="shared" si="13"/>
        <v/>
      </c>
      <c r="V112" s="12" t="str">
        <f>IF(Raw_Data!AP115="","",IF(Raw_Data!AP115="oui",1,0))</f>
        <v/>
      </c>
      <c r="W112" s="12" t="str">
        <f>IF(Raw_Data!AQ115="","",IF(Raw_Data!AQ115="oui",1,0))</f>
        <v/>
      </c>
      <c r="X112" s="12" t="str">
        <f>IF(Raw_Data!AR115="","",IF(Raw_Data!AR115="oui",1,0))</f>
        <v/>
      </c>
      <c r="Y112" s="12" t="str">
        <f>IF(Raw_Data!AS115="","",IF(Raw_Data!AS115="oui",1,0))</f>
        <v/>
      </c>
      <c r="Z112" s="12" t="str">
        <f>IF(Raw_Data!V115="","",IF(Raw_Data!V115="oui",1,0))</f>
        <v/>
      </c>
      <c r="AA112" s="12" t="str">
        <f>IF(Raw_Data!W115="","",IF(Raw_Data!W115="oui",1,0))</f>
        <v/>
      </c>
      <c r="AB112" s="12" t="str">
        <f>IF(Raw_Data!Q115="","",IF(Raw_Data!Q115="oui",1,0))</f>
        <v/>
      </c>
      <c r="AC112" s="12">
        <f>Raw_Data!AF115</f>
        <v>0</v>
      </c>
      <c r="AD112" s="12" t="str">
        <f t="shared" si="14"/>
        <v/>
      </c>
      <c r="AE112" s="12" t="str">
        <f t="shared" si="15"/>
        <v/>
      </c>
      <c r="AF112" s="12" t="str">
        <f t="shared" si="16"/>
        <v/>
      </c>
      <c r="AG112" s="12">
        <f t="shared" si="17"/>
        <v>0</v>
      </c>
    </row>
    <row r="113" spans="1:33" ht="15" customHeight="1" x14ac:dyDescent="0.25">
      <c r="A113" s="12" t="str">
        <f>IF(Raw_Data!B116="","",Raw_Data!B116)</f>
        <v/>
      </c>
      <c r="B113" s="12">
        <f>IF(Raw_Data!X116&lt;&gt;"",Raw_Data!X116,Raw_Data!C116)</f>
        <v>0</v>
      </c>
      <c r="C113" s="12" t="str">
        <f>IF(Raw_Data!G116="","",Raw_Data!G116)</f>
        <v/>
      </c>
      <c r="D113" s="12" t="str">
        <f>IF(Raw_Data!H116="","",Raw_Data!H116)</f>
        <v/>
      </c>
      <c r="E113" s="12" t="str">
        <f>IF(Raw_Data!I116="","",Raw_Data!I116)</f>
        <v/>
      </c>
      <c r="F113" s="12" t="str">
        <f>IF(Raw_Data!J116="","",Raw_Data!J116)</f>
        <v/>
      </c>
      <c r="G113" s="12" t="str">
        <f>IF(Raw_Data!AH116&lt;&gt;"",Raw_Data!AH116,IF(Raw_Data!K116&lt;&gt;"",Raw_Data!K116,""))</f>
        <v/>
      </c>
      <c r="H113" s="12" t="str">
        <f>IF(Raw_Data!AI116&lt;&gt;"",Raw_Data!AI116,IF(Raw_Data!L116&lt;&gt;"",Raw_Data!L116,""))</f>
        <v/>
      </c>
      <c r="I113" s="12" t="str">
        <f t="shared" si="9"/>
        <v/>
      </c>
      <c r="J113" s="12" t="str">
        <f>IF(Raw_Data!M116="","",Raw_Data!M116)</f>
        <v/>
      </c>
      <c r="K113" s="12">
        <f>IF(Raw_Data!AJ116&lt;&gt;"",Raw_Data!AJ116,Raw_Data!N116)</f>
        <v>0</v>
      </c>
      <c r="L113" s="12">
        <f t="shared" si="10"/>
        <v>1</v>
      </c>
      <c r="M113" s="12" t="str">
        <f>IF(Raw_Data!AK116="","",Raw_Data!AK116)</f>
        <v/>
      </c>
      <c r="N113" s="12" t="str">
        <f>IF(Raw_Data!T116="","",Raw_Data!T116)</f>
        <v/>
      </c>
      <c r="O113" s="12" t="str">
        <f>IF(Raw_Data!AB116&lt;&gt;"",Raw_Data!AB116,IF(N113="tres_insatisfait",1,IF(N113="insatisfait",2,IF(N113="neutre",3,IF(N113="satisfait",4,IF(N113="tres_satisfait",5,""))))))</f>
        <v/>
      </c>
      <c r="P113" s="12">
        <f>IF(Raw_Data!AL116&lt;&gt;"",Raw_Data!AL116,Raw_Data!R116)</f>
        <v>0</v>
      </c>
      <c r="Q113" s="12">
        <f t="shared" si="11"/>
        <v>0</v>
      </c>
      <c r="R113" s="12" t="str">
        <f>IF(Raw_Data!AM116="","",Raw_Data!AM116)</f>
        <v/>
      </c>
      <c r="S113" s="12" t="str">
        <f t="shared" si="12"/>
        <v/>
      </c>
      <c r="T113" s="12" t="str">
        <f>IF(Raw_Data!AN116="","",Raw_Data!AN116)</f>
        <v/>
      </c>
      <c r="U113" s="12" t="str">
        <f t="shared" si="13"/>
        <v/>
      </c>
      <c r="V113" s="12" t="str">
        <f>IF(Raw_Data!AP116="","",IF(Raw_Data!AP116="oui",1,0))</f>
        <v/>
      </c>
      <c r="W113" s="12" t="str">
        <f>IF(Raw_Data!AQ116="","",IF(Raw_Data!AQ116="oui",1,0))</f>
        <v/>
      </c>
      <c r="X113" s="12" t="str">
        <f>IF(Raw_Data!AR116="","",IF(Raw_Data!AR116="oui",1,0))</f>
        <v/>
      </c>
      <c r="Y113" s="12" t="str">
        <f>IF(Raw_Data!AS116="","",IF(Raw_Data!AS116="oui",1,0))</f>
        <v/>
      </c>
      <c r="Z113" s="12" t="str">
        <f>IF(Raw_Data!V116="","",IF(Raw_Data!V116="oui",1,0))</f>
        <v/>
      </c>
      <c r="AA113" s="12" t="str">
        <f>IF(Raw_Data!W116="","",IF(Raw_Data!W116="oui",1,0))</f>
        <v/>
      </c>
      <c r="AB113" s="12" t="str">
        <f>IF(Raw_Data!Q116="","",IF(Raw_Data!Q116="oui",1,0))</f>
        <v/>
      </c>
      <c r="AC113" s="12">
        <f>Raw_Data!AF116</f>
        <v>0</v>
      </c>
      <c r="AD113" s="12" t="str">
        <f t="shared" si="14"/>
        <v/>
      </c>
      <c r="AE113" s="12" t="str">
        <f t="shared" si="15"/>
        <v/>
      </c>
      <c r="AF113" s="12" t="str">
        <f t="shared" si="16"/>
        <v/>
      </c>
      <c r="AG113" s="12">
        <f t="shared" si="17"/>
        <v>0</v>
      </c>
    </row>
    <row r="114" spans="1:33" ht="15" customHeight="1" x14ac:dyDescent="0.25">
      <c r="A114" s="12" t="str">
        <f>IF(Raw_Data!B117="","",Raw_Data!B117)</f>
        <v/>
      </c>
      <c r="B114" s="12">
        <f>IF(Raw_Data!X117&lt;&gt;"",Raw_Data!X117,Raw_Data!C117)</f>
        <v>0</v>
      </c>
      <c r="C114" s="12" t="str">
        <f>IF(Raw_Data!G117="","",Raw_Data!G117)</f>
        <v/>
      </c>
      <c r="D114" s="12" t="str">
        <f>IF(Raw_Data!H117="","",Raw_Data!H117)</f>
        <v/>
      </c>
      <c r="E114" s="12" t="str">
        <f>IF(Raw_Data!I117="","",Raw_Data!I117)</f>
        <v/>
      </c>
      <c r="F114" s="12" t="str">
        <f>IF(Raw_Data!J117="","",Raw_Data!J117)</f>
        <v/>
      </c>
      <c r="G114" s="12" t="str">
        <f>IF(Raw_Data!AH117&lt;&gt;"",Raw_Data!AH117,IF(Raw_Data!K117&lt;&gt;"",Raw_Data!K117,""))</f>
        <v/>
      </c>
      <c r="H114" s="12" t="str">
        <f>IF(Raw_Data!AI117&lt;&gt;"",Raw_Data!AI117,IF(Raw_Data!L117&lt;&gt;"",Raw_Data!L117,""))</f>
        <v/>
      </c>
      <c r="I114" s="12" t="str">
        <f t="shared" si="9"/>
        <v/>
      </c>
      <c r="J114" s="12" t="str">
        <f>IF(Raw_Data!M117="","",Raw_Data!M117)</f>
        <v/>
      </c>
      <c r="K114" s="12">
        <f>IF(Raw_Data!AJ117&lt;&gt;"",Raw_Data!AJ117,Raw_Data!N117)</f>
        <v>0</v>
      </c>
      <c r="L114" s="12">
        <f t="shared" si="10"/>
        <v>1</v>
      </c>
      <c r="M114" s="12" t="str">
        <f>IF(Raw_Data!AK117="","",Raw_Data!AK117)</f>
        <v/>
      </c>
      <c r="N114" s="12" t="str">
        <f>IF(Raw_Data!T117="","",Raw_Data!T117)</f>
        <v/>
      </c>
      <c r="O114" s="12" t="str">
        <f>IF(Raw_Data!AB117&lt;&gt;"",Raw_Data!AB117,IF(N114="tres_insatisfait",1,IF(N114="insatisfait",2,IF(N114="neutre",3,IF(N114="satisfait",4,IF(N114="tres_satisfait",5,""))))))</f>
        <v/>
      </c>
      <c r="P114" s="12">
        <f>IF(Raw_Data!AL117&lt;&gt;"",Raw_Data!AL117,Raw_Data!R117)</f>
        <v>0</v>
      </c>
      <c r="Q114" s="12">
        <f t="shared" si="11"/>
        <v>0</v>
      </c>
      <c r="R114" s="12" t="str">
        <f>IF(Raw_Data!AM117="","",Raw_Data!AM117)</f>
        <v/>
      </c>
      <c r="S114" s="12" t="str">
        <f t="shared" si="12"/>
        <v/>
      </c>
      <c r="T114" s="12" t="str">
        <f>IF(Raw_Data!AN117="","",Raw_Data!AN117)</f>
        <v/>
      </c>
      <c r="U114" s="12" t="str">
        <f t="shared" si="13"/>
        <v/>
      </c>
      <c r="V114" s="12" t="str">
        <f>IF(Raw_Data!AP117="","",IF(Raw_Data!AP117="oui",1,0))</f>
        <v/>
      </c>
      <c r="W114" s="12" t="str">
        <f>IF(Raw_Data!AQ117="","",IF(Raw_Data!AQ117="oui",1,0))</f>
        <v/>
      </c>
      <c r="X114" s="12" t="str">
        <f>IF(Raw_Data!AR117="","",IF(Raw_Data!AR117="oui",1,0))</f>
        <v/>
      </c>
      <c r="Y114" s="12" t="str">
        <f>IF(Raw_Data!AS117="","",IF(Raw_Data!AS117="oui",1,0))</f>
        <v/>
      </c>
      <c r="Z114" s="12" t="str">
        <f>IF(Raw_Data!V117="","",IF(Raw_Data!V117="oui",1,0))</f>
        <v/>
      </c>
      <c r="AA114" s="12" t="str">
        <f>IF(Raw_Data!W117="","",IF(Raw_Data!W117="oui",1,0))</f>
        <v/>
      </c>
      <c r="AB114" s="12" t="str">
        <f>IF(Raw_Data!Q117="","",IF(Raw_Data!Q117="oui",1,0))</f>
        <v/>
      </c>
      <c r="AC114" s="12">
        <f>Raw_Data!AF117</f>
        <v>0</v>
      </c>
      <c r="AD114" s="12" t="str">
        <f t="shared" si="14"/>
        <v/>
      </c>
      <c r="AE114" s="12" t="str">
        <f t="shared" si="15"/>
        <v/>
      </c>
      <c r="AF114" s="12" t="str">
        <f t="shared" si="16"/>
        <v/>
      </c>
      <c r="AG114" s="12">
        <f t="shared" si="17"/>
        <v>0</v>
      </c>
    </row>
    <row r="115" spans="1:33" ht="15" customHeight="1" x14ac:dyDescent="0.25">
      <c r="A115" s="12" t="str">
        <f>IF(Raw_Data!B118="","",Raw_Data!B118)</f>
        <v/>
      </c>
      <c r="B115" s="12">
        <f>IF(Raw_Data!X118&lt;&gt;"",Raw_Data!X118,Raw_Data!C118)</f>
        <v>0</v>
      </c>
      <c r="C115" s="12" t="str">
        <f>IF(Raw_Data!G118="","",Raw_Data!G118)</f>
        <v/>
      </c>
      <c r="D115" s="12" t="str">
        <f>IF(Raw_Data!H118="","",Raw_Data!H118)</f>
        <v/>
      </c>
      <c r="E115" s="12" t="str">
        <f>IF(Raw_Data!I118="","",Raw_Data!I118)</f>
        <v/>
      </c>
      <c r="F115" s="12" t="str">
        <f>IF(Raw_Data!J118="","",Raw_Data!J118)</f>
        <v/>
      </c>
      <c r="G115" s="12" t="str">
        <f>IF(Raw_Data!AH118&lt;&gt;"",Raw_Data!AH118,IF(Raw_Data!K118&lt;&gt;"",Raw_Data!K118,""))</f>
        <v/>
      </c>
      <c r="H115" s="12" t="str">
        <f>IF(Raw_Data!AI118&lt;&gt;"",Raw_Data!AI118,IF(Raw_Data!L118&lt;&gt;"",Raw_Data!L118,""))</f>
        <v/>
      </c>
      <c r="I115" s="12" t="str">
        <f t="shared" si="9"/>
        <v/>
      </c>
      <c r="J115" s="12" t="str">
        <f>IF(Raw_Data!M118="","",Raw_Data!M118)</f>
        <v/>
      </c>
      <c r="K115" s="12">
        <f>IF(Raw_Data!AJ118&lt;&gt;"",Raw_Data!AJ118,Raw_Data!N118)</f>
        <v>0</v>
      </c>
      <c r="L115" s="12">
        <f t="shared" si="10"/>
        <v>1</v>
      </c>
      <c r="M115" s="12" t="str">
        <f>IF(Raw_Data!AK118="","",Raw_Data!AK118)</f>
        <v/>
      </c>
      <c r="N115" s="12" t="str">
        <f>IF(Raw_Data!T118="","",Raw_Data!T118)</f>
        <v/>
      </c>
      <c r="O115" s="12" t="str">
        <f>IF(Raw_Data!AB118&lt;&gt;"",Raw_Data!AB118,IF(N115="tres_insatisfait",1,IF(N115="insatisfait",2,IF(N115="neutre",3,IF(N115="satisfait",4,IF(N115="tres_satisfait",5,""))))))</f>
        <v/>
      </c>
      <c r="P115" s="12">
        <f>IF(Raw_Data!AL118&lt;&gt;"",Raw_Data!AL118,Raw_Data!R118)</f>
        <v>0</v>
      </c>
      <c r="Q115" s="12">
        <f t="shared" si="11"/>
        <v>0</v>
      </c>
      <c r="R115" s="12" t="str">
        <f>IF(Raw_Data!AM118="","",Raw_Data!AM118)</f>
        <v/>
      </c>
      <c r="S115" s="12" t="str">
        <f t="shared" si="12"/>
        <v/>
      </c>
      <c r="T115" s="12" t="str">
        <f>IF(Raw_Data!AN118="","",Raw_Data!AN118)</f>
        <v/>
      </c>
      <c r="U115" s="12" t="str">
        <f t="shared" si="13"/>
        <v/>
      </c>
      <c r="V115" s="12" t="str">
        <f>IF(Raw_Data!AP118="","",IF(Raw_Data!AP118="oui",1,0))</f>
        <v/>
      </c>
      <c r="W115" s="12" t="str">
        <f>IF(Raw_Data!AQ118="","",IF(Raw_Data!AQ118="oui",1,0))</f>
        <v/>
      </c>
      <c r="X115" s="12" t="str">
        <f>IF(Raw_Data!AR118="","",IF(Raw_Data!AR118="oui",1,0))</f>
        <v/>
      </c>
      <c r="Y115" s="12" t="str">
        <f>IF(Raw_Data!AS118="","",IF(Raw_Data!AS118="oui",1,0))</f>
        <v/>
      </c>
      <c r="Z115" s="12" t="str">
        <f>IF(Raw_Data!V118="","",IF(Raw_Data!V118="oui",1,0))</f>
        <v/>
      </c>
      <c r="AA115" s="12" t="str">
        <f>IF(Raw_Data!W118="","",IF(Raw_Data!W118="oui",1,0))</f>
        <v/>
      </c>
      <c r="AB115" s="12" t="str">
        <f>IF(Raw_Data!Q118="","",IF(Raw_Data!Q118="oui",1,0))</f>
        <v/>
      </c>
      <c r="AC115" s="12">
        <f>Raw_Data!AF118</f>
        <v>0</v>
      </c>
      <c r="AD115" s="12" t="str">
        <f t="shared" si="14"/>
        <v/>
      </c>
      <c r="AE115" s="12" t="str">
        <f t="shared" si="15"/>
        <v/>
      </c>
      <c r="AF115" s="12" t="str">
        <f t="shared" si="16"/>
        <v/>
      </c>
      <c r="AG115" s="12">
        <f t="shared" si="17"/>
        <v>0</v>
      </c>
    </row>
    <row r="116" spans="1:33" ht="15" customHeight="1" x14ac:dyDescent="0.25">
      <c r="A116" s="12" t="str">
        <f>IF(Raw_Data!B119="","",Raw_Data!B119)</f>
        <v/>
      </c>
      <c r="B116" s="12">
        <f>IF(Raw_Data!X119&lt;&gt;"",Raw_Data!X119,Raw_Data!C119)</f>
        <v>0</v>
      </c>
      <c r="C116" s="12" t="str">
        <f>IF(Raw_Data!G119="","",Raw_Data!G119)</f>
        <v/>
      </c>
      <c r="D116" s="12" t="str">
        <f>IF(Raw_Data!H119="","",Raw_Data!H119)</f>
        <v/>
      </c>
      <c r="E116" s="12" t="str">
        <f>IF(Raw_Data!I119="","",Raw_Data!I119)</f>
        <v/>
      </c>
      <c r="F116" s="12" t="str">
        <f>IF(Raw_Data!J119="","",Raw_Data!J119)</f>
        <v/>
      </c>
      <c r="G116" s="12" t="str">
        <f>IF(Raw_Data!AH119&lt;&gt;"",Raw_Data!AH119,IF(Raw_Data!K119&lt;&gt;"",Raw_Data!K119,""))</f>
        <v/>
      </c>
      <c r="H116" s="12" t="str">
        <f>IF(Raw_Data!AI119&lt;&gt;"",Raw_Data!AI119,IF(Raw_Data!L119&lt;&gt;"",Raw_Data!L119,""))</f>
        <v/>
      </c>
      <c r="I116" s="12" t="str">
        <f t="shared" si="9"/>
        <v/>
      </c>
      <c r="J116" s="12" t="str">
        <f>IF(Raw_Data!M119="","",Raw_Data!M119)</f>
        <v/>
      </c>
      <c r="K116" s="12">
        <f>IF(Raw_Data!AJ119&lt;&gt;"",Raw_Data!AJ119,Raw_Data!N119)</f>
        <v>0</v>
      </c>
      <c r="L116" s="12">
        <f t="shared" si="10"/>
        <v>1</v>
      </c>
      <c r="M116" s="12" t="str">
        <f>IF(Raw_Data!AK119="","",Raw_Data!AK119)</f>
        <v/>
      </c>
      <c r="N116" s="12" t="str">
        <f>IF(Raw_Data!T119="","",Raw_Data!T119)</f>
        <v/>
      </c>
      <c r="O116" s="12" t="str">
        <f>IF(Raw_Data!AB119&lt;&gt;"",Raw_Data!AB119,IF(N116="tres_insatisfait",1,IF(N116="insatisfait",2,IF(N116="neutre",3,IF(N116="satisfait",4,IF(N116="tres_satisfait",5,""))))))</f>
        <v/>
      </c>
      <c r="P116" s="12">
        <f>IF(Raw_Data!AL119&lt;&gt;"",Raw_Data!AL119,Raw_Data!R119)</f>
        <v>0</v>
      </c>
      <c r="Q116" s="12">
        <f t="shared" si="11"/>
        <v>0</v>
      </c>
      <c r="R116" s="12" t="str">
        <f>IF(Raw_Data!AM119="","",Raw_Data!AM119)</f>
        <v/>
      </c>
      <c r="S116" s="12" t="str">
        <f t="shared" si="12"/>
        <v/>
      </c>
      <c r="T116" s="12" t="str">
        <f>IF(Raw_Data!AN119="","",Raw_Data!AN119)</f>
        <v/>
      </c>
      <c r="U116" s="12" t="str">
        <f t="shared" si="13"/>
        <v/>
      </c>
      <c r="V116" s="12" t="str">
        <f>IF(Raw_Data!AP119="","",IF(Raw_Data!AP119="oui",1,0))</f>
        <v/>
      </c>
      <c r="W116" s="12" t="str">
        <f>IF(Raw_Data!AQ119="","",IF(Raw_Data!AQ119="oui",1,0))</f>
        <v/>
      </c>
      <c r="X116" s="12" t="str">
        <f>IF(Raw_Data!AR119="","",IF(Raw_Data!AR119="oui",1,0))</f>
        <v/>
      </c>
      <c r="Y116" s="12" t="str">
        <f>IF(Raw_Data!AS119="","",IF(Raw_Data!AS119="oui",1,0))</f>
        <v/>
      </c>
      <c r="Z116" s="12" t="str">
        <f>IF(Raw_Data!V119="","",IF(Raw_Data!V119="oui",1,0))</f>
        <v/>
      </c>
      <c r="AA116" s="12" t="str">
        <f>IF(Raw_Data!W119="","",IF(Raw_Data!W119="oui",1,0))</f>
        <v/>
      </c>
      <c r="AB116" s="12" t="str">
        <f>IF(Raw_Data!Q119="","",IF(Raw_Data!Q119="oui",1,0))</f>
        <v/>
      </c>
      <c r="AC116" s="12">
        <f>Raw_Data!AF119</f>
        <v>0</v>
      </c>
      <c r="AD116" s="12" t="str">
        <f t="shared" si="14"/>
        <v/>
      </c>
      <c r="AE116" s="12" t="str">
        <f t="shared" si="15"/>
        <v/>
      </c>
      <c r="AF116" s="12" t="str">
        <f t="shared" si="16"/>
        <v/>
      </c>
      <c r="AG116" s="12">
        <f t="shared" si="17"/>
        <v>0</v>
      </c>
    </row>
    <row r="117" spans="1:33" ht="15" customHeight="1" x14ac:dyDescent="0.25">
      <c r="A117" s="12" t="str">
        <f>IF(Raw_Data!B120="","",Raw_Data!B120)</f>
        <v/>
      </c>
      <c r="B117" s="12">
        <f>IF(Raw_Data!X120&lt;&gt;"",Raw_Data!X120,Raw_Data!C120)</f>
        <v>0</v>
      </c>
      <c r="C117" s="12" t="str">
        <f>IF(Raw_Data!G120="","",Raw_Data!G120)</f>
        <v/>
      </c>
      <c r="D117" s="12" t="str">
        <f>IF(Raw_Data!H120="","",Raw_Data!H120)</f>
        <v/>
      </c>
      <c r="E117" s="12" t="str">
        <f>IF(Raw_Data!I120="","",Raw_Data!I120)</f>
        <v/>
      </c>
      <c r="F117" s="12" t="str">
        <f>IF(Raw_Data!J120="","",Raw_Data!J120)</f>
        <v/>
      </c>
      <c r="G117" s="12" t="str">
        <f>IF(Raw_Data!AH120&lt;&gt;"",Raw_Data!AH120,IF(Raw_Data!K120&lt;&gt;"",Raw_Data!K120,""))</f>
        <v/>
      </c>
      <c r="H117" s="12" t="str">
        <f>IF(Raw_Data!AI120&lt;&gt;"",Raw_Data!AI120,IF(Raw_Data!L120&lt;&gt;"",Raw_Data!L120,""))</f>
        <v/>
      </c>
      <c r="I117" s="12" t="str">
        <f t="shared" si="9"/>
        <v/>
      </c>
      <c r="J117" s="12" t="str">
        <f>IF(Raw_Data!M120="","",Raw_Data!M120)</f>
        <v/>
      </c>
      <c r="K117" s="12">
        <f>IF(Raw_Data!AJ120&lt;&gt;"",Raw_Data!AJ120,Raw_Data!N120)</f>
        <v>0</v>
      </c>
      <c r="L117" s="12">
        <f t="shared" si="10"/>
        <v>1</v>
      </c>
      <c r="M117" s="12" t="str">
        <f>IF(Raw_Data!AK120="","",Raw_Data!AK120)</f>
        <v/>
      </c>
      <c r="N117" s="12" t="str">
        <f>IF(Raw_Data!T120="","",Raw_Data!T120)</f>
        <v/>
      </c>
      <c r="O117" s="12" t="str">
        <f>IF(Raw_Data!AB120&lt;&gt;"",Raw_Data!AB120,IF(N117="tres_insatisfait",1,IF(N117="insatisfait",2,IF(N117="neutre",3,IF(N117="satisfait",4,IF(N117="tres_satisfait",5,""))))))</f>
        <v/>
      </c>
      <c r="P117" s="12">
        <f>IF(Raw_Data!AL120&lt;&gt;"",Raw_Data!AL120,Raw_Data!R120)</f>
        <v>0</v>
      </c>
      <c r="Q117" s="12">
        <f t="shared" si="11"/>
        <v>0</v>
      </c>
      <c r="R117" s="12" t="str">
        <f>IF(Raw_Data!AM120="","",Raw_Data!AM120)</f>
        <v/>
      </c>
      <c r="S117" s="12" t="str">
        <f t="shared" si="12"/>
        <v/>
      </c>
      <c r="T117" s="12" t="str">
        <f>IF(Raw_Data!AN120="","",Raw_Data!AN120)</f>
        <v/>
      </c>
      <c r="U117" s="12" t="str">
        <f t="shared" si="13"/>
        <v/>
      </c>
      <c r="V117" s="12" t="str">
        <f>IF(Raw_Data!AP120="","",IF(Raw_Data!AP120="oui",1,0))</f>
        <v/>
      </c>
      <c r="W117" s="12" t="str">
        <f>IF(Raw_Data!AQ120="","",IF(Raw_Data!AQ120="oui",1,0))</f>
        <v/>
      </c>
      <c r="X117" s="12" t="str">
        <f>IF(Raw_Data!AR120="","",IF(Raw_Data!AR120="oui",1,0))</f>
        <v/>
      </c>
      <c r="Y117" s="12" t="str">
        <f>IF(Raw_Data!AS120="","",IF(Raw_Data!AS120="oui",1,0))</f>
        <v/>
      </c>
      <c r="Z117" s="12" t="str">
        <f>IF(Raw_Data!V120="","",IF(Raw_Data!V120="oui",1,0))</f>
        <v/>
      </c>
      <c r="AA117" s="12" t="str">
        <f>IF(Raw_Data!W120="","",IF(Raw_Data!W120="oui",1,0))</f>
        <v/>
      </c>
      <c r="AB117" s="12" t="str">
        <f>IF(Raw_Data!Q120="","",IF(Raw_Data!Q120="oui",1,0))</f>
        <v/>
      </c>
      <c r="AC117" s="12">
        <f>Raw_Data!AF120</f>
        <v>0</v>
      </c>
      <c r="AD117" s="12" t="str">
        <f t="shared" si="14"/>
        <v/>
      </c>
      <c r="AE117" s="12" t="str">
        <f t="shared" si="15"/>
        <v/>
      </c>
      <c r="AF117" s="12" t="str">
        <f t="shared" si="16"/>
        <v/>
      </c>
      <c r="AG117" s="12">
        <f t="shared" si="17"/>
        <v>0</v>
      </c>
    </row>
    <row r="118" spans="1:33" ht="15" customHeight="1" x14ac:dyDescent="0.25">
      <c r="A118" s="12" t="str">
        <f>IF(Raw_Data!B121="","",Raw_Data!B121)</f>
        <v/>
      </c>
      <c r="B118" s="12">
        <f>IF(Raw_Data!X121&lt;&gt;"",Raw_Data!X121,Raw_Data!C121)</f>
        <v>0</v>
      </c>
      <c r="C118" s="12" t="str">
        <f>IF(Raw_Data!G121="","",Raw_Data!G121)</f>
        <v/>
      </c>
      <c r="D118" s="12" t="str">
        <f>IF(Raw_Data!H121="","",Raw_Data!H121)</f>
        <v/>
      </c>
      <c r="E118" s="12" t="str">
        <f>IF(Raw_Data!I121="","",Raw_Data!I121)</f>
        <v/>
      </c>
      <c r="F118" s="12" t="str">
        <f>IF(Raw_Data!J121="","",Raw_Data!J121)</f>
        <v/>
      </c>
      <c r="G118" s="12" t="str">
        <f>IF(Raw_Data!AH121&lt;&gt;"",Raw_Data!AH121,IF(Raw_Data!K121&lt;&gt;"",Raw_Data!K121,""))</f>
        <v/>
      </c>
      <c r="H118" s="12" t="str">
        <f>IF(Raw_Data!AI121&lt;&gt;"",Raw_Data!AI121,IF(Raw_Data!L121&lt;&gt;"",Raw_Data!L121,""))</f>
        <v/>
      </c>
      <c r="I118" s="12" t="str">
        <f t="shared" si="9"/>
        <v/>
      </c>
      <c r="J118" s="12" t="str">
        <f>IF(Raw_Data!M121="","",Raw_Data!M121)</f>
        <v/>
      </c>
      <c r="K118" s="12">
        <f>IF(Raw_Data!AJ121&lt;&gt;"",Raw_Data!AJ121,Raw_Data!N121)</f>
        <v>0</v>
      </c>
      <c r="L118" s="12">
        <f t="shared" si="10"/>
        <v>1</v>
      </c>
      <c r="M118" s="12" t="str">
        <f>IF(Raw_Data!AK121="","",Raw_Data!AK121)</f>
        <v/>
      </c>
      <c r="N118" s="12" t="str">
        <f>IF(Raw_Data!T121="","",Raw_Data!T121)</f>
        <v/>
      </c>
      <c r="O118" s="12" t="str">
        <f>IF(Raw_Data!AB121&lt;&gt;"",Raw_Data!AB121,IF(N118="tres_insatisfait",1,IF(N118="insatisfait",2,IF(N118="neutre",3,IF(N118="satisfait",4,IF(N118="tres_satisfait",5,""))))))</f>
        <v/>
      </c>
      <c r="P118" s="12">
        <f>IF(Raw_Data!AL121&lt;&gt;"",Raw_Data!AL121,Raw_Data!R121)</f>
        <v>0</v>
      </c>
      <c r="Q118" s="12">
        <f t="shared" si="11"/>
        <v>0</v>
      </c>
      <c r="R118" s="12" t="str">
        <f>IF(Raw_Data!AM121="","",Raw_Data!AM121)</f>
        <v/>
      </c>
      <c r="S118" s="12" t="str">
        <f t="shared" si="12"/>
        <v/>
      </c>
      <c r="T118" s="12" t="str">
        <f>IF(Raw_Data!AN121="","",Raw_Data!AN121)</f>
        <v/>
      </c>
      <c r="U118" s="12" t="str">
        <f t="shared" si="13"/>
        <v/>
      </c>
      <c r="V118" s="12" t="str">
        <f>IF(Raw_Data!AP121="","",IF(Raw_Data!AP121="oui",1,0))</f>
        <v/>
      </c>
      <c r="W118" s="12" t="str">
        <f>IF(Raw_Data!AQ121="","",IF(Raw_Data!AQ121="oui",1,0))</f>
        <v/>
      </c>
      <c r="X118" s="12" t="str">
        <f>IF(Raw_Data!AR121="","",IF(Raw_Data!AR121="oui",1,0))</f>
        <v/>
      </c>
      <c r="Y118" s="12" t="str">
        <f>IF(Raw_Data!AS121="","",IF(Raw_Data!AS121="oui",1,0))</f>
        <v/>
      </c>
      <c r="Z118" s="12" t="str">
        <f>IF(Raw_Data!V121="","",IF(Raw_Data!V121="oui",1,0))</f>
        <v/>
      </c>
      <c r="AA118" s="12" t="str">
        <f>IF(Raw_Data!W121="","",IF(Raw_Data!W121="oui",1,0))</f>
        <v/>
      </c>
      <c r="AB118" s="12" t="str">
        <f>IF(Raw_Data!Q121="","",IF(Raw_Data!Q121="oui",1,0))</f>
        <v/>
      </c>
      <c r="AC118" s="12">
        <f>Raw_Data!AF121</f>
        <v>0</v>
      </c>
      <c r="AD118" s="12" t="str">
        <f t="shared" si="14"/>
        <v/>
      </c>
      <c r="AE118" s="12" t="str">
        <f t="shared" si="15"/>
        <v/>
      </c>
      <c r="AF118" s="12" t="str">
        <f t="shared" si="16"/>
        <v/>
      </c>
      <c r="AG118" s="12">
        <f t="shared" si="17"/>
        <v>0</v>
      </c>
    </row>
    <row r="119" spans="1:33" ht="15" customHeight="1" x14ac:dyDescent="0.25">
      <c r="A119" s="12" t="str">
        <f>IF(Raw_Data!B122="","",Raw_Data!B122)</f>
        <v/>
      </c>
      <c r="B119" s="12">
        <f>IF(Raw_Data!X122&lt;&gt;"",Raw_Data!X122,Raw_Data!C122)</f>
        <v>0</v>
      </c>
      <c r="C119" s="12" t="str">
        <f>IF(Raw_Data!G122="","",Raw_Data!G122)</f>
        <v/>
      </c>
      <c r="D119" s="12" t="str">
        <f>IF(Raw_Data!H122="","",Raw_Data!H122)</f>
        <v/>
      </c>
      <c r="E119" s="12" t="str">
        <f>IF(Raw_Data!I122="","",Raw_Data!I122)</f>
        <v/>
      </c>
      <c r="F119" s="12" t="str">
        <f>IF(Raw_Data!J122="","",Raw_Data!J122)</f>
        <v/>
      </c>
      <c r="G119" s="12" t="str">
        <f>IF(Raw_Data!AH122&lt;&gt;"",Raw_Data!AH122,IF(Raw_Data!K122&lt;&gt;"",Raw_Data!K122,""))</f>
        <v/>
      </c>
      <c r="H119" s="12" t="str">
        <f>IF(Raw_Data!AI122&lt;&gt;"",Raw_Data!AI122,IF(Raw_Data!L122&lt;&gt;"",Raw_Data!L122,""))</f>
        <v/>
      </c>
      <c r="I119" s="12" t="str">
        <f t="shared" si="9"/>
        <v/>
      </c>
      <c r="J119" s="12" t="str">
        <f>IF(Raw_Data!M122="","",Raw_Data!M122)</f>
        <v/>
      </c>
      <c r="K119" s="12">
        <f>IF(Raw_Data!AJ122&lt;&gt;"",Raw_Data!AJ122,Raw_Data!N122)</f>
        <v>0</v>
      </c>
      <c r="L119" s="12">
        <f t="shared" si="10"/>
        <v>1</v>
      </c>
      <c r="M119" s="12" t="str">
        <f>IF(Raw_Data!AK122="","",Raw_Data!AK122)</f>
        <v/>
      </c>
      <c r="N119" s="12" t="str">
        <f>IF(Raw_Data!T122="","",Raw_Data!T122)</f>
        <v/>
      </c>
      <c r="O119" s="12" t="str">
        <f>IF(Raw_Data!AB122&lt;&gt;"",Raw_Data!AB122,IF(N119="tres_insatisfait",1,IF(N119="insatisfait",2,IF(N119="neutre",3,IF(N119="satisfait",4,IF(N119="tres_satisfait",5,""))))))</f>
        <v/>
      </c>
      <c r="P119" s="12">
        <f>IF(Raw_Data!AL122&lt;&gt;"",Raw_Data!AL122,Raw_Data!R122)</f>
        <v>0</v>
      </c>
      <c r="Q119" s="12">
        <f t="shared" si="11"/>
        <v>0</v>
      </c>
      <c r="R119" s="12" t="str">
        <f>IF(Raw_Data!AM122="","",Raw_Data!AM122)</f>
        <v/>
      </c>
      <c r="S119" s="12" t="str">
        <f t="shared" si="12"/>
        <v/>
      </c>
      <c r="T119" s="12" t="str">
        <f>IF(Raw_Data!AN122="","",Raw_Data!AN122)</f>
        <v/>
      </c>
      <c r="U119" s="12" t="str">
        <f t="shared" si="13"/>
        <v/>
      </c>
      <c r="V119" s="12" t="str">
        <f>IF(Raw_Data!AP122="","",IF(Raw_Data!AP122="oui",1,0))</f>
        <v/>
      </c>
      <c r="W119" s="12" t="str">
        <f>IF(Raw_Data!AQ122="","",IF(Raw_Data!AQ122="oui",1,0))</f>
        <v/>
      </c>
      <c r="X119" s="12" t="str">
        <f>IF(Raw_Data!AR122="","",IF(Raw_Data!AR122="oui",1,0))</f>
        <v/>
      </c>
      <c r="Y119" s="12" t="str">
        <f>IF(Raw_Data!AS122="","",IF(Raw_Data!AS122="oui",1,0))</f>
        <v/>
      </c>
      <c r="Z119" s="12" t="str">
        <f>IF(Raw_Data!V122="","",IF(Raw_Data!V122="oui",1,0))</f>
        <v/>
      </c>
      <c r="AA119" s="12" t="str">
        <f>IF(Raw_Data!W122="","",IF(Raw_Data!W122="oui",1,0))</f>
        <v/>
      </c>
      <c r="AB119" s="12" t="str">
        <f>IF(Raw_Data!Q122="","",IF(Raw_Data!Q122="oui",1,0))</f>
        <v/>
      </c>
      <c r="AC119" s="12">
        <f>Raw_Data!AF122</f>
        <v>0</v>
      </c>
      <c r="AD119" s="12" t="str">
        <f t="shared" si="14"/>
        <v/>
      </c>
      <c r="AE119" s="12" t="str">
        <f t="shared" si="15"/>
        <v/>
      </c>
      <c r="AF119" s="12" t="str">
        <f t="shared" si="16"/>
        <v/>
      </c>
      <c r="AG119" s="12">
        <f t="shared" si="17"/>
        <v>0</v>
      </c>
    </row>
    <row r="120" spans="1:33" ht="15" customHeight="1" x14ac:dyDescent="0.25">
      <c r="A120" s="12" t="str">
        <f>IF(Raw_Data!B123="","",Raw_Data!B123)</f>
        <v/>
      </c>
      <c r="B120" s="12">
        <f>IF(Raw_Data!X123&lt;&gt;"",Raw_Data!X123,Raw_Data!C123)</f>
        <v>0</v>
      </c>
      <c r="C120" s="12" t="str">
        <f>IF(Raw_Data!G123="","",Raw_Data!G123)</f>
        <v/>
      </c>
      <c r="D120" s="12" t="str">
        <f>IF(Raw_Data!H123="","",Raw_Data!H123)</f>
        <v/>
      </c>
      <c r="E120" s="12" t="str">
        <f>IF(Raw_Data!I123="","",Raw_Data!I123)</f>
        <v/>
      </c>
      <c r="F120" s="12" t="str">
        <f>IF(Raw_Data!J123="","",Raw_Data!J123)</f>
        <v/>
      </c>
      <c r="G120" s="12" t="str">
        <f>IF(Raw_Data!AH123&lt;&gt;"",Raw_Data!AH123,IF(Raw_Data!K123&lt;&gt;"",Raw_Data!K123,""))</f>
        <v/>
      </c>
      <c r="H120" s="12" t="str">
        <f>IF(Raw_Data!AI123&lt;&gt;"",Raw_Data!AI123,IF(Raw_Data!L123&lt;&gt;"",Raw_Data!L123,""))</f>
        <v/>
      </c>
      <c r="I120" s="12" t="str">
        <f t="shared" si="9"/>
        <v/>
      </c>
      <c r="J120" s="12" t="str">
        <f>IF(Raw_Data!M123="","",Raw_Data!M123)</f>
        <v/>
      </c>
      <c r="K120" s="12">
        <f>IF(Raw_Data!AJ123&lt;&gt;"",Raw_Data!AJ123,Raw_Data!N123)</f>
        <v>0</v>
      </c>
      <c r="L120" s="12">
        <f t="shared" si="10"/>
        <v>1</v>
      </c>
      <c r="M120" s="12" t="str">
        <f>IF(Raw_Data!AK123="","",Raw_Data!AK123)</f>
        <v/>
      </c>
      <c r="N120" s="12" t="str">
        <f>IF(Raw_Data!T123="","",Raw_Data!T123)</f>
        <v/>
      </c>
      <c r="O120" s="12" t="str">
        <f>IF(Raw_Data!AB123&lt;&gt;"",Raw_Data!AB123,IF(N120="tres_insatisfait",1,IF(N120="insatisfait",2,IF(N120="neutre",3,IF(N120="satisfait",4,IF(N120="tres_satisfait",5,""))))))</f>
        <v/>
      </c>
      <c r="P120" s="12">
        <f>IF(Raw_Data!AL123&lt;&gt;"",Raw_Data!AL123,Raw_Data!R123)</f>
        <v>0</v>
      </c>
      <c r="Q120" s="12">
        <f t="shared" si="11"/>
        <v>0</v>
      </c>
      <c r="R120" s="12" t="str">
        <f>IF(Raw_Data!AM123="","",Raw_Data!AM123)</f>
        <v/>
      </c>
      <c r="S120" s="12" t="str">
        <f t="shared" si="12"/>
        <v/>
      </c>
      <c r="T120" s="12" t="str">
        <f>IF(Raw_Data!AN123="","",Raw_Data!AN123)</f>
        <v/>
      </c>
      <c r="U120" s="12" t="str">
        <f t="shared" si="13"/>
        <v/>
      </c>
      <c r="V120" s="12" t="str">
        <f>IF(Raw_Data!AP123="","",IF(Raw_Data!AP123="oui",1,0))</f>
        <v/>
      </c>
      <c r="W120" s="12" t="str">
        <f>IF(Raw_Data!AQ123="","",IF(Raw_Data!AQ123="oui",1,0))</f>
        <v/>
      </c>
      <c r="X120" s="12" t="str">
        <f>IF(Raw_Data!AR123="","",IF(Raw_Data!AR123="oui",1,0))</f>
        <v/>
      </c>
      <c r="Y120" s="12" t="str">
        <f>IF(Raw_Data!AS123="","",IF(Raw_Data!AS123="oui",1,0))</f>
        <v/>
      </c>
      <c r="Z120" s="12" t="str">
        <f>IF(Raw_Data!V123="","",IF(Raw_Data!V123="oui",1,0))</f>
        <v/>
      </c>
      <c r="AA120" s="12" t="str">
        <f>IF(Raw_Data!W123="","",IF(Raw_Data!W123="oui",1,0))</f>
        <v/>
      </c>
      <c r="AB120" s="12" t="str">
        <f>IF(Raw_Data!Q123="","",IF(Raw_Data!Q123="oui",1,0))</f>
        <v/>
      </c>
      <c r="AC120" s="12">
        <f>Raw_Data!AF123</f>
        <v>0</v>
      </c>
      <c r="AD120" s="12" t="str">
        <f t="shared" si="14"/>
        <v/>
      </c>
      <c r="AE120" s="12" t="str">
        <f t="shared" si="15"/>
        <v/>
      </c>
      <c r="AF120" s="12" t="str">
        <f t="shared" si="16"/>
        <v/>
      </c>
      <c r="AG120" s="12">
        <f t="shared" si="17"/>
        <v>0</v>
      </c>
    </row>
    <row r="121" spans="1:33" ht="15" customHeight="1" x14ac:dyDescent="0.25">
      <c r="A121" s="12" t="str">
        <f>IF(Raw_Data!B124="","",Raw_Data!B124)</f>
        <v/>
      </c>
      <c r="B121" s="12">
        <f>IF(Raw_Data!X124&lt;&gt;"",Raw_Data!X124,Raw_Data!C124)</f>
        <v>0</v>
      </c>
      <c r="C121" s="12" t="str">
        <f>IF(Raw_Data!G124="","",Raw_Data!G124)</f>
        <v/>
      </c>
      <c r="D121" s="12" t="str">
        <f>IF(Raw_Data!H124="","",Raw_Data!H124)</f>
        <v/>
      </c>
      <c r="E121" s="12" t="str">
        <f>IF(Raw_Data!I124="","",Raw_Data!I124)</f>
        <v/>
      </c>
      <c r="F121" s="12" t="str">
        <f>IF(Raw_Data!J124="","",Raw_Data!J124)</f>
        <v/>
      </c>
      <c r="G121" s="12" t="str">
        <f>IF(Raw_Data!AH124&lt;&gt;"",Raw_Data!AH124,IF(Raw_Data!K124&lt;&gt;"",Raw_Data!K124,""))</f>
        <v/>
      </c>
      <c r="H121" s="12" t="str">
        <f>IF(Raw_Data!AI124&lt;&gt;"",Raw_Data!AI124,IF(Raw_Data!L124&lt;&gt;"",Raw_Data!L124,""))</f>
        <v/>
      </c>
      <c r="I121" s="12" t="str">
        <f t="shared" si="9"/>
        <v/>
      </c>
      <c r="J121" s="12" t="str">
        <f>IF(Raw_Data!M124="","",Raw_Data!M124)</f>
        <v/>
      </c>
      <c r="K121" s="12">
        <f>IF(Raw_Data!AJ124&lt;&gt;"",Raw_Data!AJ124,Raw_Data!N124)</f>
        <v>0</v>
      </c>
      <c r="L121" s="12">
        <f t="shared" si="10"/>
        <v>1</v>
      </c>
      <c r="M121" s="12" t="str">
        <f>IF(Raw_Data!AK124="","",Raw_Data!AK124)</f>
        <v/>
      </c>
      <c r="N121" s="12" t="str">
        <f>IF(Raw_Data!T124="","",Raw_Data!T124)</f>
        <v/>
      </c>
      <c r="O121" s="12" t="str">
        <f>IF(Raw_Data!AB124&lt;&gt;"",Raw_Data!AB124,IF(N121="tres_insatisfait",1,IF(N121="insatisfait",2,IF(N121="neutre",3,IF(N121="satisfait",4,IF(N121="tres_satisfait",5,""))))))</f>
        <v/>
      </c>
      <c r="P121" s="12">
        <f>IF(Raw_Data!AL124&lt;&gt;"",Raw_Data!AL124,Raw_Data!R124)</f>
        <v>0</v>
      </c>
      <c r="Q121" s="12">
        <f t="shared" si="11"/>
        <v>0</v>
      </c>
      <c r="R121" s="12" t="str">
        <f>IF(Raw_Data!AM124="","",Raw_Data!AM124)</f>
        <v/>
      </c>
      <c r="S121" s="12" t="str">
        <f t="shared" si="12"/>
        <v/>
      </c>
      <c r="T121" s="12" t="str">
        <f>IF(Raw_Data!AN124="","",Raw_Data!AN124)</f>
        <v/>
      </c>
      <c r="U121" s="12" t="str">
        <f t="shared" si="13"/>
        <v/>
      </c>
      <c r="V121" s="12" t="str">
        <f>IF(Raw_Data!AP124="","",IF(Raw_Data!AP124="oui",1,0))</f>
        <v/>
      </c>
      <c r="W121" s="12" t="str">
        <f>IF(Raw_Data!AQ124="","",IF(Raw_Data!AQ124="oui",1,0))</f>
        <v/>
      </c>
      <c r="X121" s="12" t="str">
        <f>IF(Raw_Data!AR124="","",IF(Raw_Data!AR124="oui",1,0))</f>
        <v/>
      </c>
      <c r="Y121" s="12" t="str">
        <f>IF(Raw_Data!AS124="","",IF(Raw_Data!AS124="oui",1,0))</f>
        <v/>
      </c>
      <c r="Z121" s="12" t="str">
        <f>IF(Raw_Data!V124="","",IF(Raw_Data!V124="oui",1,0))</f>
        <v/>
      </c>
      <c r="AA121" s="12" t="str">
        <f>IF(Raw_Data!W124="","",IF(Raw_Data!W124="oui",1,0))</f>
        <v/>
      </c>
      <c r="AB121" s="12" t="str">
        <f>IF(Raw_Data!Q124="","",IF(Raw_Data!Q124="oui",1,0))</f>
        <v/>
      </c>
      <c r="AC121" s="12">
        <f>Raw_Data!AF124</f>
        <v>0</v>
      </c>
      <c r="AD121" s="12" t="str">
        <f t="shared" si="14"/>
        <v/>
      </c>
      <c r="AE121" s="12" t="str">
        <f t="shared" si="15"/>
        <v/>
      </c>
      <c r="AF121" s="12" t="str">
        <f t="shared" si="16"/>
        <v/>
      </c>
      <c r="AG121" s="12">
        <f t="shared" si="17"/>
        <v>0</v>
      </c>
    </row>
    <row r="122" spans="1:33" ht="15" customHeight="1" x14ac:dyDescent="0.25">
      <c r="A122" s="12" t="str">
        <f>IF(Raw_Data!B125="","",Raw_Data!B125)</f>
        <v/>
      </c>
      <c r="B122" s="12">
        <f>IF(Raw_Data!X125&lt;&gt;"",Raw_Data!X125,Raw_Data!C125)</f>
        <v>0</v>
      </c>
      <c r="C122" s="12" t="str">
        <f>IF(Raw_Data!G125="","",Raw_Data!G125)</f>
        <v/>
      </c>
      <c r="D122" s="12" t="str">
        <f>IF(Raw_Data!H125="","",Raw_Data!H125)</f>
        <v/>
      </c>
      <c r="E122" s="12" t="str">
        <f>IF(Raw_Data!I125="","",Raw_Data!I125)</f>
        <v/>
      </c>
      <c r="F122" s="12" t="str">
        <f>IF(Raw_Data!J125="","",Raw_Data!J125)</f>
        <v/>
      </c>
      <c r="G122" s="12" t="str">
        <f>IF(Raw_Data!AH125&lt;&gt;"",Raw_Data!AH125,IF(Raw_Data!K125&lt;&gt;"",Raw_Data!K125,""))</f>
        <v/>
      </c>
      <c r="H122" s="12" t="str">
        <f>IF(Raw_Data!AI125&lt;&gt;"",Raw_Data!AI125,IF(Raw_Data!L125&lt;&gt;"",Raw_Data!L125,""))</f>
        <v/>
      </c>
      <c r="I122" s="12" t="str">
        <f t="shared" si="9"/>
        <v/>
      </c>
      <c r="J122" s="12" t="str">
        <f>IF(Raw_Data!M125="","",Raw_Data!M125)</f>
        <v/>
      </c>
      <c r="K122" s="12">
        <f>IF(Raw_Data!AJ125&lt;&gt;"",Raw_Data!AJ125,Raw_Data!N125)</f>
        <v>0</v>
      </c>
      <c r="L122" s="12">
        <f t="shared" si="10"/>
        <v>1</v>
      </c>
      <c r="M122" s="12" t="str">
        <f>IF(Raw_Data!AK125="","",Raw_Data!AK125)</f>
        <v/>
      </c>
      <c r="N122" s="12" t="str">
        <f>IF(Raw_Data!T125="","",Raw_Data!T125)</f>
        <v/>
      </c>
      <c r="O122" s="12" t="str">
        <f>IF(Raw_Data!AB125&lt;&gt;"",Raw_Data!AB125,IF(N122="tres_insatisfait",1,IF(N122="insatisfait",2,IF(N122="neutre",3,IF(N122="satisfait",4,IF(N122="tres_satisfait",5,""))))))</f>
        <v/>
      </c>
      <c r="P122" s="12">
        <f>IF(Raw_Data!AL125&lt;&gt;"",Raw_Data!AL125,Raw_Data!R125)</f>
        <v>0</v>
      </c>
      <c r="Q122" s="12">
        <f t="shared" si="11"/>
        <v>0</v>
      </c>
      <c r="R122" s="12" t="str">
        <f>IF(Raw_Data!AM125="","",Raw_Data!AM125)</f>
        <v/>
      </c>
      <c r="S122" s="12" t="str">
        <f t="shared" si="12"/>
        <v/>
      </c>
      <c r="T122" s="12" t="str">
        <f>IF(Raw_Data!AN125="","",Raw_Data!AN125)</f>
        <v/>
      </c>
      <c r="U122" s="12" t="str">
        <f t="shared" si="13"/>
        <v/>
      </c>
      <c r="V122" s="12" t="str">
        <f>IF(Raw_Data!AP125="","",IF(Raw_Data!AP125="oui",1,0))</f>
        <v/>
      </c>
      <c r="W122" s="12" t="str">
        <f>IF(Raw_Data!AQ125="","",IF(Raw_Data!AQ125="oui",1,0))</f>
        <v/>
      </c>
      <c r="X122" s="12" t="str">
        <f>IF(Raw_Data!AR125="","",IF(Raw_Data!AR125="oui",1,0))</f>
        <v/>
      </c>
      <c r="Y122" s="12" t="str">
        <f>IF(Raw_Data!AS125="","",IF(Raw_Data!AS125="oui",1,0))</f>
        <v/>
      </c>
      <c r="Z122" s="12" t="str">
        <f>IF(Raw_Data!V125="","",IF(Raw_Data!V125="oui",1,0))</f>
        <v/>
      </c>
      <c r="AA122" s="12" t="str">
        <f>IF(Raw_Data!W125="","",IF(Raw_Data!W125="oui",1,0))</f>
        <v/>
      </c>
      <c r="AB122" s="12" t="str">
        <f>IF(Raw_Data!Q125="","",IF(Raw_Data!Q125="oui",1,0))</f>
        <v/>
      </c>
      <c r="AC122" s="12">
        <f>Raw_Data!AF125</f>
        <v>0</v>
      </c>
      <c r="AD122" s="12" t="str">
        <f t="shared" si="14"/>
        <v/>
      </c>
      <c r="AE122" s="12" t="str">
        <f t="shared" si="15"/>
        <v/>
      </c>
      <c r="AF122" s="12" t="str">
        <f t="shared" si="16"/>
        <v/>
      </c>
      <c r="AG122" s="12">
        <f t="shared" si="17"/>
        <v>0</v>
      </c>
    </row>
    <row r="123" spans="1:33" ht="15" customHeight="1" x14ac:dyDescent="0.25">
      <c r="A123" s="12" t="str">
        <f>IF(Raw_Data!B126="","",Raw_Data!B126)</f>
        <v/>
      </c>
      <c r="B123" s="12">
        <f>IF(Raw_Data!X126&lt;&gt;"",Raw_Data!X126,Raw_Data!C126)</f>
        <v>0</v>
      </c>
      <c r="C123" s="12" t="str">
        <f>IF(Raw_Data!G126="","",Raw_Data!G126)</f>
        <v/>
      </c>
      <c r="D123" s="12" t="str">
        <f>IF(Raw_Data!H126="","",Raw_Data!H126)</f>
        <v/>
      </c>
      <c r="E123" s="12" t="str">
        <f>IF(Raw_Data!I126="","",Raw_Data!I126)</f>
        <v/>
      </c>
      <c r="F123" s="12" t="str">
        <f>IF(Raw_Data!J126="","",Raw_Data!J126)</f>
        <v/>
      </c>
      <c r="G123" s="12" t="str">
        <f>IF(Raw_Data!AH126&lt;&gt;"",Raw_Data!AH126,IF(Raw_Data!K126&lt;&gt;"",Raw_Data!K126,""))</f>
        <v/>
      </c>
      <c r="H123" s="12" t="str">
        <f>IF(Raw_Data!AI126&lt;&gt;"",Raw_Data!AI126,IF(Raw_Data!L126&lt;&gt;"",Raw_Data!L126,""))</f>
        <v/>
      </c>
      <c r="I123" s="12" t="str">
        <f t="shared" si="9"/>
        <v/>
      </c>
      <c r="J123" s="12" t="str">
        <f>IF(Raw_Data!M126="","",Raw_Data!M126)</f>
        <v/>
      </c>
      <c r="K123" s="12">
        <f>IF(Raw_Data!AJ126&lt;&gt;"",Raw_Data!AJ126,Raw_Data!N126)</f>
        <v>0</v>
      </c>
      <c r="L123" s="12">
        <f t="shared" si="10"/>
        <v>1</v>
      </c>
      <c r="M123" s="12" t="str">
        <f>IF(Raw_Data!AK126="","",Raw_Data!AK126)</f>
        <v/>
      </c>
      <c r="N123" s="12" t="str">
        <f>IF(Raw_Data!T126="","",Raw_Data!T126)</f>
        <v/>
      </c>
      <c r="O123" s="12" t="str">
        <f>IF(Raw_Data!AB126&lt;&gt;"",Raw_Data!AB126,IF(N123="tres_insatisfait",1,IF(N123="insatisfait",2,IF(N123="neutre",3,IF(N123="satisfait",4,IF(N123="tres_satisfait",5,""))))))</f>
        <v/>
      </c>
      <c r="P123" s="12">
        <f>IF(Raw_Data!AL126&lt;&gt;"",Raw_Data!AL126,Raw_Data!R126)</f>
        <v>0</v>
      </c>
      <c r="Q123" s="12">
        <f t="shared" si="11"/>
        <v>0</v>
      </c>
      <c r="R123" s="12" t="str">
        <f>IF(Raw_Data!AM126="","",Raw_Data!AM126)</f>
        <v/>
      </c>
      <c r="S123" s="12" t="str">
        <f t="shared" si="12"/>
        <v/>
      </c>
      <c r="T123" s="12" t="str">
        <f>IF(Raw_Data!AN126="","",Raw_Data!AN126)</f>
        <v/>
      </c>
      <c r="U123" s="12" t="str">
        <f t="shared" si="13"/>
        <v/>
      </c>
      <c r="V123" s="12" t="str">
        <f>IF(Raw_Data!AP126="","",IF(Raw_Data!AP126="oui",1,0))</f>
        <v/>
      </c>
      <c r="W123" s="12" t="str">
        <f>IF(Raw_Data!AQ126="","",IF(Raw_Data!AQ126="oui",1,0))</f>
        <v/>
      </c>
      <c r="X123" s="12" t="str">
        <f>IF(Raw_Data!AR126="","",IF(Raw_Data!AR126="oui",1,0))</f>
        <v/>
      </c>
      <c r="Y123" s="12" t="str">
        <f>IF(Raw_Data!AS126="","",IF(Raw_Data!AS126="oui",1,0))</f>
        <v/>
      </c>
      <c r="Z123" s="12" t="str">
        <f>IF(Raw_Data!V126="","",IF(Raw_Data!V126="oui",1,0))</f>
        <v/>
      </c>
      <c r="AA123" s="12" t="str">
        <f>IF(Raw_Data!W126="","",IF(Raw_Data!W126="oui",1,0))</f>
        <v/>
      </c>
      <c r="AB123" s="12" t="str">
        <f>IF(Raw_Data!Q126="","",IF(Raw_Data!Q126="oui",1,0))</f>
        <v/>
      </c>
      <c r="AC123" s="12">
        <f>Raw_Data!AF126</f>
        <v>0</v>
      </c>
      <c r="AD123" s="12" t="str">
        <f t="shared" si="14"/>
        <v/>
      </c>
      <c r="AE123" s="12" t="str">
        <f t="shared" si="15"/>
        <v/>
      </c>
      <c r="AF123" s="12" t="str">
        <f t="shared" si="16"/>
        <v/>
      </c>
      <c r="AG123" s="12">
        <f t="shared" si="17"/>
        <v>0</v>
      </c>
    </row>
    <row r="124" spans="1:33" ht="15" customHeight="1" x14ac:dyDescent="0.25">
      <c r="A124" s="12" t="str">
        <f>IF(Raw_Data!B127="","",Raw_Data!B127)</f>
        <v/>
      </c>
      <c r="B124" s="12">
        <f>IF(Raw_Data!X127&lt;&gt;"",Raw_Data!X127,Raw_Data!C127)</f>
        <v>0</v>
      </c>
      <c r="C124" s="12" t="str">
        <f>IF(Raw_Data!G127="","",Raw_Data!G127)</f>
        <v/>
      </c>
      <c r="D124" s="12" t="str">
        <f>IF(Raw_Data!H127="","",Raw_Data!H127)</f>
        <v/>
      </c>
      <c r="E124" s="12" t="str">
        <f>IF(Raw_Data!I127="","",Raw_Data!I127)</f>
        <v/>
      </c>
      <c r="F124" s="12" t="str">
        <f>IF(Raw_Data!J127="","",Raw_Data!J127)</f>
        <v/>
      </c>
      <c r="G124" s="12" t="str">
        <f>IF(Raw_Data!AH127&lt;&gt;"",Raw_Data!AH127,IF(Raw_Data!K127&lt;&gt;"",Raw_Data!K127,""))</f>
        <v/>
      </c>
      <c r="H124" s="12" t="str">
        <f>IF(Raw_Data!AI127&lt;&gt;"",Raw_Data!AI127,IF(Raw_Data!L127&lt;&gt;"",Raw_Data!L127,""))</f>
        <v/>
      </c>
      <c r="I124" s="12" t="str">
        <f t="shared" si="9"/>
        <v/>
      </c>
      <c r="J124" s="12" t="str">
        <f>IF(Raw_Data!M127="","",Raw_Data!M127)</f>
        <v/>
      </c>
      <c r="K124" s="12">
        <f>IF(Raw_Data!AJ127&lt;&gt;"",Raw_Data!AJ127,Raw_Data!N127)</f>
        <v>0</v>
      </c>
      <c r="L124" s="12">
        <f t="shared" si="10"/>
        <v>1</v>
      </c>
      <c r="M124" s="12" t="str">
        <f>IF(Raw_Data!AK127="","",Raw_Data!AK127)</f>
        <v/>
      </c>
      <c r="N124" s="12" t="str">
        <f>IF(Raw_Data!T127="","",Raw_Data!T127)</f>
        <v/>
      </c>
      <c r="O124" s="12" t="str">
        <f>IF(Raw_Data!AB127&lt;&gt;"",Raw_Data!AB127,IF(N124="tres_insatisfait",1,IF(N124="insatisfait",2,IF(N124="neutre",3,IF(N124="satisfait",4,IF(N124="tres_satisfait",5,""))))))</f>
        <v/>
      </c>
      <c r="P124" s="12">
        <f>IF(Raw_Data!AL127&lt;&gt;"",Raw_Data!AL127,Raw_Data!R127)</f>
        <v>0</v>
      </c>
      <c r="Q124" s="12">
        <f t="shared" si="11"/>
        <v>0</v>
      </c>
      <c r="R124" s="12" t="str">
        <f>IF(Raw_Data!AM127="","",Raw_Data!AM127)</f>
        <v/>
      </c>
      <c r="S124" s="12" t="str">
        <f t="shared" si="12"/>
        <v/>
      </c>
      <c r="T124" s="12" t="str">
        <f>IF(Raw_Data!AN127="","",Raw_Data!AN127)</f>
        <v/>
      </c>
      <c r="U124" s="12" t="str">
        <f t="shared" si="13"/>
        <v/>
      </c>
      <c r="V124" s="12" t="str">
        <f>IF(Raw_Data!AP127="","",IF(Raw_Data!AP127="oui",1,0))</f>
        <v/>
      </c>
      <c r="W124" s="12" t="str">
        <f>IF(Raw_Data!AQ127="","",IF(Raw_Data!AQ127="oui",1,0))</f>
        <v/>
      </c>
      <c r="X124" s="12" t="str">
        <f>IF(Raw_Data!AR127="","",IF(Raw_Data!AR127="oui",1,0))</f>
        <v/>
      </c>
      <c r="Y124" s="12" t="str">
        <f>IF(Raw_Data!AS127="","",IF(Raw_Data!AS127="oui",1,0))</f>
        <v/>
      </c>
      <c r="Z124" s="12" t="str">
        <f>IF(Raw_Data!V127="","",IF(Raw_Data!V127="oui",1,0))</f>
        <v/>
      </c>
      <c r="AA124" s="12" t="str">
        <f>IF(Raw_Data!W127="","",IF(Raw_Data!W127="oui",1,0))</f>
        <v/>
      </c>
      <c r="AB124" s="12" t="str">
        <f>IF(Raw_Data!Q127="","",IF(Raw_Data!Q127="oui",1,0))</f>
        <v/>
      </c>
      <c r="AC124" s="12">
        <f>Raw_Data!AF127</f>
        <v>0</v>
      </c>
      <c r="AD124" s="12" t="str">
        <f t="shared" si="14"/>
        <v/>
      </c>
      <c r="AE124" s="12" t="str">
        <f t="shared" si="15"/>
        <v/>
      </c>
      <c r="AF124" s="12" t="str">
        <f t="shared" si="16"/>
        <v/>
      </c>
      <c r="AG124" s="12">
        <f t="shared" si="17"/>
        <v>0</v>
      </c>
    </row>
    <row r="125" spans="1:33" ht="15" customHeight="1" x14ac:dyDescent="0.25">
      <c r="A125" s="12" t="str">
        <f>IF(Raw_Data!B128="","",Raw_Data!B128)</f>
        <v/>
      </c>
      <c r="B125" s="12">
        <f>IF(Raw_Data!X128&lt;&gt;"",Raw_Data!X128,Raw_Data!C128)</f>
        <v>0</v>
      </c>
      <c r="C125" s="12" t="str">
        <f>IF(Raw_Data!G128="","",Raw_Data!G128)</f>
        <v/>
      </c>
      <c r="D125" s="12" t="str">
        <f>IF(Raw_Data!H128="","",Raw_Data!H128)</f>
        <v/>
      </c>
      <c r="E125" s="12" t="str">
        <f>IF(Raw_Data!I128="","",Raw_Data!I128)</f>
        <v/>
      </c>
      <c r="F125" s="12" t="str">
        <f>IF(Raw_Data!J128="","",Raw_Data!J128)</f>
        <v/>
      </c>
      <c r="G125" s="12" t="str">
        <f>IF(Raw_Data!AH128&lt;&gt;"",Raw_Data!AH128,IF(Raw_Data!K128&lt;&gt;"",Raw_Data!K128,""))</f>
        <v/>
      </c>
      <c r="H125" s="12" t="str">
        <f>IF(Raw_Data!AI128&lt;&gt;"",Raw_Data!AI128,IF(Raw_Data!L128&lt;&gt;"",Raw_Data!L128,""))</f>
        <v/>
      </c>
      <c r="I125" s="12" t="str">
        <f t="shared" si="9"/>
        <v/>
      </c>
      <c r="J125" s="12" t="str">
        <f>IF(Raw_Data!M128="","",Raw_Data!M128)</f>
        <v/>
      </c>
      <c r="K125" s="12">
        <f>IF(Raw_Data!AJ128&lt;&gt;"",Raw_Data!AJ128,Raw_Data!N128)</f>
        <v>0</v>
      </c>
      <c r="L125" s="12">
        <f t="shared" si="10"/>
        <v>1</v>
      </c>
      <c r="M125" s="12" t="str">
        <f>IF(Raw_Data!AK128="","",Raw_Data!AK128)</f>
        <v/>
      </c>
      <c r="N125" s="12" t="str">
        <f>IF(Raw_Data!T128="","",Raw_Data!T128)</f>
        <v/>
      </c>
      <c r="O125" s="12" t="str">
        <f>IF(Raw_Data!AB128&lt;&gt;"",Raw_Data!AB128,IF(N125="tres_insatisfait",1,IF(N125="insatisfait",2,IF(N125="neutre",3,IF(N125="satisfait",4,IF(N125="tres_satisfait",5,""))))))</f>
        <v/>
      </c>
      <c r="P125" s="12">
        <f>IF(Raw_Data!AL128&lt;&gt;"",Raw_Data!AL128,Raw_Data!R128)</f>
        <v>0</v>
      </c>
      <c r="Q125" s="12">
        <f t="shared" si="11"/>
        <v>0</v>
      </c>
      <c r="R125" s="12" t="str">
        <f>IF(Raw_Data!AM128="","",Raw_Data!AM128)</f>
        <v/>
      </c>
      <c r="S125" s="12" t="str">
        <f t="shared" si="12"/>
        <v/>
      </c>
      <c r="T125" s="12" t="str">
        <f>IF(Raw_Data!AN128="","",Raw_Data!AN128)</f>
        <v/>
      </c>
      <c r="U125" s="12" t="str">
        <f t="shared" si="13"/>
        <v/>
      </c>
      <c r="V125" s="12" t="str">
        <f>IF(Raw_Data!AP128="","",IF(Raw_Data!AP128="oui",1,0))</f>
        <v/>
      </c>
      <c r="W125" s="12" t="str">
        <f>IF(Raw_Data!AQ128="","",IF(Raw_Data!AQ128="oui",1,0))</f>
        <v/>
      </c>
      <c r="X125" s="12" t="str">
        <f>IF(Raw_Data!AR128="","",IF(Raw_Data!AR128="oui",1,0))</f>
        <v/>
      </c>
      <c r="Y125" s="12" t="str">
        <f>IF(Raw_Data!AS128="","",IF(Raw_Data!AS128="oui",1,0))</f>
        <v/>
      </c>
      <c r="Z125" s="12" t="str">
        <f>IF(Raw_Data!V128="","",IF(Raw_Data!V128="oui",1,0))</f>
        <v/>
      </c>
      <c r="AA125" s="12" t="str">
        <f>IF(Raw_Data!W128="","",IF(Raw_Data!W128="oui",1,0))</f>
        <v/>
      </c>
      <c r="AB125" s="12" t="str">
        <f>IF(Raw_Data!Q128="","",IF(Raw_Data!Q128="oui",1,0))</f>
        <v/>
      </c>
      <c r="AC125" s="12">
        <f>Raw_Data!AF128</f>
        <v>0</v>
      </c>
      <c r="AD125" s="12" t="str">
        <f t="shared" si="14"/>
        <v/>
      </c>
      <c r="AE125" s="12" t="str">
        <f t="shared" si="15"/>
        <v/>
      </c>
      <c r="AF125" s="12" t="str">
        <f t="shared" si="16"/>
        <v/>
      </c>
      <c r="AG125" s="12">
        <f t="shared" si="17"/>
        <v>0</v>
      </c>
    </row>
    <row r="126" spans="1:33" ht="15" customHeight="1" x14ac:dyDescent="0.25">
      <c r="A126" s="12" t="str">
        <f>IF(Raw_Data!B129="","",Raw_Data!B129)</f>
        <v/>
      </c>
      <c r="B126" s="12">
        <f>IF(Raw_Data!X129&lt;&gt;"",Raw_Data!X129,Raw_Data!C129)</f>
        <v>0</v>
      </c>
      <c r="C126" s="12" t="str">
        <f>IF(Raw_Data!G129="","",Raw_Data!G129)</f>
        <v/>
      </c>
      <c r="D126" s="12" t="str">
        <f>IF(Raw_Data!H129="","",Raw_Data!H129)</f>
        <v/>
      </c>
      <c r="E126" s="12" t="str">
        <f>IF(Raw_Data!I129="","",Raw_Data!I129)</f>
        <v/>
      </c>
      <c r="F126" s="12" t="str">
        <f>IF(Raw_Data!J129="","",Raw_Data!J129)</f>
        <v/>
      </c>
      <c r="G126" s="12" t="str">
        <f>IF(Raw_Data!AH129&lt;&gt;"",Raw_Data!AH129,IF(Raw_Data!K129&lt;&gt;"",Raw_Data!K129,""))</f>
        <v/>
      </c>
      <c r="H126" s="12" t="str">
        <f>IF(Raw_Data!AI129&lt;&gt;"",Raw_Data!AI129,IF(Raw_Data!L129&lt;&gt;"",Raw_Data!L129,""))</f>
        <v/>
      </c>
      <c r="I126" s="12" t="str">
        <f t="shared" si="9"/>
        <v/>
      </c>
      <c r="J126" s="12" t="str">
        <f>IF(Raw_Data!M129="","",Raw_Data!M129)</f>
        <v/>
      </c>
      <c r="K126" s="12">
        <f>IF(Raw_Data!AJ129&lt;&gt;"",Raw_Data!AJ129,Raw_Data!N129)</f>
        <v>0</v>
      </c>
      <c r="L126" s="12">
        <f t="shared" si="10"/>
        <v>1</v>
      </c>
      <c r="M126" s="12" t="str">
        <f>IF(Raw_Data!AK129="","",Raw_Data!AK129)</f>
        <v/>
      </c>
      <c r="N126" s="12" t="str">
        <f>IF(Raw_Data!T129="","",Raw_Data!T129)</f>
        <v/>
      </c>
      <c r="O126" s="12" t="str">
        <f>IF(Raw_Data!AB129&lt;&gt;"",Raw_Data!AB129,IF(N126="tres_insatisfait",1,IF(N126="insatisfait",2,IF(N126="neutre",3,IF(N126="satisfait",4,IF(N126="tres_satisfait",5,""))))))</f>
        <v/>
      </c>
      <c r="P126" s="12">
        <f>IF(Raw_Data!AL129&lt;&gt;"",Raw_Data!AL129,Raw_Data!R129)</f>
        <v>0</v>
      </c>
      <c r="Q126" s="12">
        <f t="shared" si="11"/>
        <v>0</v>
      </c>
      <c r="R126" s="12" t="str">
        <f>IF(Raw_Data!AM129="","",Raw_Data!AM129)</f>
        <v/>
      </c>
      <c r="S126" s="12" t="str">
        <f t="shared" si="12"/>
        <v/>
      </c>
      <c r="T126" s="12" t="str">
        <f>IF(Raw_Data!AN129="","",Raw_Data!AN129)</f>
        <v/>
      </c>
      <c r="U126" s="12" t="str">
        <f t="shared" si="13"/>
        <v/>
      </c>
      <c r="V126" s="12" t="str">
        <f>IF(Raw_Data!AP129="","",IF(Raw_Data!AP129="oui",1,0))</f>
        <v/>
      </c>
      <c r="W126" s="12" t="str">
        <f>IF(Raw_Data!AQ129="","",IF(Raw_Data!AQ129="oui",1,0))</f>
        <v/>
      </c>
      <c r="X126" s="12" t="str">
        <f>IF(Raw_Data!AR129="","",IF(Raw_Data!AR129="oui",1,0))</f>
        <v/>
      </c>
      <c r="Y126" s="12" t="str">
        <f>IF(Raw_Data!AS129="","",IF(Raw_Data!AS129="oui",1,0))</f>
        <v/>
      </c>
      <c r="Z126" s="12" t="str">
        <f>IF(Raw_Data!V129="","",IF(Raw_Data!V129="oui",1,0))</f>
        <v/>
      </c>
      <c r="AA126" s="12" t="str">
        <f>IF(Raw_Data!W129="","",IF(Raw_Data!W129="oui",1,0))</f>
        <v/>
      </c>
      <c r="AB126" s="12" t="str">
        <f>IF(Raw_Data!Q129="","",IF(Raw_Data!Q129="oui",1,0))</f>
        <v/>
      </c>
      <c r="AC126" s="12">
        <f>Raw_Data!AF129</f>
        <v>0</v>
      </c>
      <c r="AD126" s="12" t="str">
        <f t="shared" si="14"/>
        <v/>
      </c>
      <c r="AE126" s="12" t="str">
        <f t="shared" si="15"/>
        <v/>
      </c>
      <c r="AF126" s="12" t="str">
        <f t="shared" si="16"/>
        <v/>
      </c>
      <c r="AG126" s="12">
        <f t="shared" si="17"/>
        <v>0</v>
      </c>
    </row>
    <row r="127" spans="1:33" ht="15" customHeight="1" x14ac:dyDescent="0.25">
      <c r="A127" s="12" t="str">
        <f>IF(Raw_Data!B130="","",Raw_Data!B130)</f>
        <v/>
      </c>
      <c r="B127" s="12">
        <f>IF(Raw_Data!X130&lt;&gt;"",Raw_Data!X130,Raw_Data!C130)</f>
        <v>0</v>
      </c>
      <c r="C127" s="12" t="str">
        <f>IF(Raw_Data!G130="","",Raw_Data!G130)</f>
        <v/>
      </c>
      <c r="D127" s="12" t="str">
        <f>IF(Raw_Data!H130="","",Raw_Data!H130)</f>
        <v/>
      </c>
      <c r="E127" s="12" t="str">
        <f>IF(Raw_Data!I130="","",Raw_Data!I130)</f>
        <v/>
      </c>
      <c r="F127" s="12" t="str">
        <f>IF(Raw_Data!J130="","",Raw_Data!J130)</f>
        <v/>
      </c>
      <c r="G127" s="12" t="str">
        <f>IF(Raw_Data!AH130&lt;&gt;"",Raw_Data!AH130,IF(Raw_Data!K130&lt;&gt;"",Raw_Data!K130,""))</f>
        <v/>
      </c>
      <c r="H127" s="12" t="str">
        <f>IF(Raw_Data!AI130&lt;&gt;"",Raw_Data!AI130,IF(Raw_Data!L130&lt;&gt;"",Raw_Data!L130,""))</f>
        <v/>
      </c>
      <c r="I127" s="12" t="str">
        <f t="shared" si="9"/>
        <v/>
      </c>
      <c r="J127" s="12" t="str">
        <f>IF(Raw_Data!M130="","",Raw_Data!M130)</f>
        <v/>
      </c>
      <c r="K127" s="12">
        <f>IF(Raw_Data!AJ130&lt;&gt;"",Raw_Data!AJ130,Raw_Data!N130)</f>
        <v>0</v>
      </c>
      <c r="L127" s="12">
        <f t="shared" si="10"/>
        <v>1</v>
      </c>
      <c r="M127" s="12" t="str">
        <f>IF(Raw_Data!AK130="","",Raw_Data!AK130)</f>
        <v/>
      </c>
      <c r="N127" s="12" t="str">
        <f>IF(Raw_Data!T130="","",Raw_Data!T130)</f>
        <v/>
      </c>
      <c r="O127" s="12" t="str">
        <f>IF(Raw_Data!AB130&lt;&gt;"",Raw_Data!AB130,IF(N127="tres_insatisfait",1,IF(N127="insatisfait",2,IF(N127="neutre",3,IF(N127="satisfait",4,IF(N127="tres_satisfait",5,""))))))</f>
        <v/>
      </c>
      <c r="P127" s="12">
        <f>IF(Raw_Data!AL130&lt;&gt;"",Raw_Data!AL130,Raw_Data!R130)</f>
        <v>0</v>
      </c>
      <c r="Q127" s="12">
        <f t="shared" si="11"/>
        <v>0</v>
      </c>
      <c r="R127" s="12" t="str">
        <f>IF(Raw_Data!AM130="","",Raw_Data!AM130)</f>
        <v/>
      </c>
      <c r="S127" s="12" t="str">
        <f t="shared" si="12"/>
        <v/>
      </c>
      <c r="T127" s="12" t="str">
        <f>IF(Raw_Data!AN130="","",Raw_Data!AN130)</f>
        <v/>
      </c>
      <c r="U127" s="12" t="str">
        <f t="shared" si="13"/>
        <v/>
      </c>
      <c r="V127" s="12" t="str">
        <f>IF(Raw_Data!AP130="","",IF(Raw_Data!AP130="oui",1,0))</f>
        <v/>
      </c>
      <c r="W127" s="12" t="str">
        <f>IF(Raw_Data!AQ130="","",IF(Raw_Data!AQ130="oui",1,0))</f>
        <v/>
      </c>
      <c r="X127" s="12" t="str">
        <f>IF(Raw_Data!AR130="","",IF(Raw_Data!AR130="oui",1,0))</f>
        <v/>
      </c>
      <c r="Y127" s="12" t="str">
        <f>IF(Raw_Data!AS130="","",IF(Raw_Data!AS130="oui",1,0))</f>
        <v/>
      </c>
      <c r="Z127" s="12" t="str">
        <f>IF(Raw_Data!V130="","",IF(Raw_Data!V130="oui",1,0))</f>
        <v/>
      </c>
      <c r="AA127" s="12" t="str">
        <f>IF(Raw_Data!W130="","",IF(Raw_Data!W130="oui",1,0))</f>
        <v/>
      </c>
      <c r="AB127" s="12" t="str">
        <f>IF(Raw_Data!Q130="","",IF(Raw_Data!Q130="oui",1,0))</f>
        <v/>
      </c>
      <c r="AC127" s="12">
        <f>Raw_Data!AF130</f>
        <v>0</v>
      </c>
      <c r="AD127" s="12" t="str">
        <f t="shared" si="14"/>
        <v/>
      </c>
      <c r="AE127" s="12" t="str">
        <f t="shared" si="15"/>
        <v/>
      </c>
      <c r="AF127" s="12" t="str">
        <f t="shared" si="16"/>
        <v/>
      </c>
      <c r="AG127" s="12">
        <f t="shared" si="17"/>
        <v>0</v>
      </c>
    </row>
    <row r="128" spans="1:33" ht="15" customHeight="1" x14ac:dyDescent="0.25">
      <c r="A128" s="12" t="str">
        <f>IF(Raw_Data!B131="","",Raw_Data!B131)</f>
        <v/>
      </c>
      <c r="B128" s="12">
        <f>IF(Raw_Data!X131&lt;&gt;"",Raw_Data!X131,Raw_Data!C131)</f>
        <v>0</v>
      </c>
      <c r="C128" s="12" t="str">
        <f>IF(Raw_Data!G131="","",Raw_Data!G131)</f>
        <v/>
      </c>
      <c r="D128" s="12" t="str">
        <f>IF(Raw_Data!H131="","",Raw_Data!H131)</f>
        <v/>
      </c>
      <c r="E128" s="12" t="str">
        <f>IF(Raw_Data!I131="","",Raw_Data!I131)</f>
        <v/>
      </c>
      <c r="F128" s="12" t="str">
        <f>IF(Raw_Data!J131="","",Raw_Data!J131)</f>
        <v/>
      </c>
      <c r="G128" s="12" t="str">
        <f>IF(Raw_Data!AH131&lt;&gt;"",Raw_Data!AH131,IF(Raw_Data!K131&lt;&gt;"",Raw_Data!K131,""))</f>
        <v/>
      </c>
      <c r="H128" s="12" t="str">
        <f>IF(Raw_Data!AI131&lt;&gt;"",Raw_Data!AI131,IF(Raw_Data!L131&lt;&gt;"",Raw_Data!L131,""))</f>
        <v/>
      </c>
      <c r="I128" s="12" t="str">
        <f t="shared" si="9"/>
        <v/>
      </c>
      <c r="J128" s="12" t="str">
        <f>IF(Raw_Data!M131="","",Raw_Data!M131)</f>
        <v/>
      </c>
      <c r="K128" s="12">
        <f>IF(Raw_Data!AJ131&lt;&gt;"",Raw_Data!AJ131,Raw_Data!N131)</f>
        <v>0</v>
      </c>
      <c r="L128" s="12">
        <f t="shared" si="10"/>
        <v>1</v>
      </c>
      <c r="M128" s="12" t="str">
        <f>IF(Raw_Data!AK131="","",Raw_Data!AK131)</f>
        <v/>
      </c>
      <c r="N128" s="12" t="str">
        <f>IF(Raw_Data!T131="","",Raw_Data!T131)</f>
        <v/>
      </c>
      <c r="O128" s="12" t="str">
        <f>IF(Raw_Data!AB131&lt;&gt;"",Raw_Data!AB131,IF(N128="tres_insatisfait",1,IF(N128="insatisfait",2,IF(N128="neutre",3,IF(N128="satisfait",4,IF(N128="tres_satisfait",5,""))))))</f>
        <v/>
      </c>
      <c r="P128" s="12">
        <f>IF(Raw_Data!AL131&lt;&gt;"",Raw_Data!AL131,Raw_Data!R131)</f>
        <v>0</v>
      </c>
      <c r="Q128" s="12">
        <f t="shared" si="11"/>
        <v>0</v>
      </c>
      <c r="R128" s="12" t="str">
        <f>IF(Raw_Data!AM131="","",Raw_Data!AM131)</f>
        <v/>
      </c>
      <c r="S128" s="12" t="str">
        <f t="shared" si="12"/>
        <v/>
      </c>
      <c r="T128" s="12" t="str">
        <f>IF(Raw_Data!AN131="","",Raw_Data!AN131)</f>
        <v/>
      </c>
      <c r="U128" s="12" t="str">
        <f t="shared" si="13"/>
        <v/>
      </c>
      <c r="V128" s="12" t="str">
        <f>IF(Raw_Data!AP131="","",IF(Raw_Data!AP131="oui",1,0))</f>
        <v/>
      </c>
      <c r="W128" s="12" t="str">
        <f>IF(Raw_Data!AQ131="","",IF(Raw_Data!AQ131="oui",1,0))</f>
        <v/>
      </c>
      <c r="X128" s="12" t="str">
        <f>IF(Raw_Data!AR131="","",IF(Raw_Data!AR131="oui",1,0))</f>
        <v/>
      </c>
      <c r="Y128" s="12" t="str">
        <f>IF(Raw_Data!AS131="","",IF(Raw_Data!AS131="oui",1,0))</f>
        <v/>
      </c>
      <c r="Z128" s="12" t="str">
        <f>IF(Raw_Data!V131="","",IF(Raw_Data!V131="oui",1,0))</f>
        <v/>
      </c>
      <c r="AA128" s="12" t="str">
        <f>IF(Raw_Data!W131="","",IF(Raw_Data!W131="oui",1,0))</f>
        <v/>
      </c>
      <c r="AB128" s="12" t="str">
        <f>IF(Raw_Data!Q131="","",IF(Raw_Data!Q131="oui",1,0))</f>
        <v/>
      </c>
      <c r="AC128" s="12">
        <f>Raw_Data!AF131</f>
        <v>0</v>
      </c>
      <c r="AD128" s="12" t="str">
        <f t="shared" si="14"/>
        <v/>
      </c>
      <c r="AE128" s="12" t="str">
        <f t="shared" si="15"/>
        <v/>
      </c>
      <c r="AF128" s="12" t="str">
        <f t="shared" si="16"/>
        <v/>
      </c>
      <c r="AG128" s="12">
        <f t="shared" si="17"/>
        <v>0</v>
      </c>
    </row>
    <row r="129" spans="1:33" ht="15" customHeight="1" x14ac:dyDescent="0.25">
      <c r="A129" s="12" t="str">
        <f>IF(Raw_Data!B132="","",Raw_Data!B132)</f>
        <v/>
      </c>
      <c r="B129" s="12">
        <f>IF(Raw_Data!X132&lt;&gt;"",Raw_Data!X132,Raw_Data!C132)</f>
        <v>0</v>
      </c>
      <c r="C129" s="12" t="str">
        <f>IF(Raw_Data!G132="","",Raw_Data!G132)</f>
        <v/>
      </c>
      <c r="D129" s="12" t="str">
        <f>IF(Raw_Data!H132="","",Raw_Data!H132)</f>
        <v/>
      </c>
      <c r="E129" s="12" t="str">
        <f>IF(Raw_Data!I132="","",Raw_Data!I132)</f>
        <v/>
      </c>
      <c r="F129" s="12" t="str">
        <f>IF(Raw_Data!J132="","",Raw_Data!J132)</f>
        <v/>
      </c>
      <c r="G129" s="12" t="str">
        <f>IF(Raw_Data!AH132&lt;&gt;"",Raw_Data!AH132,IF(Raw_Data!K132&lt;&gt;"",Raw_Data!K132,""))</f>
        <v/>
      </c>
      <c r="H129" s="12" t="str">
        <f>IF(Raw_Data!AI132&lt;&gt;"",Raw_Data!AI132,IF(Raw_Data!L132&lt;&gt;"",Raw_Data!L132,""))</f>
        <v/>
      </c>
      <c r="I129" s="12" t="str">
        <f t="shared" si="9"/>
        <v/>
      </c>
      <c r="J129" s="12" t="str">
        <f>IF(Raw_Data!M132="","",Raw_Data!M132)</f>
        <v/>
      </c>
      <c r="K129" s="12">
        <f>IF(Raw_Data!AJ132&lt;&gt;"",Raw_Data!AJ132,Raw_Data!N132)</f>
        <v>0</v>
      </c>
      <c r="L129" s="12">
        <f t="shared" si="10"/>
        <v>1</v>
      </c>
      <c r="M129" s="12" t="str">
        <f>IF(Raw_Data!AK132="","",Raw_Data!AK132)</f>
        <v/>
      </c>
      <c r="N129" s="12" t="str">
        <f>IF(Raw_Data!T132="","",Raw_Data!T132)</f>
        <v/>
      </c>
      <c r="O129" s="12" t="str">
        <f>IF(Raw_Data!AB132&lt;&gt;"",Raw_Data!AB132,IF(N129="tres_insatisfait",1,IF(N129="insatisfait",2,IF(N129="neutre",3,IF(N129="satisfait",4,IF(N129="tres_satisfait",5,""))))))</f>
        <v/>
      </c>
      <c r="P129" s="12">
        <f>IF(Raw_Data!AL132&lt;&gt;"",Raw_Data!AL132,Raw_Data!R132)</f>
        <v>0</v>
      </c>
      <c r="Q129" s="12">
        <f t="shared" si="11"/>
        <v>0</v>
      </c>
      <c r="R129" s="12" t="str">
        <f>IF(Raw_Data!AM132="","",Raw_Data!AM132)</f>
        <v/>
      </c>
      <c r="S129" s="12" t="str">
        <f t="shared" si="12"/>
        <v/>
      </c>
      <c r="T129" s="12" t="str">
        <f>IF(Raw_Data!AN132="","",Raw_Data!AN132)</f>
        <v/>
      </c>
      <c r="U129" s="12" t="str">
        <f t="shared" si="13"/>
        <v/>
      </c>
      <c r="V129" s="12" t="str">
        <f>IF(Raw_Data!AP132="","",IF(Raw_Data!AP132="oui",1,0))</f>
        <v/>
      </c>
      <c r="W129" s="12" t="str">
        <f>IF(Raw_Data!AQ132="","",IF(Raw_Data!AQ132="oui",1,0))</f>
        <v/>
      </c>
      <c r="X129" s="12" t="str">
        <f>IF(Raw_Data!AR132="","",IF(Raw_Data!AR132="oui",1,0))</f>
        <v/>
      </c>
      <c r="Y129" s="12" t="str">
        <f>IF(Raw_Data!AS132="","",IF(Raw_Data!AS132="oui",1,0))</f>
        <v/>
      </c>
      <c r="Z129" s="12" t="str">
        <f>IF(Raw_Data!V132="","",IF(Raw_Data!V132="oui",1,0))</f>
        <v/>
      </c>
      <c r="AA129" s="12" t="str">
        <f>IF(Raw_Data!W132="","",IF(Raw_Data!W132="oui",1,0))</f>
        <v/>
      </c>
      <c r="AB129" s="12" t="str">
        <f>IF(Raw_Data!Q132="","",IF(Raw_Data!Q132="oui",1,0))</f>
        <v/>
      </c>
      <c r="AC129" s="12">
        <f>Raw_Data!AF132</f>
        <v>0</v>
      </c>
      <c r="AD129" s="12" t="str">
        <f t="shared" si="14"/>
        <v/>
      </c>
      <c r="AE129" s="12" t="str">
        <f t="shared" si="15"/>
        <v/>
      </c>
      <c r="AF129" s="12" t="str">
        <f t="shared" si="16"/>
        <v/>
      </c>
      <c r="AG129" s="12">
        <f t="shared" si="17"/>
        <v>0</v>
      </c>
    </row>
    <row r="130" spans="1:33" ht="15" customHeight="1" x14ac:dyDescent="0.25">
      <c r="A130" s="12" t="str">
        <f>IF(Raw_Data!B133="","",Raw_Data!B133)</f>
        <v/>
      </c>
      <c r="B130" s="12">
        <f>IF(Raw_Data!X133&lt;&gt;"",Raw_Data!X133,Raw_Data!C133)</f>
        <v>0</v>
      </c>
      <c r="C130" s="12" t="str">
        <f>IF(Raw_Data!G133="","",Raw_Data!G133)</f>
        <v/>
      </c>
      <c r="D130" s="12" t="str">
        <f>IF(Raw_Data!H133="","",Raw_Data!H133)</f>
        <v/>
      </c>
      <c r="E130" s="12" t="str">
        <f>IF(Raw_Data!I133="","",Raw_Data!I133)</f>
        <v/>
      </c>
      <c r="F130" s="12" t="str">
        <f>IF(Raw_Data!J133="","",Raw_Data!J133)</f>
        <v/>
      </c>
      <c r="G130" s="12" t="str">
        <f>IF(Raw_Data!AH133&lt;&gt;"",Raw_Data!AH133,IF(Raw_Data!K133&lt;&gt;"",Raw_Data!K133,""))</f>
        <v/>
      </c>
      <c r="H130" s="12" t="str">
        <f>IF(Raw_Data!AI133&lt;&gt;"",Raw_Data!AI133,IF(Raw_Data!L133&lt;&gt;"",Raw_Data!L133,""))</f>
        <v/>
      </c>
      <c r="I130" s="12" t="str">
        <f t="shared" ref="I130:I193" si="18">IF(H130="","",IF(H130&lt;18,"&lt;18 ans",IF(H130&lt;60,"18-59 ans","60 ans et +")))</f>
        <v/>
      </c>
      <c r="J130" s="12" t="str">
        <f>IF(Raw_Data!M133="","",Raw_Data!M133)</f>
        <v/>
      </c>
      <c r="K130" s="12">
        <f>IF(Raw_Data!AJ133&lt;&gt;"",Raw_Data!AJ133,Raw_Data!N133)</f>
        <v>0</v>
      </c>
      <c r="L130" s="12">
        <f t="shared" ref="L130:L193" si="19">IF(K130="",0,1)</f>
        <v>1</v>
      </c>
      <c r="M130" s="12" t="str">
        <f>IF(Raw_Data!AK133="","",Raw_Data!AK133)</f>
        <v/>
      </c>
      <c r="N130" s="12" t="str">
        <f>IF(Raw_Data!T133="","",Raw_Data!T133)</f>
        <v/>
      </c>
      <c r="O130" s="12" t="str">
        <f>IF(Raw_Data!AB133&lt;&gt;"",Raw_Data!AB133,IF(N130="tres_insatisfait",1,IF(N130="insatisfait",2,IF(N130="neutre",3,IF(N130="satisfait",4,IF(N130="tres_satisfait",5,""))))))</f>
        <v/>
      </c>
      <c r="P130" s="12">
        <f>IF(Raw_Data!AL133&lt;&gt;"",Raw_Data!AL133,Raw_Data!R133)</f>
        <v>0</v>
      </c>
      <c r="Q130" s="12">
        <f t="shared" ref="Q130:Q193" si="20">IF(P130="","",IF(P130="oui",1,0))</f>
        <v>0</v>
      </c>
      <c r="R130" s="12" t="str">
        <f>IF(Raw_Data!AM133="","",Raw_Data!AM133)</f>
        <v/>
      </c>
      <c r="S130" s="12" t="str">
        <f t="shared" ref="S130:S193" si="21">IF(R130="","",IF(R130="oui",1,0))</f>
        <v/>
      </c>
      <c r="T130" s="12" t="str">
        <f>IF(Raw_Data!AN133="","",Raw_Data!AN133)</f>
        <v/>
      </c>
      <c r="U130" s="12" t="str">
        <f t="shared" ref="U130:U193" si="22">IF(T130="","",IF(T130="oui",1,0))</f>
        <v/>
      </c>
      <c r="V130" s="12" t="str">
        <f>IF(Raw_Data!AP133="","",IF(Raw_Data!AP133="oui",1,0))</f>
        <v/>
      </c>
      <c r="W130" s="12" t="str">
        <f>IF(Raw_Data!AQ133="","",IF(Raw_Data!AQ133="oui",1,0))</f>
        <v/>
      </c>
      <c r="X130" s="12" t="str">
        <f>IF(Raw_Data!AR133="","",IF(Raw_Data!AR133="oui",1,0))</f>
        <v/>
      </c>
      <c r="Y130" s="12" t="str">
        <f>IF(Raw_Data!AS133="","",IF(Raw_Data!AS133="oui",1,0))</f>
        <v/>
      </c>
      <c r="Z130" s="12" t="str">
        <f>IF(Raw_Data!V133="","",IF(Raw_Data!V133="oui",1,0))</f>
        <v/>
      </c>
      <c r="AA130" s="12" t="str">
        <f>IF(Raw_Data!W133="","",IF(Raw_Data!W133="oui",1,0))</f>
        <v/>
      </c>
      <c r="AB130" s="12" t="str">
        <f>IF(Raw_Data!Q133="","",IF(Raw_Data!Q133="oui",1,0))</f>
        <v/>
      </c>
      <c r="AC130" s="12">
        <f>Raw_Data!AF133</f>
        <v>0</v>
      </c>
      <c r="AD130" s="12" t="str">
        <f t="shared" ref="AD130:AD193" si="23">IF(A130="","",F130&amp;"|"&amp;E130&amp;"|"&amp;TEXT(B130,"YYYY-MM-DD"))</f>
        <v/>
      </c>
      <c r="AE130" s="12" t="str">
        <f t="shared" ref="AE130:AE193" si="24">IF(AD130="","",IF(COUNTIF($AD$2:$AD$1000,AD130)&gt;1,1,0))</f>
        <v/>
      </c>
      <c r="AF130" s="12" t="str">
        <f t="shared" ref="AF130:AF193" si="25">IF(A130="","",IF(OR(C130="",D130="",G130="",H130="",N130=""),1,0))</f>
        <v/>
      </c>
      <c r="AG130" s="12">
        <f t="shared" ref="AG130:AG193" si="26">IF(A130="",0,1)</f>
        <v>0</v>
      </c>
    </row>
    <row r="131" spans="1:33" ht="15" customHeight="1" x14ac:dyDescent="0.25">
      <c r="A131" s="12" t="str">
        <f>IF(Raw_Data!B134="","",Raw_Data!B134)</f>
        <v/>
      </c>
      <c r="B131" s="12">
        <f>IF(Raw_Data!X134&lt;&gt;"",Raw_Data!X134,Raw_Data!C134)</f>
        <v>0</v>
      </c>
      <c r="C131" s="12" t="str">
        <f>IF(Raw_Data!G134="","",Raw_Data!G134)</f>
        <v/>
      </c>
      <c r="D131" s="12" t="str">
        <f>IF(Raw_Data!H134="","",Raw_Data!H134)</f>
        <v/>
      </c>
      <c r="E131" s="12" t="str">
        <f>IF(Raw_Data!I134="","",Raw_Data!I134)</f>
        <v/>
      </c>
      <c r="F131" s="12" t="str">
        <f>IF(Raw_Data!J134="","",Raw_Data!J134)</f>
        <v/>
      </c>
      <c r="G131" s="12" t="str">
        <f>IF(Raw_Data!AH134&lt;&gt;"",Raw_Data!AH134,IF(Raw_Data!K134&lt;&gt;"",Raw_Data!K134,""))</f>
        <v/>
      </c>
      <c r="H131" s="12" t="str">
        <f>IF(Raw_Data!AI134&lt;&gt;"",Raw_Data!AI134,IF(Raw_Data!L134&lt;&gt;"",Raw_Data!L134,""))</f>
        <v/>
      </c>
      <c r="I131" s="12" t="str">
        <f t="shared" si="18"/>
        <v/>
      </c>
      <c r="J131" s="12" t="str">
        <f>IF(Raw_Data!M134="","",Raw_Data!M134)</f>
        <v/>
      </c>
      <c r="K131" s="12">
        <f>IF(Raw_Data!AJ134&lt;&gt;"",Raw_Data!AJ134,Raw_Data!N134)</f>
        <v>0</v>
      </c>
      <c r="L131" s="12">
        <f t="shared" si="19"/>
        <v>1</v>
      </c>
      <c r="M131" s="12" t="str">
        <f>IF(Raw_Data!AK134="","",Raw_Data!AK134)</f>
        <v/>
      </c>
      <c r="N131" s="12" t="str">
        <f>IF(Raw_Data!T134="","",Raw_Data!T134)</f>
        <v/>
      </c>
      <c r="O131" s="12" t="str">
        <f>IF(Raw_Data!AB134&lt;&gt;"",Raw_Data!AB134,IF(N131="tres_insatisfait",1,IF(N131="insatisfait",2,IF(N131="neutre",3,IF(N131="satisfait",4,IF(N131="tres_satisfait",5,""))))))</f>
        <v/>
      </c>
      <c r="P131" s="12">
        <f>IF(Raw_Data!AL134&lt;&gt;"",Raw_Data!AL134,Raw_Data!R134)</f>
        <v>0</v>
      </c>
      <c r="Q131" s="12">
        <f t="shared" si="20"/>
        <v>0</v>
      </c>
      <c r="R131" s="12" t="str">
        <f>IF(Raw_Data!AM134="","",Raw_Data!AM134)</f>
        <v/>
      </c>
      <c r="S131" s="12" t="str">
        <f t="shared" si="21"/>
        <v/>
      </c>
      <c r="T131" s="12" t="str">
        <f>IF(Raw_Data!AN134="","",Raw_Data!AN134)</f>
        <v/>
      </c>
      <c r="U131" s="12" t="str">
        <f t="shared" si="22"/>
        <v/>
      </c>
      <c r="V131" s="12" t="str">
        <f>IF(Raw_Data!AP134="","",IF(Raw_Data!AP134="oui",1,0))</f>
        <v/>
      </c>
      <c r="W131" s="12" t="str">
        <f>IF(Raw_Data!AQ134="","",IF(Raw_Data!AQ134="oui",1,0))</f>
        <v/>
      </c>
      <c r="X131" s="12" t="str">
        <f>IF(Raw_Data!AR134="","",IF(Raw_Data!AR134="oui",1,0))</f>
        <v/>
      </c>
      <c r="Y131" s="12" t="str">
        <f>IF(Raw_Data!AS134="","",IF(Raw_Data!AS134="oui",1,0))</f>
        <v/>
      </c>
      <c r="Z131" s="12" t="str">
        <f>IF(Raw_Data!V134="","",IF(Raw_Data!V134="oui",1,0))</f>
        <v/>
      </c>
      <c r="AA131" s="12" t="str">
        <f>IF(Raw_Data!W134="","",IF(Raw_Data!W134="oui",1,0))</f>
        <v/>
      </c>
      <c r="AB131" s="12" t="str">
        <f>IF(Raw_Data!Q134="","",IF(Raw_Data!Q134="oui",1,0))</f>
        <v/>
      </c>
      <c r="AC131" s="12">
        <f>Raw_Data!AF134</f>
        <v>0</v>
      </c>
      <c r="AD131" s="12" t="str">
        <f t="shared" si="23"/>
        <v/>
      </c>
      <c r="AE131" s="12" t="str">
        <f t="shared" si="24"/>
        <v/>
      </c>
      <c r="AF131" s="12" t="str">
        <f t="shared" si="25"/>
        <v/>
      </c>
      <c r="AG131" s="12">
        <f t="shared" si="26"/>
        <v>0</v>
      </c>
    </row>
    <row r="132" spans="1:33" ht="15" customHeight="1" x14ac:dyDescent="0.25">
      <c r="A132" s="12" t="str">
        <f>IF(Raw_Data!B135="","",Raw_Data!B135)</f>
        <v/>
      </c>
      <c r="B132" s="12">
        <f>IF(Raw_Data!X135&lt;&gt;"",Raw_Data!X135,Raw_Data!C135)</f>
        <v>0</v>
      </c>
      <c r="C132" s="12" t="str">
        <f>IF(Raw_Data!G135="","",Raw_Data!G135)</f>
        <v/>
      </c>
      <c r="D132" s="12" t="str">
        <f>IF(Raw_Data!H135="","",Raw_Data!H135)</f>
        <v/>
      </c>
      <c r="E132" s="12" t="str">
        <f>IF(Raw_Data!I135="","",Raw_Data!I135)</f>
        <v/>
      </c>
      <c r="F132" s="12" t="str">
        <f>IF(Raw_Data!J135="","",Raw_Data!J135)</f>
        <v/>
      </c>
      <c r="G132" s="12" t="str">
        <f>IF(Raw_Data!AH135&lt;&gt;"",Raw_Data!AH135,IF(Raw_Data!K135&lt;&gt;"",Raw_Data!K135,""))</f>
        <v/>
      </c>
      <c r="H132" s="12" t="str">
        <f>IF(Raw_Data!AI135&lt;&gt;"",Raw_Data!AI135,IF(Raw_Data!L135&lt;&gt;"",Raw_Data!L135,""))</f>
        <v/>
      </c>
      <c r="I132" s="12" t="str">
        <f t="shared" si="18"/>
        <v/>
      </c>
      <c r="J132" s="12" t="str">
        <f>IF(Raw_Data!M135="","",Raw_Data!M135)</f>
        <v/>
      </c>
      <c r="K132" s="12">
        <f>IF(Raw_Data!AJ135&lt;&gt;"",Raw_Data!AJ135,Raw_Data!N135)</f>
        <v>0</v>
      </c>
      <c r="L132" s="12">
        <f t="shared" si="19"/>
        <v>1</v>
      </c>
      <c r="M132" s="12" t="str">
        <f>IF(Raw_Data!AK135="","",Raw_Data!AK135)</f>
        <v/>
      </c>
      <c r="N132" s="12" t="str">
        <f>IF(Raw_Data!T135="","",Raw_Data!T135)</f>
        <v/>
      </c>
      <c r="O132" s="12" t="str">
        <f>IF(Raw_Data!AB135&lt;&gt;"",Raw_Data!AB135,IF(N132="tres_insatisfait",1,IF(N132="insatisfait",2,IF(N132="neutre",3,IF(N132="satisfait",4,IF(N132="tres_satisfait",5,""))))))</f>
        <v/>
      </c>
      <c r="P132" s="12">
        <f>IF(Raw_Data!AL135&lt;&gt;"",Raw_Data!AL135,Raw_Data!R135)</f>
        <v>0</v>
      </c>
      <c r="Q132" s="12">
        <f t="shared" si="20"/>
        <v>0</v>
      </c>
      <c r="R132" s="12" t="str">
        <f>IF(Raw_Data!AM135="","",Raw_Data!AM135)</f>
        <v/>
      </c>
      <c r="S132" s="12" t="str">
        <f t="shared" si="21"/>
        <v/>
      </c>
      <c r="T132" s="12" t="str">
        <f>IF(Raw_Data!AN135="","",Raw_Data!AN135)</f>
        <v/>
      </c>
      <c r="U132" s="12" t="str">
        <f t="shared" si="22"/>
        <v/>
      </c>
      <c r="V132" s="12" t="str">
        <f>IF(Raw_Data!AP135="","",IF(Raw_Data!AP135="oui",1,0))</f>
        <v/>
      </c>
      <c r="W132" s="12" t="str">
        <f>IF(Raw_Data!AQ135="","",IF(Raw_Data!AQ135="oui",1,0))</f>
        <v/>
      </c>
      <c r="X132" s="12" t="str">
        <f>IF(Raw_Data!AR135="","",IF(Raw_Data!AR135="oui",1,0))</f>
        <v/>
      </c>
      <c r="Y132" s="12" t="str">
        <f>IF(Raw_Data!AS135="","",IF(Raw_Data!AS135="oui",1,0))</f>
        <v/>
      </c>
      <c r="Z132" s="12" t="str">
        <f>IF(Raw_Data!V135="","",IF(Raw_Data!V135="oui",1,0))</f>
        <v/>
      </c>
      <c r="AA132" s="12" t="str">
        <f>IF(Raw_Data!W135="","",IF(Raw_Data!W135="oui",1,0))</f>
        <v/>
      </c>
      <c r="AB132" s="12" t="str">
        <f>IF(Raw_Data!Q135="","",IF(Raw_Data!Q135="oui",1,0))</f>
        <v/>
      </c>
      <c r="AC132" s="12">
        <f>Raw_Data!AF135</f>
        <v>0</v>
      </c>
      <c r="AD132" s="12" t="str">
        <f t="shared" si="23"/>
        <v/>
      </c>
      <c r="AE132" s="12" t="str">
        <f t="shared" si="24"/>
        <v/>
      </c>
      <c r="AF132" s="12" t="str">
        <f t="shared" si="25"/>
        <v/>
      </c>
      <c r="AG132" s="12">
        <f t="shared" si="26"/>
        <v>0</v>
      </c>
    </row>
    <row r="133" spans="1:33" ht="15" customHeight="1" x14ac:dyDescent="0.25">
      <c r="A133" s="12" t="str">
        <f>IF(Raw_Data!B136="","",Raw_Data!B136)</f>
        <v/>
      </c>
      <c r="B133" s="12">
        <f>IF(Raw_Data!X136&lt;&gt;"",Raw_Data!X136,Raw_Data!C136)</f>
        <v>0</v>
      </c>
      <c r="C133" s="12" t="str">
        <f>IF(Raw_Data!G136="","",Raw_Data!G136)</f>
        <v/>
      </c>
      <c r="D133" s="12" t="str">
        <f>IF(Raw_Data!H136="","",Raw_Data!H136)</f>
        <v/>
      </c>
      <c r="E133" s="12" t="str">
        <f>IF(Raw_Data!I136="","",Raw_Data!I136)</f>
        <v/>
      </c>
      <c r="F133" s="12" t="str">
        <f>IF(Raw_Data!J136="","",Raw_Data!J136)</f>
        <v/>
      </c>
      <c r="G133" s="12" t="str">
        <f>IF(Raw_Data!AH136&lt;&gt;"",Raw_Data!AH136,IF(Raw_Data!K136&lt;&gt;"",Raw_Data!K136,""))</f>
        <v/>
      </c>
      <c r="H133" s="12" t="str">
        <f>IF(Raw_Data!AI136&lt;&gt;"",Raw_Data!AI136,IF(Raw_Data!L136&lt;&gt;"",Raw_Data!L136,""))</f>
        <v/>
      </c>
      <c r="I133" s="12" t="str">
        <f t="shared" si="18"/>
        <v/>
      </c>
      <c r="J133" s="12" t="str">
        <f>IF(Raw_Data!M136="","",Raw_Data!M136)</f>
        <v/>
      </c>
      <c r="K133" s="12">
        <f>IF(Raw_Data!AJ136&lt;&gt;"",Raw_Data!AJ136,Raw_Data!N136)</f>
        <v>0</v>
      </c>
      <c r="L133" s="12">
        <f t="shared" si="19"/>
        <v>1</v>
      </c>
      <c r="M133" s="12" t="str">
        <f>IF(Raw_Data!AK136="","",Raw_Data!AK136)</f>
        <v/>
      </c>
      <c r="N133" s="12" t="str">
        <f>IF(Raw_Data!T136="","",Raw_Data!T136)</f>
        <v/>
      </c>
      <c r="O133" s="12" t="str">
        <f>IF(Raw_Data!AB136&lt;&gt;"",Raw_Data!AB136,IF(N133="tres_insatisfait",1,IF(N133="insatisfait",2,IF(N133="neutre",3,IF(N133="satisfait",4,IF(N133="tres_satisfait",5,""))))))</f>
        <v/>
      </c>
      <c r="P133" s="12">
        <f>IF(Raw_Data!AL136&lt;&gt;"",Raw_Data!AL136,Raw_Data!R136)</f>
        <v>0</v>
      </c>
      <c r="Q133" s="12">
        <f t="shared" si="20"/>
        <v>0</v>
      </c>
      <c r="R133" s="12" t="str">
        <f>IF(Raw_Data!AM136="","",Raw_Data!AM136)</f>
        <v/>
      </c>
      <c r="S133" s="12" t="str">
        <f t="shared" si="21"/>
        <v/>
      </c>
      <c r="T133" s="12" t="str">
        <f>IF(Raw_Data!AN136="","",Raw_Data!AN136)</f>
        <v/>
      </c>
      <c r="U133" s="12" t="str">
        <f t="shared" si="22"/>
        <v/>
      </c>
      <c r="V133" s="12" t="str">
        <f>IF(Raw_Data!AP136="","",IF(Raw_Data!AP136="oui",1,0))</f>
        <v/>
      </c>
      <c r="W133" s="12" t="str">
        <f>IF(Raw_Data!AQ136="","",IF(Raw_Data!AQ136="oui",1,0))</f>
        <v/>
      </c>
      <c r="X133" s="12" t="str">
        <f>IF(Raw_Data!AR136="","",IF(Raw_Data!AR136="oui",1,0))</f>
        <v/>
      </c>
      <c r="Y133" s="12" t="str">
        <f>IF(Raw_Data!AS136="","",IF(Raw_Data!AS136="oui",1,0))</f>
        <v/>
      </c>
      <c r="Z133" s="12" t="str">
        <f>IF(Raw_Data!V136="","",IF(Raw_Data!V136="oui",1,0))</f>
        <v/>
      </c>
      <c r="AA133" s="12" t="str">
        <f>IF(Raw_Data!W136="","",IF(Raw_Data!W136="oui",1,0))</f>
        <v/>
      </c>
      <c r="AB133" s="12" t="str">
        <f>IF(Raw_Data!Q136="","",IF(Raw_Data!Q136="oui",1,0))</f>
        <v/>
      </c>
      <c r="AC133" s="12">
        <f>Raw_Data!AF136</f>
        <v>0</v>
      </c>
      <c r="AD133" s="12" t="str">
        <f t="shared" si="23"/>
        <v/>
      </c>
      <c r="AE133" s="12" t="str">
        <f t="shared" si="24"/>
        <v/>
      </c>
      <c r="AF133" s="12" t="str">
        <f t="shared" si="25"/>
        <v/>
      </c>
      <c r="AG133" s="12">
        <f t="shared" si="26"/>
        <v>0</v>
      </c>
    </row>
    <row r="134" spans="1:33" ht="15" customHeight="1" x14ac:dyDescent="0.25">
      <c r="A134" s="12" t="str">
        <f>IF(Raw_Data!B137="","",Raw_Data!B137)</f>
        <v/>
      </c>
      <c r="B134" s="12">
        <f>IF(Raw_Data!X137&lt;&gt;"",Raw_Data!X137,Raw_Data!C137)</f>
        <v>0</v>
      </c>
      <c r="C134" s="12" t="str">
        <f>IF(Raw_Data!G137="","",Raw_Data!G137)</f>
        <v/>
      </c>
      <c r="D134" s="12" t="str">
        <f>IF(Raw_Data!H137="","",Raw_Data!H137)</f>
        <v/>
      </c>
      <c r="E134" s="12" t="str">
        <f>IF(Raw_Data!I137="","",Raw_Data!I137)</f>
        <v/>
      </c>
      <c r="F134" s="12" t="str">
        <f>IF(Raw_Data!J137="","",Raw_Data!J137)</f>
        <v/>
      </c>
      <c r="G134" s="12" t="str">
        <f>IF(Raw_Data!AH137&lt;&gt;"",Raw_Data!AH137,IF(Raw_Data!K137&lt;&gt;"",Raw_Data!K137,""))</f>
        <v/>
      </c>
      <c r="H134" s="12" t="str">
        <f>IF(Raw_Data!AI137&lt;&gt;"",Raw_Data!AI137,IF(Raw_Data!L137&lt;&gt;"",Raw_Data!L137,""))</f>
        <v/>
      </c>
      <c r="I134" s="12" t="str">
        <f t="shared" si="18"/>
        <v/>
      </c>
      <c r="J134" s="12" t="str">
        <f>IF(Raw_Data!M137="","",Raw_Data!M137)</f>
        <v/>
      </c>
      <c r="K134" s="12">
        <f>IF(Raw_Data!AJ137&lt;&gt;"",Raw_Data!AJ137,Raw_Data!N137)</f>
        <v>0</v>
      </c>
      <c r="L134" s="12">
        <f t="shared" si="19"/>
        <v>1</v>
      </c>
      <c r="M134" s="12" t="str">
        <f>IF(Raw_Data!AK137="","",Raw_Data!AK137)</f>
        <v/>
      </c>
      <c r="N134" s="12" t="str">
        <f>IF(Raw_Data!T137="","",Raw_Data!T137)</f>
        <v/>
      </c>
      <c r="O134" s="12" t="str">
        <f>IF(Raw_Data!AB137&lt;&gt;"",Raw_Data!AB137,IF(N134="tres_insatisfait",1,IF(N134="insatisfait",2,IF(N134="neutre",3,IF(N134="satisfait",4,IF(N134="tres_satisfait",5,""))))))</f>
        <v/>
      </c>
      <c r="P134" s="12">
        <f>IF(Raw_Data!AL137&lt;&gt;"",Raw_Data!AL137,Raw_Data!R137)</f>
        <v>0</v>
      </c>
      <c r="Q134" s="12">
        <f t="shared" si="20"/>
        <v>0</v>
      </c>
      <c r="R134" s="12" t="str">
        <f>IF(Raw_Data!AM137="","",Raw_Data!AM137)</f>
        <v/>
      </c>
      <c r="S134" s="12" t="str">
        <f t="shared" si="21"/>
        <v/>
      </c>
      <c r="T134" s="12" t="str">
        <f>IF(Raw_Data!AN137="","",Raw_Data!AN137)</f>
        <v/>
      </c>
      <c r="U134" s="12" t="str">
        <f t="shared" si="22"/>
        <v/>
      </c>
      <c r="V134" s="12" t="str">
        <f>IF(Raw_Data!AP137="","",IF(Raw_Data!AP137="oui",1,0))</f>
        <v/>
      </c>
      <c r="W134" s="12" t="str">
        <f>IF(Raw_Data!AQ137="","",IF(Raw_Data!AQ137="oui",1,0))</f>
        <v/>
      </c>
      <c r="X134" s="12" t="str">
        <f>IF(Raw_Data!AR137="","",IF(Raw_Data!AR137="oui",1,0))</f>
        <v/>
      </c>
      <c r="Y134" s="12" t="str">
        <f>IF(Raw_Data!AS137="","",IF(Raw_Data!AS137="oui",1,0))</f>
        <v/>
      </c>
      <c r="Z134" s="12" t="str">
        <f>IF(Raw_Data!V137="","",IF(Raw_Data!V137="oui",1,0))</f>
        <v/>
      </c>
      <c r="AA134" s="12" t="str">
        <f>IF(Raw_Data!W137="","",IF(Raw_Data!W137="oui",1,0))</f>
        <v/>
      </c>
      <c r="AB134" s="12" t="str">
        <f>IF(Raw_Data!Q137="","",IF(Raw_Data!Q137="oui",1,0))</f>
        <v/>
      </c>
      <c r="AC134" s="12">
        <f>Raw_Data!AF137</f>
        <v>0</v>
      </c>
      <c r="AD134" s="12" t="str">
        <f t="shared" si="23"/>
        <v/>
      </c>
      <c r="AE134" s="12" t="str">
        <f t="shared" si="24"/>
        <v/>
      </c>
      <c r="AF134" s="12" t="str">
        <f t="shared" si="25"/>
        <v/>
      </c>
      <c r="AG134" s="12">
        <f t="shared" si="26"/>
        <v>0</v>
      </c>
    </row>
    <row r="135" spans="1:33" ht="15" customHeight="1" x14ac:dyDescent="0.25">
      <c r="A135" s="12" t="str">
        <f>IF(Raw_Data!B138="","",Raw_Data!B138)</f>
        <v/>
      </c>
      <c r="B135" s="12">
        <f>IF(Raw_Data!X138&lt;&gt;"",Raw_Data!X138,Raw_Data!C138)</f>
        <v>0</v>
      </c>
      <c r="C135" s="12" t="str">
        <f>IF(Raw_Data!G138="","",Raw_Data!G138)</f>
        <v/>
      </c>
      <c r="D135" s="12" t="str">
        <f>IF(Raw_Data!H138="","",Raw_Data!H138)</f>
        <v/>
      </c>
      <c r="E135" s="12" t="str">
        <f>IF(Raw_Data!I138="","",Raw_Data!I138)</f>
        <v/>
      </c>
      <c r="F135" s="12" t="str">
        <f>IF(Raw_Data!J138="","",Raw_Data!J138)</f>
        <v/>
      </c>
      <c r="G135" s="12" t="str">
        <f>IF(Raw_Data!AH138&lt;&gt;"",Raw_Data!AH138,IF(Raw_Data!K138&lt;&gt;"",Raw_Data!K138,""))</f>
        <v/>
      </c>
      <c r="H135" s="12" t="str">
        <f>IF(Raw_Data!AI138&lt;&gt;"",Raw_Data!AI138,IF(Raw_Data!L138&lt;&gt;"",Raw_Data!L138,""))</f>
        <v/>
      </c>
      <c r="I135" s="12" t="str">
        <f t="shared" si="18"/>
        <v/>
      </c>
      <c r="J135" s="12" t="str">
        <f>IF(Raw_Data!M138="","",Raw_Data!M138)</f>
        <v/>
      </c>
      <c r="K135" s="12">
        <f>IF(Raw_Data!AJ138&lt;&gt;"",Raw_Data!AJ138,Raw_Data!N138)</f>
        <v>0</v>
      </c>
      <c r="L135" s="12">
        <f t="shared" si="19"/>
        <v>1</v>
      </c>
      <c r="M135" s="12" t="str">
        <f>IF(Raw_Data!AK138="","",Raw_Data!AK138)</f>
        <v/>
      </c>
      <c r="N135" s="12" t="str">
        <f>IF(Raw_Data!T138="","",Raw_Data!T138)</f>
        <v/>
      </c>
      <c r="O135" s="12" t="str">
        <f>IF(Raw_Data!AB138&lt;&gt;"",Raw_Data!AB138,IF(N135="tres_insatisfait",1,IF(N135="insatisfait",2,IF(N135="neutre",3,IF(N135="satisfait",4,IF(N135="tres_satisfait",5,""))))))</f>
        <v/>
      </c>
      <c r="P135" s="12">
        <f>IF(Raw_Data!AL138&lt;&gt;"",Raw_Data!AL138,Raw_Data!R138)</f>
        <v>0</v>
      </c>
      <c r="Q135" s="12">
        <f t="shared" si="20"/>
        <v>0</v>
      </c>
      <c r="R135" s="12" t="str">
        <f>IF(Raw_Data!AM138="","",Raw_Data!AM138)</f>
        <v/>
      </c>
      <c r="S135" s="12" t="str">
        <f t="shared" si="21"/>
        <v/>
      </c>
      <c r="T135" s="12" t="str">
        <f>IF(Raw_Data!AN138="","",Raw_Data!AN138)</f>
        <v/>
      </c>
      <c r="U135" s="12" t="str">
        <f t="shared" si="22"/>
        <v/>
      </c>
      <c r="V135" s="12" t="str">
        <f>IF(Raw_Data!AP138="","",IF(Raw_Data!AP138="oui",1,0))</f>
        <v/>
      </c>
      <c r="W135" s="12" t="str">
        <f>IF(Raw_Data!AQ138="","",IF(Raw_Data!AQ138="oui",1,0))</f>
        <v/>
      </c>
      <c r="X135" s="12" t="str">
        <f>IF(Raw_Data!AR138="","",IF(Raw_Data!AR138="oui",1,0))</f>
        <v/>
      </c>
      <c r="Y135" s="12" t="str">
        <f>IF(Raw_Data!AS138="","",IF(Raw_Data!AS138="oui",1,0))</f>
        <v/>
      </c>
      <c r="Z135" s="12" t="str">
        <f>IF(Raw_Data!V138="","",IF(Raw_Data!V138="oui",1,0))</f>
        <v/>
      </c>
      <c r="AA135" s="12" t="str">
        <f>IF(Raw_Data!W138="","",IF(Raw_Data!W138="oui",1,0))</f>
        <v/>
      </c>
      <c r="AB135" s="12" t="str">
        <f>IF(Raw_Data!Q138="","",IF(Raw_Data!Q138="oui",1,0))</f>
        <v/>
      </c>
      <c r="AC135" s="12">
        <f>Raw_Data!AF138</f>
        <v>0</v>
      </c>
      <c r="AD135" s="12" t="str">
        <f t="shared" si="23"/>
        <v/>
      </c>
      <c r="AE135" s="12" t="str">
        <f t="shared" si="24"/>
        <v/>
      </c>
      <c r="AF135" s="12" t="str">
        <f t="shared" si="25"/>
        <v/>
      </c>
      <c r="AG135" s="12">
        <f t="shared" si="26"/>
        <v>0</v>
      </c>
    </row>
    <row r="136" spans="1:33" ht="15" customHeight="1" x14ac:dyDescent="0.25">
      <c r="A136" s="12" t="str">
        <f>IF(Raw_Data!B139="","",Raw_Data!B139)</f>
        <v/>
      </c>
      <c r="B136" s="12">
        <f>IF(Raw_Data!X139&lt;&gt;"",Raw_Data!X139,Raw_Data!C139)</f>
        <v>0</v>
      </c>
      <c r="C136" s="12" t="str">
        <f>IF(Raw_Data!G139="","",Raw_Data!G139)</f>
        <v/>
      </c>
      <c r="D136" s="12" t="str">
        <f>IF(Raw_Data!H139="","",Raw_Data!H139)</f>
        <v/>
      </c>
      <c r="E136" s="12" t="str">
        <f>IF(Raw_Data!I139="","",Raw_Data!I139)</f>
        <v/>
      </c>
      <c r="F136" s="12" t="str">
        <f>IF(Raw_Data!J139="","",Raw_Data!J139)</f>
        <v/>
      </c>
      <c r="G136" s="12" t="str">
        <f>IF(Raw_Data!AH139&lt;&gt;"",Raw_Data!AH139,IF(Raw_Data!K139&lt;&gt;"",Raw_Data!K139,""))</f>
        <v/>
      </c>
      <c r="H136" s="12" t="str">
        <f>IF(Raw_Data!AI139&lt;&gt;"",Raw_Data!AI139,IF(Raw_Data!L139&lt;&gt;"",Raw_Data!L139,""))</f>
        <v/>
      </c>
      <c r="I136" s="12" t="str">
        <f t="shared" si="18"/>
        <v/>
      </c>
      <c r="J136" s="12" t="str">
        <f>IF(Raw_Data!M139="","",Raw_Data!M139)</f>
        <v/>
      </c>
      <c r="K136" s="12">
        <f>IF(Raw_Data!AJ139&lt;&gt;"",Raw_Data!AJ139,Raw_Data!N139)</f>
        <v>0</v>
      </c>
      <c r="L136" s="12">
        <f t="shared" si="19"/>
        <v>1</v>
      </c>
      <c r="M136" s="12" t="str">
        <f>IF(Raw_Data!AK139="","",Raw_Data!AK139)</f>
        <v/>
      </c>
      <c r="N136" s="12" t="str">
        <f>IF(Raw_Data!T139="","",Raw_Data!T139)</f>
        <v/>
      </c>
      <c r="O136" s="12" t="str">
        <f>IF(Raw_Data!AB139&lt;&gt;"",Raw_Data!AB139,IF(N136="tres_insatisfait",1,IF(N136="insatisfait",2,IF(N136="neutre",3,IF(N136="satisfait",4,IF(N136="tres_satisfait",5,""))))))</f>
        <v/>
      </c>
      <c r="P136" s="12">
        <f>IF(Raw_Data!AL139&lt;&gt;"",Raw_Data!AL139,Raw_Data!R139)</f>
        <v>0</v>
      </c>
      <c r="Q136" s="12">
        <f t="shared" si="20"/>
        <v>0</v>
      </c>
      <c r="R136" s="12" t="str">
        <f>IF(Raw_Data!AM139="","",Raw_Data!AM139)</f>
        <v/>
      </c>
      <c r="S136" s="12" t="str">
        <f t="shared" si="21"/>
        <v/>
      </c>
      <c r="T136" s="12" t="str">
        <f>IF(Raw_Data!AN139="","",Raw_Data!AN139)</f>
        <v/>
      </c>
      <c r="U136" s="12" t="str">
        <f t="shared" si="22"/>
        <v/>
      </c>
      <c r="V136" s="12" t="str">
        <f>IF(Raw_Data!AP139="","",IF(Raw_Data!AP139="oui",1,0))</f>
        <v/>
      </c>
      <c r="W136" s="12" t="str">
        <f>IF(Raw_Data!AQ139="","",IF(Raw_Data!AQ139="oui",1,0))</f>
        <v/>
      </c>
      <c r="X136" s="12" t="str">
        <f>IF(Raw_Data!AR139="","",IF(Raw_Data!AR139="oui",1,0))</f>
        <v/>
      </c>
      <c r="Y136" s="12" t="str">
        <f>IF(Raw_Data!AS139="","",IF(Raw_Data!AS139="oui",1,0))</f>
        <v/>
      </c>
      <c r="Z136" s="12" t="str">
        <f>IF(Raw_Data!V139="","",IF(Raw_Data!V139="oui",1,0))</f>
        <v/>
      </c>
      <c r="AA136" s="12" t="str">
        <f>IF(Raw_Data!W139="","",IF(Raw_Data!W139="oui",1,0))</f>
        <v/>
      </c>
      <c r="AB136" s="12" t="str">
        <f>IF(Raw_Data!Q139="","",IF(Raw_Data!Q139="oui",1,0))</f>
        <v/>
      </c>
      <c r="AC136" s="12">
        <f>Raw_Data!AF139</f>
        <v>0</v>
      </c>
      <c r="AD136" s="12" t="str">
        <f t="shared" si="23"/>
        <v/>
      </c>
      <c r="AE136" s="12" t="str">
        <f t="shared" si="24"/>
        <v/>
      </c>
      <c r="AF136" s="12" t="str">
        <f t="shared" si="25"/>
        <v/>
      </c>
      <c r="AG136" s="12">
        <f t="shared" si="26"/>
        <v>0</v>
      </c>
    </row>
    <row r="137" spans="1:33" ht="15" customHeight="1" x14ac:dyDescent="0.25">
      <c r="A137" s="12" t="str">
        <f>IF(Raw_Data!B140="","",Raw_Data!B140)</f>
        <v/>
      </c>
      <c r="B137" s="12">
        <f>IF(Raw_Data!X140&lt;&gt;"",Raw_Data!X140,Raw_Data!C140)</f>
        <v>0</v>
      </c>
      <c r="C137" s="12" t="str">
        <f>IF(Raw_Data!G140="","",Raw_Data!G140)</f>
        <v/>
      </c>
      <c r="D137" s="12" t="str">
        <f>IF(Raw_Data!H140="","",Raw_Data!H140)</f>
        <v/>
      </c>
      <c r="E137" s="12" t="str">
        <f>IF(Raw_Data!I140="","",Raw_Data!I140)</f>
        <v/>
      </c>
      <c r="F137" s="12" t="str">
        <f>IF(Raw_Data!J140="","",Raw_Data!J140)</f>
        <v/>
      </c>
      <c r="G137" s="12" t="str">
        <f>IF(Raw_Data!AH140&lt;&gt;"",Raw_Data!AH140,IF(Raw_Data!K140&lt;&gt;"",Raw_Data!K140,""))</f>
        <v/>
      </c>
      <c r="H137" s="12" t="str">
        <f>IF(Raw_Data!AI140&lt;&gt;"",Raw_Data!AI140,IF(Raw_Data!L140&lt;&gt;"",Raw_Data!L140,""))</f>
        <v/>
      </c>
      <c r="I137" s="12" t="str">
        <f t="shared" si="18"/>
        <v/>
      </c>
      <c r="J137" s="12" t="str">
        <f>IF(Raw_Data!M140="","",Raw_Data!M140)</f>
        <v/>
      </c>
      <c r="K137" s="12">
        <f>IF(Raw_Data!AJ140&lt;&gt;"",Raw_Data!AJ140,Raw_Data!N140)</f>
        <v>0</v>
      </c>
      <c r="L137" s="12">
        <f t="shared" si="19"/>
        <v>1</v>
      </c>
      <c r="M137" s="12" t="str">
        <f>IF(Raw_Data!AK140="","",Raw_Data!AK140)</f>
        <v/>
      </c>
      <c r="N137" s="12" t="str">
        <f>IF(Raw_Data!T140="","",Raw_Data!T140)</f>
        <v/>
      </c>
      <c r="O137" s="12" t="str">
        <f>IF(Raw_Data!AB140&lt;&gt;"",Raw_Data!AB140,IF(N137="tres_insatisfait",1,IF(N137="insatisfait",2,IF(N137="neutre",3,IF(N137="satisfait",4,IF(N137="tres_satisfait",5,""))))))</f>
        <v/>
      </c>
      <c r="P137" s="12">
        <f>IF(Raw_Data!AL140&lt;&gt;"",Raw_Data!AL140,Raw_Data!R140)</f>
        <v>0</v>
      </c>
      <c r="Q137" s="12">
        <f t="shared" si="20"/>
        <v>0</v>
      </c>
      <c r="R137" s="12" t="str">
        <f>IF(Raw_Data!AM140="","",Raw_Data!AM140)</f>
        <v/>
      </c>
      <c r="S137" s="12" t="str">
        <f t="shared" si="21"/>
        <v/>
      </c>
      <c r="T137" s="12" t="str">
        <f>IF(Raw_Data!AN140="","",Raw_Data!AN140)</f>
        <v/>
      </c>
      <c r="U137" s="12" t="str">
        <f t="shared" si="22"/>
        <v/>
      </c>
      <c r="V137" s="12" t="str">
        <f>IF(Raw_Data!AP140="","",IF(Raw_Data!AP140="oui",1,0))</f>
        <v/>
      </c>
      <c r="W137" s="12" t="str">
        <f>IF(Raw_Data!AQ140="","",IF(Raw_Data!AQ140="oui",1,0))</f>
        <v/>
      </c>
      <c r="X137" s="12" t="str">
        <f>IF(Raw_Data!AR140="","",IF(Raw_Data!AR140="oui",1,0))</f>
        <v/>
      </c>
      <c r="Y137" s="12" t="str">
        <f>IF(Raw_Data!AS140="","",IF(Raw_Data!AS140="oui",1,0))</f>
        <v/>
      </c>
      <c r="Z137" s="12" t="str">
        <f>IF(Raw_Data!V140="","",IF(Raw_Data!V140="oui",1,0))</f>
        <v/>
      </c>
      <c r="AA137" s="12" t="str">
        <f>IF(Raw_Data!W140="","",IF(Raw_Data!W140="oui",1,0))</f>
        <v/>
      </c>
      <c r="AB137" s="12" t="str">
        <f>IF(Raw_Data!Q140="","",IF(Raw_Data!Q140="oui",1,0))</f>
        <v/>
      </c>
      <c r="AC137" s="12">
        <f>Raw_Data!AF140</f>
        <v>0</v>
      </c>
      <c r="AD137" s="12" t="str">
        <f t="shared" si="23"/>
        <v/>
      </c>
      <c r="AE137" s="12" t="str">
        <f t="shared" si="24"/>
        <v/>
      </c>
      <c r="AF137" s="12" t="str">
        <f t="shared" si="25"/>
        <v/>
      </c>
      <c r="AG137" s="12">
        <f t="shared" si="26"/>
        <v>0</v>
      </c>
    </row>
    <row r="138" spans="1:33" ht="15" customHeight="1" x14ac:dyDescent="0.25">
      <c r="A138" s="12" t="str">
        <f>IF(Raw_Data!B141="","",Raw_Data!B141)</f>
        <v/>
      </c>
      <c r="B138" s="12">
        <f>IF(Raw_Data!X141&lt;&gt;"",Raw_Data!X141,Raw_Data!C141)</f>
        <v>0</v>
      </c>
      <c r="C138" s="12" t="str">
        <f>IF(Raw_Data!G141="","",Raw_Data!G141)</f>
        <v/>
      </c>
      <c r="D138" s="12" t="str">
        <f>IF(Raw_Data!H141="","",Raw_Data!H141)</f>
        <v/>
      </c>
      <c r="E138" s="12" t="str">
        <f>IF(Raw_Data!I141="","",Raw_Data!I141)</f>
        <v/>
      </c>
      <c r="F138" s="12" t="str">
        <f>IF(Raw_Data!J141="","",Raw_Data!J141)</f>
        <v/>
      </c>
      <c r="G138" s="12" t="str">
        <f>IF(Raw_Data!AH141&lt;&gt;"",Raw_Data!AH141,IF(Raw_Data!K141&lt;&gt;"",Raw_Data!K141,""))</f>
        <v/>
      </c>
      <c r="H138" s="12" t="str">
        <f>IF(Raw_Data!AI141&lt;&gt;"",Raw_Data!AI141,IF(Raw_Data!L141&lt;&gt;"",Raw_Data!L141,""))</f>
        <v/>
      </c>
      <c r="I138" s="12" t="str">
        <f t="shared" si="18"/>
        <v/>
      </c>
      <c r="J138" s="12" t="str">
        <f>IF(Raw_Data!M141="","",Raw_Data!M141)</f>
        <v/>
      </c>
      <c r="K138" s="12">
        <f>IF(Raw_Data!AJ141&lt;&gt;"",Raw_Data!AJ141,Raw_Data!N141)</f>
        <v>0</v>
      </c>
      <c r="L138" s="12">
        <f t="shared" si="19"/>
        <v>1</v>
      </c>
      <c r="M138" s="12" t="str">
        <f>IF(Raw_Data!AK141="","",Raw_Data!AK141)</f>
        <v/>
      </c>
      <c r="N138" s="12" t="str">
        <f>IF(Raw_Data!T141="","",Raw_Data!T141)</f>
        <v/>
      </c>
      <c r="O138" s="12" t="str">
        <f>IF(Raw_Data!AB141&lt;&gt;"",Raw_Data!AB141,IF(N138="tres_insatisfait",1,IF(N138="insatisfait",2,IF(N138="neutre",3,IF(N138="satisfait",4,IF(N138="tres_satisfait",5,""))))))</f>
        <v/>
      </c>
      <c r="P138" s="12">
        <f>IF(Raw_Data!AL141&lt;&gt;"",Raw_Data!AL141,Raw_Data!R141)</f>
        <v>0</v>
      </c>
      <c r="Q138" s="12">
        <f t="shared" si="20"/>
        <v>0</v>
      </c>
      <c r="R138" s="12" t="str">
        <f>IF(Raw_Data!AM141="","",Raw_Data!AM141)</f>
        <v/>
      </c>
      <c r="S138" s="12" t="str">
        <f t="shared" si="21"/>
        <v/>
      </c>
      <c r="T138" s="12" t="str">
        <f>IF(Raw_Data!AN141="","",Raw_Data!AN141)</f>
        <v/>
      </c>
      <c r="U138" s="12" t="str">
        <f t="shared" si="22"/>
        <v/>
      </c>
      <c r="V138" s="12" t="str">
        <f>IF(Raw_Data!AP141="","",IF(Raw_Data!AP141="oui",1,0))</f>
        <v/>
      </c>
      <c r="W138" s="12" t="str">
        <f>IF(Raw_Data!AQ141="","",IF(Raw_Data!AQ141="oui",1,0))</f>
        <v/>
      </c>
      <c r="X138" s="12" t="str">
        <f>IF(Raw_Data!AR141="","",IF(Raw_Data!AR141="oui",1,0))</f>
        <v/>
      </c>
      <c r="Y138" s="12" t="str">
        <f>IF(Raw_Data!AS141="","",IF(Raw_Data!AS141="oui",1,0))</f>
        <v/>
      </c>
      <c r="Z138" s="12" t="str">
        <f>IF(Raw_Data!V141="","",IF(Raw_Data!V141="oui",1,0))</f>
        <v/>
      </c>
      <c r="AA138" s="12" t="str">
        <f>IF(Raw_Data!W141="","",IF(Raw_Data!W141="oui",1,0))</f>
        <v/>
      </c>
      <c r="AB138" s="12" t="str">
        <f>IF(Raw_Data!Q141="","",IF(Raw_Data!Q141="oui",1,0))</f>
        <v/>
      </c>
      <c r="AC138" s="12">
        <f>Raw_Data!AF141</f>
        <v>0</v>
      </c>
      <c r="AD138" s="12" t="str">
        <f t="shared" si="23"/>
        <v/>
      </c>
      <c r="AE138" s="12" t="str">
        <f t="shared" si="24"/>
        <v/>
      </c>
      <c r="AF138" s="12" t="str">
        <f t="shared" si="25"/>
        <v/>
      </c>
      <c r="AG138" s="12">
        <f t="shared" si="26"/>
        <v>0</v>
      </c>
    </row>
    <row r="139" spans="1:33" ht="15" customHeight="1" x14ac:dyDescent="0.25">
      <c r="A139" s="12" t="str">
        <f>IF(Raw_Data!B142="","",Raw_Data!B142)</f>
        <v/>
      </c>
      <c r="B139" s="12">
        <f>IF(Raw_Data!X142&lt;&gt;"",Raw_Data!X142,Raw_Data!C142)</f>
        <v>0</v>
      </c>
      <c r="C139" s="12" t="str">
        <f>IF(Raw_Data!G142="","",Raw_Data!G142)</f>
        <v/>
      </c>
      <c r="D139" s="12" t="str">
        <f>IF(Raw_Data!H142="","",Raw_Data!H142)</f>
        <v/>
      </c>
      <c r="E139" s="12" t="str">
        <f>IF(Raw_Data!I142="","",Raw_Data!I142)</f>
        <v/>
      </c>
      <c r="F139" s="12" t="str">
        <f>IF(Raw_Data!J142="","",Raw_Data!J142)</f>
        <v/>
      </c>
      <c r="G139" s="12" t="str">
        <f>IF(Raw_Data!AH142&lt;&gt;"",Raw_Data!AH142,IF(Raw_Data!K142&lt;&gt;"",Raw_Data!K142,""))</f>
        <v/>
      </c>
      <c r="H139" s="12" t="str">
        <f>IF(Raw_Data!AI142&lt;&gt;"",Raw_Data!AI142,IF(Raw_Data!L142&lt;&gt;"",Raw_Data!L142,""))</f>
        <v/>
      </c>
      <c r="I139" s="12" t="str">
        <f t="shared" si="18"/>
        <v/>
      </c>
      <c r="J139" s="12" t="str">
        <f>IF(Raw_Data!M142="","",Raw_Data!M142)</f>
        <v/>
      </c>
      <c r="K139" s="12">
        <f>IF(Raw_Data!AJ142&lt;&gt;"",Raw_Data!AJ142,Raw_Data!N142)</f>
        <v>0</v>
      </c>
      <c r="L139" s="12">
        <f t="shared" si="19"/>
        <v>1</v>
      </c>
      <c r="M139" s="12" t="str">
        <f>IF(Raw_Data!AK142="","",Raw_Data!AK142)</f>
        <v/>
      </c>
      <c r="N139" s="12" t="str">
        <f>IF(Raw_Data!T142="","",Raw_Data!T142)</f>
        <v/>
      </c>
      <c r="O139" s="12" t="str">
        <f>IF(Raw_Data!AB142&lt;&gt;"",Raw_Data!AB142,IF(N139="tres_insatisfait",1,IF(N139="insatisfait",2,IF(N139="neutre",3,IF(N139="satisfait",4,IF(N139="tres_satisfait",5,""))))))</f>
        <v/>
      </c>
      <c r="P139" s="12">
        <f>IF(Raw_Data!AL142&lt;&gt;"",Raw_Data!AL142,Raw_Data!R142)</f>
        <v>0</v>
      </c>
      <c r="Q139" s="12">
        <f t="shared" si="20"/>
        <v>0</v>
      </c>
      <c r="R139" s="12" t="str">
        <f>IF(Raw_Data!AM142="","",Raw_Data!AM142)</f>
        <v/>
      </c>
      <c r="S139" s="12" t="str">
        <f t="shared" si="21"/>
        <v/>
      </c>
      <c r="T139" s="12" t="str">
        <f>IF(Raw_Data!AN142="","",Raw_Data!AN142)</f>
        <v/>
      </c>
      <c r="U139" s="12" t="str">
        <f t="shared" si="22"/>
        <v/>
      </c>
      <c r="V139" s="12" t="str">
        <f>IF(Raw_Data!AP142="","",IF(Raw_Data!AP142="oui",1,0))</f>
        <v/>
      </c>
      <c r="W139" s="12" t="str">
        <f>IF(Raw_Data!AQ142="","",IF(Raw_Data!AQ142="oui",1,0))</f>
        <v/>
      </c>
      <c r="X139" s="12" t="str">
        <f>IF(Raw_Data!AR142="","",IF(Raw_Data!AR142="oui",1,0))</f>
        <v/>
      </c>
      <c r="Y139" s="12" t="str">
        <f>IF(Raw_Data!AS142="","",IF(Raw_Data!AS142="oui",1,0))</f>
        <v/>
      </c>
      <c r="Z139" s="12" t="str">
        <f>IF(Raw_Data!V142="","",IF(Raw_Data!V142="oui",1,0))</f>
        <v/>
      </c>
      <c r="AA139" s="12" t="str">
        <f>IF(Raw_Data!W142="","",IF(Raw_Data!W142="oui",1,0))</f>
        <v/>
      </c>
      <c r="AB139" s="12" t="str">
        <f>IF(Raw_Data!Q142="","",IF(Raw_Data!Q142="oui",1,0))</f>
        <v/>
      </c>
      <c r="AC139" s="12">
        <f>Raw_Data!AF142</f>
        <v>0</v>
      </c>
      <c r="AD139" s="12" t="str">
        <f t="shared" si="23"/>
        <v/>
      </c>
      <c r="AE139" s="12" t="str">
        <f t="shared" si="24"/>
        <v/>
      </c>
      <c r="AF139" s="12" t="str">
        <f t="shared" si="25"/>
        <v/>
      </c>
      <c r="AG139" s="12">
        <f t="shared" si="26"/>
        <v>0</v>
      </c>
    </row>
    <row r="140" spans="1:33" ht="15" customHeight="1" x14ac:dyDescent="0.25">
      <c r="A140" s="12" t="str">
        <f>IF(Raw_Data!B143="","",Raw_Data!B143)</f>
        <v/>
      </c>
      <c r="B140" s="12">
        <f>IF(Raw_Data!X143&lt;&gt;"",Raw_Data!X143,Raw_Data!C143)</f>
        <v>0</v>
      </c>
      <c r="C140" s="12" t="str">
        <f>IF(Raw_Data!G143="","",Raw_Data!G143)</f>
        <v/>
      </c>
      <c r="D140" s="12" t="str">
        <f>IF(Raw_Data!H143="","",Raw_Data!H143)</f>
        <v/>
      </c>
      <c r="E140" s="12" t="str">
        <f>IF(Raw_Data!I143="","",Raw_Data!I143)</f>
        <v/>
      </c>
      <c r="F140" s="12" t="str">
        <f>IF(Raw_Data!J143="","",Raw_Data!J143)</f>
        <v/>
      </c>
      <c r="G140" s="12" t="str">
        <f>IF(Raw_Data!AH143&lt;&gt;"",Raw_Data!AH143,IF(Raw_Data!K143&lt;&gt;"",Raw_Data!K143,""))</f>
        <v/>
      </c>
      <c r="H140" s="12" t="str">
        <f>IF(Raw_Data!AI143&lt;&gt;"",Raw_Data!AI143,IF(Raw_Data!L143&lt;&gt;"",Raw_Data!L143,""))</f>
        <v/>
      </c>
      <c r="I140" s="12" t="str">
        <f t="shared" si="18"/>
        <v/>
      </c>
      <c r="J140" s="12" t="str">
        <f>IF(Raw_Data!M143="","",Raw_Data!M143)</f>
        <v/>
      </c>
      <c r="K140" s="12">
        <f>IF(Raw_Data!AJ143&lt;&gt;"",Raw_Data!AJ143,Raw_Data!N143)</f>
        <v>0</v>
      </c>
      <c r="L140" s="12">
        <f t="shared" si="19"/>
        <v>1</v>
      </c>
      <c r="M140" s="12" t="str">
        <f>IF(Raw_Data!AK143="","",Raw_Data!AK143)</f>
        <v/>
      </c>
      <c r="N140" s="12" t="str">
        <f>IF(Raw_Data!T143="","",Raw_Data!T143)</f>
        <v/>
      </c>
      <c r="O140" s="12" t="str">
        <f>IF(Raw_Data!AB143&lt;&gt;"",Raw_Data!AB143,IF(N140="tres_insatisfait",1,IF(N140="insatisfait",2,IF(N140="neutre",3,IF(N140="satisfait",4,IF(N140="tres_satisfait",5,""))))))</f>
        <v/>
      </c>
      <c r="P140" s="12">
        <f>IF(Raw_Data!AL143&lt;&gt;"",Raw_Data!AL143,Raw_Data!R143)</f>
        <v>0</v>
      </c>
      <c r="Q140" s="12">
        <f t="shared" si="20"/>
        <v>0</v>
      </c>
      <c r="R140" s="12" t="str">
        <f>IF(Raw_Data!AM143="","",Raw_Data!AM143)</f>
        <v/>
      </c>
      <c r="S140" s="12" t="str">
        <f t="shared" si="21"/>
        <v/>
      </c>
      <c r="T140" s="12" t="str">
        <f>IF(Raw_Data!AN143="","",Raw_Data!AN143)</f>
        <v/>
      </c>
      <c r="U140" s="12" t="str">
        <f t="shared" si="22"/>
        <v/>
      </c>
      <c r="V140" s="12" t="str">
        <f>IF(Raw_Data!AP143="","",IF(Raw_Data!AP143="oui",1,0))</f>
        <v/>
      </c>
      <c r="W140" s="12" t="str">
        <f>IF(Raw_Data!AQ143="","",IF(Raw_Data!AQ143="oui",1,0))</f>
        <v/>
      </c>
      <c r="X140" s="12" t="str">
        <f>IF(Raw_Data!AR143="","",IF(Raw_Data!AR143="oui",1,0))</f>
        <v/>
      </c>
      <c r="Y140" s="12" t="str">
        <f>IF(Raw_Data!AS143="","",IF(Raw_Data!AS143="oui",1,0))</f>
        <v/>
      </c>
      <c r="Z140" s="12" t="str">
        <f>IF(Raw_Data!V143="","",IF(Raw_Data!V143="oui",1,0))</f>
        <v/>
      </c>
      <c r="AA140" s="12" t="str">
        <f>IF(Raw_Data!W143="","",IF(Raw_Data!W143="oui",1,0))</f>
        <v/>
      </c>
      <c r="AB140" s="12" t="str">
        <f>IF(Raw_Data!Q143="","",IF(Raw_Data!Q143="oui",1,0))</f>
        <v/>
      </c>
      <c r="AC140" s="12">
        <f>Raw_Data!AF143</f>
        <v>0</v>
      </c>
      <c r="AD140" s="12" t="str">
        <f t="shared" si="23"/>
        <v/>
      </c>
      <c r="AE140" s="12" t="str">
        <f t="shared" si="24"/>
        <v/>
      </c>
      <c r="AF140" s="12" t="str">
        <f t="shared" si="25"/>
        <v/>
      </c>
      <c r="AG140" s="12">
        <f t="shared" si="26"/>
        <v>0</v>
      </c>
    </row>
    <row r="141" spans="1:33" ht="15" customHeight="1" x14ac:dyDescent="0.25">
      <c r="A141" s="12" t="str">
        <f>IF(Raw_Data!B144="","",Raw_Data!B144)</f>
        <v/>
      </c>
      <c r="B141" s="12">
        <f>IF(Raw_Data!X144&lt;&gt;"",Raw_Data!X144,Raw_Data!C144)</f>
        <v>0</v>
      </c>
      <c r="C141" s="12" t="str">
        <f>IF(Raw_Data!G144="","",Raw_Data!G144)</f>
        <v/>
      </c>
      <c r="D141" s="12" t="str">
        <f>IF(Raw_Data!H144="","",Raw_Data!H144)</f>
        <v/>
      </c>
      <c r="E141" s="12" t="str">
        <f>IF(Raw_Data!I144="","",Raw_Data!I144)</f>
        <v/>
      </c>
      <c r="F141" s="12" t="str">
        <f>IF(Raw_Data!J144="","",Raw_Data!J144)</f>
        <v/>
      </c>
      <c r="G141" s="12" t="str">
        <f>IF(Raw_Data!AH144&lt;&gt;"",Raw_Data!AH144,IF(Raw_Data!K144&lt;&gt;"",Raw_Data!K144,""))</f>
        <v/>
      </c>
      <c r="H141" s="12" t="str">
        <f>IF(Raw_Data!AI144&lt;&gt;"",Raw_Data!AI144,IF(Raw_Data!L144&lt;&gt;"",Raw_Data!L144,""))</f>
        <v/>
      </c>
      <c r="I141" s="12" t="str">
        <f t="shared" si="18"/>
        <v/>
      </c>
      <c r="J141" s="12" t="str">
        <f>IF(Raw_Data!M144="","",Raw_Data!M144)</f>
        <v/>
      </c>
      <c r="K141" s="12">
        <f>IF(Raw_Data!AJ144&lt;&gt;"",Raw_Data!AJ144,Raw_Data!N144)</f>
        <v>0</v>
      </c>
      <c r="L141" s="12">
        <f t="shared" si="19"/>
        <v>1</v>
      </c>
      <c r="M141" s="12" t="str">
        <f>IF(Raw_Data!AK144="","",Raw_Data!AK144)</f>
        <v/>
      </c>
      <c r="N141" s="12" t="str">
        <f>IF(Raw_Data!T144="","",Raw_Data!T144)</f>
        <v/>
      </c>
      <c r="O141" s="12" t="str">
        <f>IF(Raw_Data!AB144&lt;&gt;"",Raw_Data!AB144,IF(N141="tres_insatisfait",1,IF(N141="insatisfait",2,IF(N141="neutre",3,IF(N141="satisfait",4,IF(N141="tres_satisfait",5,""))))))</f>
        <v/>
      </c>
      <c r="P141" s="12">
        <f>IF(Raw_Data!AL144&lt;&gt;"",Raw_Data!AL144,Raw_Data!R144)</f>
        <v>0</v>
      </c>
      <c r="Q141" s="12">
        <f t="shared" si="20"/>
        <v>0</v>
      </c>
      <c r="R141" s="12" t="str">
        <f>IF(Raw_Data!AM144="","",Raw_Data!AM144)</f>
        <v/>
      </c>
      <c r="S141" s="12" t="str">
        <f t="shared" si="21"/>
        <v/>
      </c>
      <c r="T141" s="12" t="str">
        <f>IF(Raw_Data!AN144="","",Raw_Data!AN144)</f>
        <v/>
      </c>
      <c r="U141" s="12" t="str">
        <f t="shared" si="22"/>
        <v/>
      </c>
      <c r="V141" s="12" t="str">
        <f>IF(Raw_Data!AP144="","",IF(Raw_Data!AP144="oui",1,0))</f>
        <v/>
      </c>
      <c r="W141" s="12" t="str">
        <f>IF(Raw_Data!AQ144="","",IF(Raw_Data!AQ144="oui",1,0))</f>
        <v/>
      </c>
      <c r="X141" s="12" t="str">
        <f>IF(Raw_Data!AR144="","",IF(Raw_Data!AR144="oui",1,0))</f>
        <v/>
      </c>
      <c r="Y141" s="12" t="str">
        <f>IF(Raw_Data!AS144="","",IF(Raw_Data!AS144="oui",1,0))</f>
        <v/>
      </c>
      <c r="Z141" s="12" t="str">
        <f>IF(Raw_Data!V144="","",IF(Raw_Data!V144="oui",1,0))</f>
        <v/>
      </c>
      <c r="AA141" s="12" t="str">
        <f>IF(Raw_Data!W144="","",IF(Raw_Data!W144="oui",1,0))</f>
        <v/>
      </c>
      <c r="AB141" s="12" t="str">
        <f>IF(Raw_Data!Q144="","",IF(Raw_Data!Q144="oui",1,0))</f>
        <v/>
      </c>
      <c r="AC141" s="12">
        <f>Raw_Data!AF144</f>
        <v>0</v>
      </c>
      <c r="AD141" s="12" t="str">
        <f t="shared" si="23"/>
        <v/>
      </c>
      <c r="AE141" s="12" t="str">
        <f t="shared" si="24"/>
        <v/>
      </c>
      <c r="AF141" s="12" t="str">
        <f t="shared" si="25"/>
        <v/>
      </c>
      <c r="AG141" s="12">
        <f t="shared" si="26"/>
        <v>0</v>
      </c>
    </row>
    <row r="142" spans="1:33" ht="15" customHeight="1" x14ac:dyDescent="0.25">
      <c r="A142" s="12" t="str">
        <f>IF(Raw_Data!B145="","",Raw_Data!B145)</f>
        <v/>
      </c>
      <c r="B142" s="12">
        <f>IF(Raw_Data!X145&lt;&gt;"",Raw_Data!X145,Raw_Data!C145)</f>
        <v>0</v>
      </c>
      <c r="C142" s="12" t="str">
        <f>IF(Raw_Data!G145="","",Raw_Data!G145)</f>
        <v/>
      </c>
      <c r="D142" s="12" t="str">
        <f>IF(Raw_Data!H145="","",Raw_Data!H145)</f>
        <v/>
      </c>
      <c r="E142" s="12" t="str">
        <f>IF(Raw_Data!I145="","",Raw_Data!I145)</f>
        <v/>
      </c>
      <c r="F142" s="12" t="str">
        <f>IF(Raw_Data!J145="","",Raw_Data!J145)</f>
        <v/>
      </c>
      <c r="G142" s="12" t="str">
        <f>IF(Raw_Data!AH145&lt;&gt;"",Raw_Data!AH145,IF(Raw_Data!K145&lt;&gt;"",Raw_Data!K145,""))</f>
        <v/>
      </c>
      <c r="H142" s="12" t="str">
        <f>IF(Raw_Data!AI145&lt;&gt;"",Raw_Data!AI145,IF(Raw_Data!L145&lt;&gt;"",Raw_Data!L145,""))</f>
        <v/>
      </c>
      <c r="I142" s="12" t="str">
        <f t="shared" si="18"/>
        <v/>
      </c>
      <c r="J142" s="12" t="str">
        <f>IF(Raw_Data!M145="","",Raw_Data!M145)</f>
        <v/>
      </c>
      <c r="K142" s="12">
        <f>IF(Raw_Data!AJ145&lt;&gt;"",Raw_Data!AJ145,Raw_Data!N145)</f>
        <v>0</v>
      </c>
      <c r="L142" s="12">
        <f t="shared" si="19"/>
        <v>1</v>
      </c>
      <c r="M142" s="12" t="str">
        <f>IF(Raw_Data!AK145="","",Raw_Data!AK145)</f>
        <v/>
      </c>
      <c r="N142" s="12" t="str">
        <f>IF(Raw_Data!T145="","",Raw_Data!T145)</f>
        <v/>
      </c>
      <c r="O142" s="12" t="str">
        <f>IF(Raw_Data!AB145&lt;&gt;"",Raw_Data!AB145,IF(N142="tres_insatisfait",1,IF(N142="insatisfait",2,IF(N142="neutre",3,IF(N142="satisfait",4,IF(N142="tres_satisfait",5,""))))))</f>
        <v/>
      </c>
      <c r="P142" s="12">
        <f>IF(Raw_Data!AL145&lt;&gt;"",Raw_Data!AL145,Raw_Data!R145)</f>
        <v>0</v>
      </c>
      <c r="Q142" s="12">
        <f t="shared" si="20"/>
        <v>0</v>
      </c>
      <c r="R142" s="12" t="str">
        <f>IF(Raw_Data!AM145="","",Raw_Data!AM145)</f>
        <v/>
      </c>
      <c r="S142" s="12" t="str">
        <f t="shared" si="21"/>
        <v/>
      </c>
      <c r="T142" s="12" t="str">
        <f>IF(Raw_Data!AN145="","",Raw_Data!AN145)</f>
        <v/>
      </c>
      <c r="U142" s="12" t="str">
        <f t="shared" si="22"/>
        <v/>
      </c>
      <c r="V142" s="12" t="str">
        <f>IF(Raw_Data!AP145="","",IF(Raw_Data!AP145="oui",1,0))</f>
        <v/>
      </c>
      <c r="W142" s="12" t="str">
        <f>IF(Raw_Data!AQ145="","",IF(Raw_Data!AQ145="oui",1,0))</f>
        <v/>
      </c>
      <c r="X142" s="12" t="str">
        <f>IF(Raw_Data!AR145="","",IF(Raw_Data!AR145="oui",1,0))</f>
        <v/>
      </c>
      <c r="Y142" s="12" t="str">
        <f>IF(Raw_Data!AS145="","",IF(Raw_Data!AS145="oui",1,0))</f>
        <v/>
      </c>
      <c r="Z142" s="12" t="str">
        <f>IF(Raw_Data!V145="","",IF(Raw_Data!V145="oui",1,0))</f>
        <v/>
      </c>
      <c r="AA142" s="12" t="str">
        <f>IF(Raw_Data!W145="","",IF(Raw_Data!W145="oui",1,0))</f>
        <v/>
      </c>
      <c r="AB142" s="12" t="str">
        <f>IF(Raw_Data!Q145="","",IF(Raw_Data!Q145="oui",1,0))</f>
        <v/>
      </c>
      <c r="AC142" s="12">
        <f>Raw_Data!AF145</f>
        <v>0</v>
      </c>
      <c r="AD142" s="12" t="str">
        <f t="shared" si="23"/>
        <v/>
      </c>
      <c r="AE142" s="12" t="str">
        <f t="shared" si="24"/>
        <v/>
      </c>
      <c r="AF142" s="12" t="str">
        <f t="shared" si="25"/>
        <v/>
      </c>
      <c r="AG142" s="12">
        <f t="shared" si="26"/>
        <v>0</v>
      </c>
    </row>
    <row r="143" spans="1:33" ht="15" customHeight="1" x14ac:dyDescent="0.25">
      <c r="A143" s="12" t="str">
        <f>IF(Raw_Data!B146="","",Raw_Data!B146)</f>
        <v/>
      </c>
      <c r="B143" s="12">
        <f>IF(Raw_Data!X146&lt;&gt;"",Raw_Data!X146,Raw_Data!C146)</f>
        <v>0</v>
      </c>
      <c r="C143" s="12" t="str">
        <f>IF(Raw_Data!G146="","",Raw_Data!G146)</f>
        <v/>
      </c>
      <c r="D143" s="12" t="str">
        <f>IF(Raw_Data!H146="","",Raw_Data!H146)</f>
        <v/>
      </c>
      <c r="E143" s="12" t="str">
        <f>IF(Raw_Data!I146="","",Raw_Data!I146)</f>
        <v/>
      </c>
      <c r="F143" s="12" t="str">
        <f>IF(Raw_Data!J146="","",Raw_Data!J146)</f>
        <v/>
      </c>
      <c r="G143" s="12" t="str">
        <f>IF(Raw_Data!AH146&lt;&gt;"",Raw_Data!AH146,IF(Raw_Data!K146&lt;&gt;"",Raw_Data!K146,""))</f>
        <v/>
      </c>
      <c r="H143" s="12" t="str">
        <f>IF(Raw_Data!AI146&lt;&gt;"",Raw_Data!AI146,IF(Raw_Data!L146&lt;&gt;"",Raw_Data!L146,""))</f>
        <v/>
      </c>
      <c r="I143" s="12" t="str">
        <f t="shared" si="18"/>
        <v/>
      </c>
      <c r="J143" s="12" t="str">
        <f>IF(Raw_Data!M146="","",Raw_Data!M146)</f>
        <v/>
      </c>
      <c r="K143" s="12">
        <f>IF(Raw_Data!AJ146&lt;&gt;"",Raw_Data!AJ146,Raw_Data!N146)</f>
        <v>0</v>
      </c>
      <c r="L143" s="12">
        <f t="shared" si="19"/>
        <v>1</v>
      </c>
      <c r="M143" s="12" t="str">
        <f>IF(Raw_Data!AK146="","",Raw_Data!AK146)</f>
        <v/>
      </c>
      <c r="N143" s="12" t="str">
        <f>IF(Raw_Data!T146="","",Raw_Data!T146)</f>
        <v/>
      </c>
      <c r="O143" s="12" t="str">
        <f>IF(Raw_Data!AB146&lt;&gt;"",Raw_Data!AB146,IF(N143="tres_insatisfait",1,IF(N143="insatisfait",2,IF(N143="neutre",3,IF(N143="satisfait",4,IF(N143="tres_satisfait",5,""))))))</f>
        <v/>
      </c>
      <c r="P143" s="12">
        <f>IF(Raw_Data!AL146&lt;&gt;"",Raw_Data!AL146,Raw_Data!R146)</f>
        <v>0</v>
      </c>
      <c r="Q143" s="12">
        <f t="shared" si="20"/>
        <v>0</v>
      </c>
      <c r="R143" s="12" t="str">
        <f>IF(Raw_Data!AM146="","",Raw_Data!AM146)</f>
        <v/>
      </c>
      <c r="S143" s="12" t="str">
        <f t="shared" si="21"/>
        <v/>
      </c>
      <c r="T143" s="12" t="str">
        <f>IF(Raw_Data!AN146="","",Raw_Data!AN146)</f>
        <v/>
      </c>
      <c r="U143" s="12" t="str">
        <f t="shared" si="22"/>
        <v/>
      </c>
      <c r="V143" s="12" t="str">
        <f>IF(Raw_Data!AP146="","",IF(Raw_Data!AP146="oui",1,0))</f>
        <v/>
      </c>
      <c r="W143" s="12" t="str">
        <f>IF(Raw_Data!AQ146="","",IF(Raw_Data!AQ146="oui",1,0))</f>
        <v/>
      </c>
      <c r="X143" s="12" t="str">
        <f>IF(Raw_Data!AR146="","",IF(Raw_Data!AR146="oui",1,0))</f>
        <v/>
      </c>
      <c r="Y143" s="12" t="str">
        <f>IF(Raw_Data!AS146="","",IF(Raw_Data!AS146="oui",1,0))</f>
        <v/>
      </c>
      <c r="Z143" s="12" t="str">
        <f>IF(Raw_Data!V146="","",IF(Raw_Data!V146="oui",1,0))</f>
        <v/>
      </c>
      <c r="AA143" s="12" t="str">
        <f>IF(Raw_Data!W146="","",IF(Raw_Data!W146="oui",1,0))</f>
        <v/>
      </c>
      <c r="AB143" s="12" t="str">
        <f>IF(Raw_Data!Q146="","",IF(Raw_Data!Q146="oui",1,0))</f>
        <v/>
      </c>
      <c r="AC143" s="12">
        <f>Raw_Data!AF146</f>
        <v>0</v>
      </c>
      <c r="AD143" s="12" t="str">
        <f t="shared" si="23"/>
        <v/>
      </c>
      <c r="AE143" s="12" t="str">
        <f t="shared" si="24"/>
        <v/>
      </c>
      <c r="AF143" s="12" t="str">
        <f t="shared" si="25"/>
        <v/>
      </c>
      <c r="AG143" s="12">
        <f t="shared" si="26"/>
        <v>0</v>
      </c>
    </row>
    <row r="144" spans="1:33" ht="15" customHeight="1" x14ac:dyDescent="0.25">
      <c r="A144" s="12" t="str">
        <f>IF(Raw_Data!B147="","",Raw_Data!B147)</f>
        <v/>
      </c>
      <c r="B144" s="12">
        <f>IF(Raw_Data!X147&lt;&gt;"",Raw_Data!X147,Raw_Data!C147)</f>
        <v>0</v>
      </c>
      <c r="C144" s="12" t="str">
        <f>IF(Raw_Data!G147="","",Raw_Data!G147)</f>
        <v/>
      </c>
      <c r="D144" s="12" t="str">
        <f>IF(Raw_Data!H147="","",Raw_Data!H147)</f>
        <v/>
      </c>
      <c r="E144" s="12" t="str">
        <f>IF(Raw_Data!I147="","",Raw_Data!I147)</f>
        <v/>
      </c>
      <c r="F144" s="12" t="str">
        <f>IF(Raw_Data!J147="","",Raw_Data!J147)</f>
        <v/>
      </c>
      <c r="G144" s="12" t="str">
        <f>IF(Raw_Data!AH147&lt;&gt;"",Raw_Data!AH147,IF(Raw_Data!K147&lt;&gt;"",Raw_Data!K147,""))</f>
        <v/>
      </c>
      <c r="H144" s="12" t="str">
        <f>IF(Raw_Data!AI147&lt;&gt;"",Raw_Data!AI147,IF(Raw_Data!L147&lt;&gt;"",Raw_Data!L147,""))</f>
        <v/>
      </c>
      <c r="I144" s="12" t="str">
        <f t="shared" si="18"/>
        <v/>
      </c>
      <c r="J144" s="12" t="str">
        <f>IF(Raw_Data!M147="","",Raw_Data!M147)</f>
        <v/>
      </c>
      <c r="K144" s="12">
        <f>IF(Raw_Data!AJ147&lt;&gt;"",Raw_Data!AJ147,Raw_Data!N147)</f>
        <v>0</v>
      </c>
      <c r="L144" s="12">
        <f t="shared" si="19"/>
        <v>1</v>
      </c>
      <c r="M144" s="12" t="str">
        <f>IF(Raw_Data!AK147="","",Raw_Data!AK147)</f>
        <v/>
      </c>
      <c r="N144" s="12" t="str">
        <f>IF(Raw_Data!T147="","",Raw_Data!T147)</f>
        <v/>
      </c>
      <c r="O144" s="12" t="str">
        <f>IF(Raw_Data!AB147&lt;&gt;"",Raw_Data!AB147,IF(N144="tres_insatisfait",1,IF(N144="insatisfait",2,IF(N144="neutre",3,IF(N144="satisfait",4,IF(N144="tres_satisfait",5,""))))))</f>
        <v/>
      </c>
      <c r="P144" s="12">
        <f>IF(Raw_Data!AL147&lt;&gt;"",Raw_Data!AL147,Raw_Data!R147)</f>
        <v>0</v>
      </c>
      <c r="Q144" s="12">
        <f t="shared" si="20"/>
        <v>0</v>
      </c>
      <c r="R144" s="12" t="str">
        <f>IF(Raw_Data!AM147="","",Raw_Data!AM147)</f>
        <v/>
      </c>
      <c r="S144" s="12" t="str">
        <f t="shared" si="21"/>
        <v/>
      </c>
      <c r="T144" s="12" t="str">
        <f>IF(Raw_Data!AN147="","",Raw_Data!AN147)</f>
        <v/>
      </c>
      <c r="U144" s="12" t="str">
        <f t="shared" si="22"/>
        <v/>
      </c>
      <c r="V144" s="12" t="str">
        <f>IF(Raw_Data!AP147="","",IF(Raw_Data!AP147="oui",1,0))</f>
        <v/>
      </c>
      <c r="W144" s="12" t="str">
        <f>IF(Raw_Data!AQ147="","",IF(Raw_Data!AQ147="oui",1,0))</f>
        <v/>
      </c>
      <c r="X144" s="12" t="str">
        <f>IF(Raw_Data!AR147="","",IF(Raw_Data!AR147="oui",1,0))</f>
        <v/>
      </c>
      <c r="Y144" s="12" t="str">
        <f>IF(Raw_Data!AS147="","",IF(Raw_Data!AS147="oui",1,0))</f>
        <v/>
      </c>
      <c r="Z144" s="12" t="str">
        <f>IF(Raw_Data!V147="","",IF(Raw_Data!V147="oui",1,0))</f>
        <v/>
      </c>
      <c r="AA144" s="12" t="str">
        <f>IF(Raw_Data!W147="","",IF(Raw_Data!W147="oui",1,0))</f>
        <v/>
      </c>
      <c r="AB144" s="12" t="str">
        <f>IF(Raw_Data!Q147="","",IF(Raw_Data!Q147="oui",1,0))</f>
        <v/>
      </c>
      <c r="AC144" s="12">
        <f>Raw_Data!AF147</f>
        <v>0</v>
      </c>
      <c r="AD144" s="12" t="str">
        <f t="shared" si="23"/>
        <v/>
      </c>
      <c r="AE144" s="12" t="str">
        <f t="shared" si="24"/>
        <v/>
      </c>
      <c r="AF144" s="12" t="str">
        <f t="shared" si="25"/>
        <v/>
      </c>
      <c r="AG144" s="12">
        <f t="shared" si="26"/>
        <v>0</v>
      </c>
    </row>
    <row r="145" spans="1:33" ht="15" customHeight="1" x14ac:dyDescent="0.25">
      <c r="A145" s="12" t="str">
        <f>IF(Raw_Data!B148="","",Raw_Data!B148)</f>
        <v/>
      </c>
      <c r="B145" s="12">
        <f>IF(Raw_Data!X148&lt;&gt;"",Raw_Data!X148,Raw_Data!C148)</f>
        <v>0</v>
      </c>
      <c r="C145" s="12" t="str">
        <f>IF(Raw_Data!G148="","",Raw_Data!G148)</f>
        <v/>
      </c>
      <c r="D145" s="12" t="str">
        <f>IF(Raw_Data!H148="","",Raw_Data!H148)</f>
        <v/>
      </c>
      <c r="E145" s="12" t="str">
        <f>IF(Raw_Data!I148="","",Raw_Data!I148)</f>
        <v/>
      </c>
      <c r="F145" s="12" t="str">
        <f>IF(Raw_Data!J148="","",Raw_Data!J148)</f>
        <v/>
      </c>
      <c r="G145" s="12" t="str">
        <f>IF(Raw_Data!AH148&lt;&gt;"",Raw_Data!AH148,IF(Raw_Data!K148&lt;&gt;"",Raw_Data!K148,""))</f>
        <v/>
      </c>
      <c r="H145" s="12" t="str">
        <f>IF(Raw_Data!AI148&lt;&gt;"",Raw_Data!AI148,IF(Raw_Data!L148&lt;&gt;"",Raw_Data!L148,""))</f>
        <v/>
      </c>
      <c r="I145" s="12" t="str">
        <f t="shared" si="18"/>
        <v/>
      </c>
      <c r="J145" s="12" t="str">
        <f>IF(Raw_Data!M148="","",Raw_Data!M148)</f>
        <v/>
      </c>
      <c r="K145" s="12">
        <f>IF(Raw_Data!AJ148&lt;&gt;"",Raw_Data!AJ148,Raw_Data!N148)</f>
        <v>0</v>
      </c>
      <c r="L145" s="12">
        <f t="shared" si="19"/>
        <v>1</v>
      </c>
      <c r="M145" s="12" t="str">
        <f>IF(Raw_Data!AK148="","",Raw_Data!AK148)</f>
        <v/>
      </c>
      <c r="N145" s="12" t="str">
        <f>IF(Raw_Data!T148="","",Raw_Data!T148)</f>
        <v/>
      </c>
      <c r="O145" s="12" t="str">
        <f>IF(Raw_Data!AB148&lt;&gt;"",Raw_Data!AB148,IF(N145="tres_insatisfait",1,IF(N145="insatisfait",2,IF(N145="neutre",3,IF(N145="satisfait",4,IF(N145="tres_satisfait",5,""))))))</f>
        <v/>
      </c>
      <c r="P145" s="12">
        <f>IF(Raw_Data!AL148&lt;&gt;"",Raw_Data!AL148,Raw_Data!R148)</f>
        <v>0</v>
      </c>
      <c r="Q145" s="12">
        <f t="shared" si="20"/>
        <v>0</v>
      </c>
      <c r="R145" s="12" t="str">
        <f>IF(Raw_Data!AM148="","",Raw_Data!AM148)</f>
        <v/>
      </c>
      <c r="S145" s="12" t="str">
        <f t="shared" si="21"/>
        <v/>
      </c>
      <c r="T145" s="12" t="str">
        <f>IF(Raw_Data!AN148="","",Raw_Data!AN148)</f>
        <v/>
      </c>
      <c r="U145" s="12" t="str">
        <f t="shared" si="22"/>
        <v/>
      </c>
      <c r="V145" s="12" t="str">
        <f>IF(Raw_Data!AP148="","",IF(Raw_Data!AP148="oui",1,0))</f>
        <v/>
      </c>
      <c r="W145" s="12" t="str">
        <f>IF(Raw_Data!AQ148="","",IF(Raw_Data!AQ148="oui",1,0))</f>
        <v/>
      </c>
      <c r="X145" s="12" t="str">
        <f>IF(Raw_Data!AR148="","",IF(Raw_Data!AR148="oui",1,0))</f>
        <v/>
      </c>
      <c r="Y145" s="12" t="str">
        <f>IF(Raw_Data!AS148="","",IF(Raw_Data!AS148="oui",1,0))</f>
        <v/>
      </c>
      <c r="Z145" s="12" t="str">
        <f>IF(Raw_Data!V148="","",IF(Raw_Data!V148="oui",1,0))</f>
        <v/>
      </c>
      <c r="AA145" s="12" t="str">
        <f>IF(Raw_Data!W148="","",IF(Raw_Data!W148="oui",1,0))</f>
        <v/>
      </c>
      <c r="AB145" s="12" t="str">
        <f>IF(Raw_Data!Q148="","",IF(Raw_Data!Q148="oui",1,0))</f>
        <v/>
      </c>
      <c r="AC145" s="12">
        <f>Raw_Data!AF148</f>
        <v>0</v>
      </c>
      <c r="AD145" s="12" t="str">
        <f t="shared" si="23"/>
        <v/>
      </c>
      <c r="AE145" s="12" t="str">
        <f t="shared" si="24"/>
        <v/>
      </c>
      <c r="AF145" s="12" t="str">
        <f t="shared" si="25"/>
        <v/>
      </c>
      <c r="AG145" s="12">
        <f t="shared" si="26"/>
        <v>0</v>
      </c>
    </row>
    <row r="146" spans="1:33" ht="15" customHeight="1" x14ac:dyDescent="0.25">
      <c r="A146" s="12" t="str">
        <f>IF(Raw_Data!B149="","",Raw_Data!B149)</f>
        <v/>
      </c>
      <c r="B146" s="12">
        <f>IF(Raw_Data!X149&lt;&gt;"",Raw_Data!X149,Raw_Data!C149)</f>
        <v>0</v>
      </c>
      <c r="C146" s="12" t="str">
        <f>IF(Raw_Data!G149="","",Raw_Data!G149)</f>
        <v/>
      </c>
      <c r="D146" s="12" t="str">
        <f>IF(Raw_Data!H149="","",Raw_Data!H149)</f>
        <v/>
      </c>
      <c r="E146" s="12" t="str">
        <f>IF(Raw_Data!I149="","",Raw_Data!I149)</f>
        <v/>
      </c>
      <c r="F146" s="12" t="str">
        <f>IF(Raw_Data!J149="","",Raw_Data!J149)</f>
        <v/>
      </c>
      <c r="G146" s="12" t="str">
        <f>IF(Raw_Data!AH149&lt;&gt;"",Raw_Data!AH149,IF(Raw_Data!K149&lt;&gt;"",Raw_Data!K149,""))</f>
        <v/>
      </c>
      <c r="H146" s="12" t="str">
        <f>IF(Raw_Data!AI149&lt;&gt;"",Raw_Data!AI149,IF(Raw_Data!L149&lt;&gt;"",Raw_Data!L149,""))</f>
        <v/>
      </c>
      <c r="I146" s="12" t="str">
        <f t="shared" si="18"/>
        <v/>
      </c>
      <c r="J146" s="12" t="str">
        <f>IF(Raw_Data!M149="","",Raw_Data!M149)</f>
        <v/>
      </c>
      <c r="K146" s="12">
        <f>IF(Raw_Data!AJ149&lt;&gt;"",Raw_Data!AJ149,Raw_Data!N149)</f>
        <v>0</v>
      </c>
      <c r="L146" s="12">
        <f t="shared" si="19"/>
        <v>1</v>
      </c>
      <c r="M146" s="12" t="str">
        <f>IF(Raw_Data!AK149="","",Raw_Data!AK149)</f>
        <v/>
      </c>
      <c r="N146" s="12" t="str">
        <f>IF(Raw_Data!T149="","",Raw_Data!T149)</f>
        <v/>
      </c>
      <c r="O146" s="12" t="str">
        <f>IF(Raw_Data!AB149&lt;&gt;"",Raw_Data!AB149,IF(N146="tres_insatisfait",1,IF(N146="insatisfait",2,IF(N146="neutre",3,IF(N146="satisfait",4,IF(N146="tres_satisfait",5,""))))))</f>
        <v/>
      </c>
      <c r="P146" s="12">
        <f>IF(Raw_Data!AL149&lt;&gt;"",Raw_Data!AL149,Raw_Data!R149)</f>
        <v>0</v>
      </c>
      <c r="Q146" s="12">
        <f t="shared" si="20"/>
        <v>0</v>
      </c>
      <c r="R146" s="12" t="str">
        <f>IF(Raw_Data!AM149="","",Raw_Data!AM149)</f>
        <v/>
      </c>
      <c r="S146" s="12" t="str">
        <f t="shared" si="21"/>
        <v/>
      </c>
      <c r="T146" s="12" t="str">
        <f>IF(Raw_Data!AN149="","",Raw_Data!AN149)</f>
        <v/>
      </c>
      <c r="U146" s="12" t="str">
        <f t="shared" si="22"/>
        <v/>
      </c>
      <c r="V146" s="12" t="str">
        <f>IF(Raw_Data!AP149="","",IF(Raw_Data!AP149="oui",1,0))</f>
        <v/>
      </c>
      <c r="W146" s="12" t="str">
        <f>IF(Raw_Data!AQ149="","",IF(Raw_Data!AQ149="oui",1,0))</f>
        <v/>
      </c>
      <c r="X146" s="12" t="str">
        <f>IF(Raw_Data!AR149="","",IF(Raw_Data!AR149="oui",1,0))</f>
        <v/>
      </c>
      <c r="Y146" s="12" t="str">
        <f>IF(Raw_Data!AS149="","",IF(Raw_Data!AS149="oui",1,0))</f>
        <v/>
      </c>
      <c r="Z146" s="12" t="str">
        <f>IF(Raw_Data!V149="","",IF(Raw_Data!V149="oui",1,0))</f>
        <v/>
      </c>
      <c r="AA146" s="12" t="str">
        <f>IF(Raw_Data!W149="","",IF(Raw_Data!W149="oui",1,0))</f>
        <v/>
      </c>
      <c r="AB146" s="12" t="str">
        <f>IF(Raw_Data!Q149="","",IF(Raw_Data!Q149="oui",1,0))</f>
        <v/>
      </c>
      <c r="AC146" s="12">
        <f>Raw_Data!AF149</f>
        <v>0</v>
      </c>
      <c r="AD146" s="12" t="str">
        <f t="shared" si="23"/>
        <v/>
      </c>
      <c r="AE146" s="12" t="str">
        <f t="shared" si="24"/>
        <v/>
      </c>
      <c r="AF146" s="12" t="str">
        <f t="shared" si="25"/>
        <v/>
      </c>
      <c r="AG146" s="12">
        <f t="shared" si="26"/>
        <v>0</v>
      </c>
    </row>
    <row r="147" spans="1:33" ht="15" customHeight="1" x14ac:dyDescent="0.25">
      <c r="A147" s="12" t="str">
        <f>IF(Raw_Data!B150="","",Raw_Data!B150)</f>
        <v/>
      </c>
      <c r="B147" s="12">
        <f>IF(Raw_Data!X150&lt;&gt;"",Raw_Data!X150,Raw_Data!C150)</f>
        <v>0</v>
      </c>
      <c r="C147" s="12" t="str">
        <f>IF(Raw_Data!G150="","",Raw_Data!G150)</f>
        <v/>
      </c>
      <c r="D147" s="12" t="str">
        <f>IF(Raw_Data!H150="","",Raw_Data!H150)</f>
        <v/>
      </c>
      <c r="E147" s="12" t="str">
        <f>IF(Raw_Data!I150="","",Raw_Data!I150)</f>
        <v/>
      </c>
      <c r="F147" s="12" t="str">
        <f>IF(Raw_Data!J150="","",Raw_Data!J150)</f>
        <v/>
      </c>
      <c r="G147" s="12" t="str">
        <f>IF(Raw_Data!AH150&lt;&gt;"",Raw_Data!AH150,IF(Raw_Data!K150&lt;&gt;"",Raw_Data!K150,""))</f>
        <v/>
      </c>
      <c r="H147" s="12" t="str">
        <f>IF(Raw_Data!AI150&lt;&gt;"",Raw_Data!AI150,IF(Raw_Data!L150&lt;&gt;"",Raw_Data!L150,""))</f>
        <v/>
      </c>
      <c r="I147" s="12" t="str">
        <f t="shared" si="18"/>
        <v/>
      </c>
      <c r="J147" s="12" t="str">
        <f>IF(Raw_Data!M150="","",Raw_Data!M150)</f>
        <v/>
      </c>
      <c r="K147" s="12">
        <f>IF(Raw_Data!AJ150&lt;&gt;"",Raw_Data!AJ150,Raw_Data!N150)</f>
        <v>0</v>
      </c>
      <c r="L147" s="12">
        <f t="shared" si="19"/>
        <v>1</v>
      </c>
      <c r="M147" s="12" t="str">
        <f>IF(Raw_Data!AK150="","",Raw_Data!AK150)</f>
        <v/>
      </c>
      <c r="N147" s="12" t="str">
        <f>IF(Raw_Data!T150="","",Raw_Data!T150)</f>
        <v/>
      </c>
      <c r="O147" s="12" t="str">
        <f>IF(Raw_Data!AB150&lt;&gt;"",Raw_Data!AB150,IF(N147="tres_insatisfait",1,IF(N147="insatisfait",2,IF(N147="neutre",3,IF(N147="satisfait",4,IF(N147="tres_satisfait",5,""))))))</f>
        <v/>
      </c>
      <c r="P147" s="12">
        <f>IF(Raw_Data!AL150&lt;&gt;"",Raw_Data!AL150,Raw_Data!R150)</f>
        <v>0</v>
      </c>
      <c r="Q147" s="12">
        <f t="shared" si="20"/>
        <v>0</v>
      </c>
      <c r="R147" s="12" t="str">
        <f>IF(Raw_Data!AM150="","",Raw_Data!AM150)</f>
        <v/>
      </c>
      <c r="S147" s="12" t="str">
        <f t="shared" si="21"/>
        <v/>
      </c>
      <c r="T147" s="12" t="str">
        <f>IF(Raw_Data!AN150="","",Raw_Data!AN150)</f>
        <v/>
      </c>
      <c r="U147" s="12" t="str">
        <f t="shared" si="22"/>
        <v/>
      </c>
      <c r="V147" s="12" t="str">
        <f>IF(Raw_Data!AP150="","",IF(Raw_Data!AP150="oui",1,0))</f>
        <v/>
      </c>
      <c r="W147" s="12" t="str">
        <f>IF(Raw_Data!AQ150="","",IF(Raw_Data!AQ150="oui",1,0))</f>
        <v/>
      </c>
      <c r="X147" s="12" t="str">
        <f>IF(Raw_Data!AR150="","",IF(Raw_Data!AR150="oui",1,0))</f>
        <v/>
      </c>
      <c r="Y147" s="12" t="str">
        <f>IF(Raw_Data!AS150="","",IF(Raw_Data!AS150="oui",1,0))</f>
        <v/>
      </c>
      <c r="Z147" s="12" t="str">
        <f>IF(Raw_Data!V150="","",IF(Raw_Data!V150="oui",1,0))</f>
        <v/>
      </c>
      <c r="AA147" s="12" t="str">
        <f>IF(Raw_Data!W150="","",IF(Raw_Data!W150="oui",1,0))</f>
        <v/>
      </c>
      <c r="AB147" s="12" t="str">
        <f>IF(Raw_Data!Q150="","",IF(Raw_Data!Q150="oui",1,0))</f>
        <v/>
      </c>
      <c r="AC147" s="12">
        <f>Raw_Data!AF150</f>
        <v>0</v>
      </c>
      <c r="AD147" s="12" t="str">
        <f t="shared" si="23"/>
        <v/>
      </c>
      <c r="AE147" s="12" t="str">
        <f t="shared" si="24"/>
        <v/>
      </c>
      <c r="AF147" s="12" t="str">
        <f t="shared" si="25"/>
        <v/>
      </c>
      <c r="AG147" s="12">
        <f t="shared" si="26"/>
        <v>0</v>
      </c>
    </row>
    <row r="148" spans="1:33" ht="15" customHeight="1" x14ac:dyDescent="0.25">
      <c r="A148" s="12" t="str">
        <f>IF(Raw_Data!B151="","",Raw_Data!B151)</f>
        <v/>
      </c>
      <c r="B148" s="12">
        <f>IF(Raw_Data!X151&lt;&gt;"",Raw_Data!X151,Raw_Data!C151)</f>
        <v>0</v>
      </c>
      <c r="C148" s="12" t="str">
        <f>IF(Raw_Data!G151="","",Raw_Data!G151)</f>
        <v/>
      </c>
      <c r="D148" s="12" t="str">
        <f>IF(Raw_Data!H151="","",Raw_Data!H151)</f>
        <v/>
      </c>
      <c r="E148" s="12" t="str">
        <f>IF(Raw_Data!I151="","",Raw_Data!I151)</f>
        <v/>
      </c>
      <c r="F148" s="12" t="str">
        <f>IF(Raw_Data!J151="","",Raw_Data!J151)</f>
        <v/>
      </c>
      <c r="G148" s="12" t="str">
        <f>IF(Raw_Data!AH151&lt;&gt;"",Raw_Data!AH151,IF(Raw_Data!K151&lt;&gt;"",Raw_Data!K151,""))</f>
        <v/>
      </c>
      <c r="H148" s="12" t="str">
        <f>IF(Raw_Data!AI151&lt;&gt;"",Raw_Data!AI151,IF(Raw_Data!L151&lt;&gt;"",Raw_Data!L151,""))</f>
        <v/>
      </c>
      <c r="I148" s="12" t="str">
        <f t="shared" si="18"/>
        <v/>
      </c>
      <c r="J148" s="12" t="str">
        <f>IF(Raw_Data!M151="","",Raw_Data!M151)</f>
        <v/>
      </c>
      <c r="K148" s="12">
        <f>IF(Raw_Data!AJ151&lt;&gt;"",Raw_Data!AJ151,Raw_Data!N151)</f>
        <v>0</v>
      </c>
      <c r="L148" s="12">
        <f t="shared" si="19"/>
        <v>1</v>
      </c>
      <c r="M148" s="12" t="str">
        <f>IF(Raw_Data!AK151="","",Raw_Data!AK151)</f>
        <v/>
      </c>
      <c r="N148" s="12" t="str">
        <f>IF(Raw_Data!T151="","",Raw_Data!T151)</f>
        <v/>
      </c>
      <c r="O148" s="12" t="str">
        <f>IF(Raw_Data!AB151&lt;&gt;"",Raw_Data!AB151,IF(N148="tres_insatisfait",1,IF(N148="insatisfait",2,IF(N148="neutre",3,IF(N148="satisfait",4,IF(N148="tres_satisfait",5,""))))))</f>
        <v/>
      </c>
      <c r="P148" s="12">
        <f>IF(Raw_Data!AL151&lt;&gt;"",Raw_Data!AL151,Raw_Data!R151)</f>
        <v>0</v>
      </c>
      <c r="Q148" s="12">
        <f t="shared" si="20"/>
        <v>0</v>
      </c>
      <c r="R148" s="12" t="str">
        <f>IF(Raw_Data!AM151="","",Raw_Data!AM151)</f>
        <v/>
      </c>
      <c r="S148" s="12" t="str">
        <f t="shared" si="21"/>
        <v/>
      </c>
      <c r="T148" s="12" t="str">
        <f>IF(Raw_Data!AN151="","",Raw_Data!AN151)</f>
        <v/>
      </c>
      <c r="U148" s="12" t="str">
        <f t="shared" si="22"/>
        <v/>
      </c>
      <c r="V148" s="12" t="str">
        <f>IF(Raw_Data!AP151="","",IF(Raw_Data!AP151="oui",1,0))</f>
        <v/>
      </c>
      <c r="W148" s="12" t="str">
        <f>IF(Raw_Data!AQ151="","",IF(Raw_Data!AQ151="oui",1,0))</f>
        <v/>
      </c>
      <c r="X148" s="12" t="str">
        <f>IF(Raw_Data!AR151="","",IF(Raw_Data!AR151="oui",1,0))</f>
        <v/>
      </c>
      <c r="Y148" s="12" t="str">
        <f>IF(Raw_Data!AS151="","",IF(Raw_Data!AS151="oui",1,0))</f>
        <v/>
      </c>
      <c r="Z148" s="12" t="str">
        <f>IF(Raw_Data!V151="","",IF(Raw_Data!V151="oui",1,0))</f>
        <v/>
      </c>
      <c r="AA148" s="12" t="str">
        <f>IF(Raw_Data!W151="","",IF(Raw_Data!W151="oui",1,0))</f>
        <v/>
      </c>
      <c r="AB148" s="12" t="str">
        <f>IF(Raw_Data!Q151="","",IF(Raw_Data!Q151="oui",1,0))</f>
        <v/>
      </c>
      <c r="AC148" s="12">
        <f>Raw_Data!AF151</f>
        <v>0</v>
      </c>
      <c r="AD148" s="12" t="str">
        <f t="shared" si="23"/>
        <v/>
      </c>
      <c r="AE148" s="12" t="str">
        <f t="shared" si="24"/>
        <v/>
      </c>
      <c r="AF148" s="12" t="str">
        <f t="shared" si="25"/>
        <v/>
      </c>
      <c r="AG148" s="12">
        <f t="shared" si="26"/>
        <v>0</v>
      </c>
    </row>
    <row r="149" spans="1:33" ht="15" customHeight="1" x14ac:dyDescent="0.25">
      <c r="A149" s="12" t="str">
        <f>IF(Raw_Data!B152="","",Raw_Data!B152)</f>
        <v/>
      </c>
      <c r="B149" s="12">
        <f>IF(Raw_Data!X152&lt;&gt;"",Raw_Data!X152,Raw_Data!C152)</f>
        <v>0</v>
      </c>
      <c r="C149" s="12" t="str">
        <f>IF(Raw_Data!G152="","",Raw_Data!G152)</f>
        <v/>
      </c>
      <c r="D149" s="12" t="str">
        <f>IF(Raw_Data!H152="","",Raw_Data!H152)</f>
        <v/>
      </c>
      <c r="E149" s="12" t="str">
        <f>IF(Raw_Data!I152="","",Raw_Data!I152)</f>
        <v/>
      </c>
      <c r="F149" s="12" t="str">
        <f>IF(Raw_Data!J152="","",Raw_Data!J152)</f>
        <v/>
      </c>
      <c r="G149" s="12" t="str">
        <f>IF(Raw_Data!AH152&lt;&gt;"",Raw_Data!AH152,IF(Raw_Data!K152&lt;&gt;"",Raw_Data!K152,""))</f>
        <v/>
      </c>
      <c r="H149" s="12" t="str">
        <f>IF(Raw_Data!AI152&lt;&gt;"",Raw_Data!AI152,IF(Raw_Data!L152&lt;&gt;"",Raw_Data!L152,""))</f>
        <v/>
      </c>
      <c r="I149" s="12" t="str">
        <f t="shared" si="18"/>
        <v/>
      </c>
      <c r="J149" s="12" t="str">
        <f>IF(Raw_Data!M152="","",Raw_Data!M152)</f>
        <v/>
      </c>
      <c r="K149" s="12">
        <f>IF(Raw_Data!AJ152&lt;&gt;"",Raw_Data!AJ152,Raw_Data!N152)</f>
        <v>0</v>
      </c>
      <c r="L149" s="12">
        <f t="shared" si="19"/>
        <v>1</v>
      </c>
      <c r="M149" s="12" t="str">
        <f>IF(Raw_Data!AK152="","",Raw_Data!AK152)</f>
        <v/>
      </c>
      <c r="N149" s="12" t="str">
        <f>IF(Raw_Data!T152="","",Raw_Data!T152)</f>
        <v/>
      </c>
      <c r="O149" s="12" t="str">
        <f>IF(Raw_Data!AB152&lt;&gt;"",Raw_Data!AB152,IF(N149="tres_insatisfait",1,IF(N149="insatisfait",2,IF(N149="neutre",3,IF(N149="satisfait",4,IF(N149="tres_satisfait",5,""))))))</f>
        <v/>
      </c>
      <c r="P149" s="12">
        <f>IF(Raw_Data!AL152&lt;&gt;"",Raw_Data!AL152,Raw_Data!R152)</f>
        <v>0</v>
      </c>
      <c r="Q149" s="12">
        <f t="shared" si="20"/>
        <v>0</v>
      </c>
      <c r="R149" s="12" t="str">
        <f>IF(Raw_Data!AM152="","",Raw_Data!AM152)</f>
        <v/>
      </c>
      <c r="S149" s="12" t="str">
        <f t="shared" si="21"/>
        <v/>
      </c>
      <c r="T149" s="12" t="str">
        <f>IF(Raw_Data!AN152="","",Raw_Data!AN152)</f>
        <v/>
      </c>
      <c r="U149" s="12" t="str">
        <f t="shared" si="22"/>
        <v/>
      </c>
      <c r="V149" s="12" t="str">
        <f>IF(Raw_Data!AP152="","",IF(Raw_Data!AP152="oui",1,0))</f>
        <v/>
      </c>
      <c r="W149" s="12" t="str">
        <f>IF(Raw_Data!AQ152="","",IF(Raw_Data!AQ152="oui",1,0))</f>
        <v/>
      </c>
      <c r="X149" s="12" t="str">
        <f>IF(Raw_Data!AR152="","",IF(Raw_Data!AR152="oui",1,0))</f>
        <v/>
      </c>
      <c r="Y149" s="12" t="str">
        <f>IF(Raw_Data!AS152="","",IF(Raw_Data!AS152="oui",1,0))</f>
        <v/>
      </c>
      <c r="Z149" s="12" t="str">
        <f>IF(Raw_Data!V152="","",IF(Raw_Data!V152="oui",1,0))</f>
        <v/>
      </c>
      <c r="AA149" s="12" t="str">
        <f>IF(Raw_Data!W152="","",IF(Raw_Data!W152="oui",1,0))</f>
        <v/>
      </c>
      <c r="AB149" s="12" t="str">
        <f>IF(Raw_Data!Q152="","",IF(Raw_Data!Q152="oui",1,0))</f>
        <v/>
      </c>
      <c r="AC149" s="12">
        <f>Raw_Data!AF152</f>
        <v>0</v>
      </c>
      <c r="AD149" s="12" t="str">
        <f t="shared" si="23"/>
        <v/>
      </c>
      <c r="AE149" s="12" t="str">
        <f t="shared" si="24"/>
        <v/>
      </c>
      <c r="AF149" s="12" t="str">
        <f t="shared" si="25"/>
        <v/>
      </c>
      <c r="AG149" s="12">
        <f t="shared" si="26"/>
        <v>0</v>
      </c>
    </row>
    <row r="150" spans="1:33" ht="15" customHeight="1" x14ac:dyDescent="0.25">
      <c r="A150" s="12" t="str">
        <f>IF(Raw_Data!B153="","",Raw_Data!B153)</f>
        <v/>
      </c>
      <c r="B150" s="12">
        <f>IF(Raw_Data!X153&lt;&gt;"",Raw_Data!X153,Raw_Data!C153)</f>
        <v>0</v>
      </c>
      <c r="C150" s="12" t="str">
        <f>IF(Raw_Data!G153="","",Raw_Data!G153)</f>
        <v/>
      </c>
      <c r="D150" s="12" t="str">
        <f>IF(Raw_Data!H153="","",Raw_Data!H153)</f>
        <v/>
      </c>
      <c r="E150" s="12" t="str">
        <f>IF(Raw_Data!I153="","",Raw_Data!I153)</f>
        <v/>
      </c>
      <c r="F150" s="12" t="str">
        <f>IF(Raw_Data!J153="","",Raw_Data!J153)</f>
        <v/>
      </c>
      <c r="G150" s="12" t="str">
        <f>IF(Raw_Data!AH153&lt;&gt;"",Raw_Data!AH153,IF(Raw_Data!K153&lt;&gt;"",Raw_Data!K153,""))</f>
        <v/>
      </c>
      <c r="H150" s="12" t="str">
        <f>IF(Raw_Data!AI153&lt;&gt;"",Raw_Data!AI153,IF(Raw_Data!L153&lt;&gt;"",Raw_Data!L153,""))</f>
        <v/>
      </c>
      <c r="I150" s="12" t="str">
        <f t="shared" si="18"/>
        <v/>
      </c>
      <c r="J150" s="12" t="str">
        <f>IF(Raw_Data!M153="","",Raw_Data!M153)</f>
        <v/>
      </c>
      <c r="K150" s="12">
        <f>IF(Raw_Data!AJ153&lt;&gt;"",Raw_Data!AJ153,Raw_Data!N153)</f>
        <v>0</v>
      </c>
      <c r="L150" s="12">
        <f t="shared" si="19"/>
        <v>1</v>
      </c>
      <c r="M150" s="12" t="str">
        <f>IF(Raw_Data!AK153="","",Raw_Data!AK153)</f>
        <v/>
      </c>
      <c r="N150" s="12" t="str">
        <f>IF(Raw_Data!T153="","",Raw_Data!T153)</f>
        <v/>
      </c>
      <c r="O150" s="12" t="str">
        <f>IF(Raw_Data!AB153&lt;&gt;"",Raw_Data!AB153,IF(N150="tres_insatisfait",1,IF(N150="insatisfait",2,IF(N150="neutre",3,IF(N150="satisfait",4,IF(N150="tres_satisfait",5,""))))))</f>
        <v/>
      </c>
      <c r="P150" s="12">
        <f>IF(Raw_Data!AL153&lt;&gt;"",Raw_Data!AL153,Raw_Data!R153)</f>
        <v>0</v>
      </c>
      <c r="Q150" s="12">
        <f t="shared" si="20"/>
        <v>0</v>
      </c>
      <c r="R150" s="12" t="str">
        <f>IF(Raw_Data!AM153="","",Raw_Data!AM153)</f>
        <v/>
      </c>
      <c r="S150" s="12" t="str">
        <f t="shared" si="21"/>
        <v/>
      </c>
      <c r="T150" s="12" t="str">
        <f>IF(Raw_Data!AN153="","",Raw_Data!AN153)</f>
        <v/>
      </c>
      <c r="U150" s="12" t="str">
        <f t="shared" si="22"/>
        <v/>
      </c>
      <c r="V150" s="12" t="str">
        <f>IF(Raw_Data!AP153="","",IF(Raw_Data!AP153="oui",1,0))</f>
        <v/>
      </c>
      <c r="W150" s="12" t="str">
        <f>IF(Raw_Data!AQ153="","",IF(Raw_Data!AQ153="oui",1,0))</f>
        <v/>
      </c>
      <c r="X150" s="12" t="str">
        <f>IF(Raw_Data!AR153="","",IF(Raw_Data!AR153="oui",1,0))</f>
        <v/>
      </c>
      <c r="Y150" s="12" t="str">
        <f>IF(Raw_Data!AS153="","",IF(Raw_Data!AS153="oui",1,0))</f>
        <v/>
      </c>
      <c r="Z150" s="12" t="str">
        <f>IF(Raw_Data!V153="","",IF(Raw_Data!V153="oui",1,0))</f>
        <v/>
      </c>
      <c r="AA150" s="12" t="str">
        <f>IF(Raw_Data!W153="","",IF(Raw_Data!W153="oui",1,0))</f>
        <v/>
      </c>
      <c r="AB150" s="12" t="str">
        <f>IF(Raw_Data!Q153="","",IF(Raw_Data!Q153="oui",1,0))</f>
        <v/>
      </c>
      <c r="AC150" s="12">
        <f>Raw_Data!AF153</f>
        <v>0</v>
      </c>
      <c r="AD150" s="12" t="str">
        <f t="shared" si="23"/>
        <v/>
      </c>
      <c r="AE150" s="12" t="str">
        <f t="shared" si="24"/>
        <v/>
      </c>
      <c r="AF150" s="12" t="str">
        <f t="shared" si="25"/>
        <v/>
      </c>
      <c r="AG150" s="12">
        <f t="shared" si="26"/>
        <v>0</v>
      </c>
    </row>
    <row r="151" spans="1:33" ht="15" customHeight="1" x14ac:dyDescent="0.25">
      <c r="A151" s="12" t="str">
        <f>IF(Raw_Data!B154="","",Raw_Data!B154)</f>
        <v/>
      </c>
      <c r="B151" s="12">
        <f>IF(Raw_Data!X154&lt;&gt;"",Raw_Data!X154,Raw_Data!C154)</f>
        <v>0</v>
      </c>
      <c r="C151" s="12" t="str">
        <f>IF(Raw_Data!G154="","",Raw_Data!G154)</f>
        <v/>
      </c>
      <c r="D151" s="12" t="str">
        <f>IF(Raw_Data!H154="","",Raw_Data!H154)</f>
        <v/>
      </c>
      <c r="E151" s="12" t="str">
        <f>IF(Raw_Data!I154="","",Raw_Data!I154)</f>
        <v/>
      </c>
      <c r="F151" s="12" t="str">
        <f>IF(Raw_Data!J154="","",Raw_Data!J154)</f>
        <v/>
      </c>
      <c r="G151" s="12" t="str">
        <f>IF(Raw_Data!AH154&lt;&gt;"",Raw_Data!AH154,IF(Raw_Data!K154&lt;&gt;"",Raw_Data!K154,""))</f>
        <v/>
      </c>
      <c r="H151" s="12" t="str">
        <f>IF(Raw_Data!AI154&lt;&gt;"",Raw_Data!AI154,IF(Raw_Data!L154&lt;&gt;"",Raw_Data!L154,""))</f>
        <v/>
      </c>
      <c r="I151" s="12" t="str">
        <f t="shared" si="18"/>
        <v/>
      </c>
      <c r="J151" s="12" t="str">
        <f>IF(Raw_Data!M154="","",Raw_Data!M154)</f>
        <v/>
      </c>
      <c r="K151" s="12">
        <f>IF(Raw_Data!AJ154&lt;&gt;"",Raw_Data!AJ154,Raw_Data!N154)</f>
        <v>0</v>
      </c>
      <c r="L151" s="12">
        <f t="shared" si="19"/>
        <v>1</v>
      </c>
      <c r="M151" s="12" t="str">
        <f>IF(Raw_Data!AK154="","",Raw_Data!AK154)</f>
        <v/>
      </c>
      <c r="N151" s="12" t="str">
        <f>IF(Raw_Data!T154="","",Raw_Data!T154)</f>
        <v/>
      </c>
      <c r="O151" s="12" t="str">
        <f>IF(Raw_Data!AB154&lt;&gt;"",Raw_Data!AB154,IF(N151="tres_insatisfait",1,IF(N151="insatisfait",2,IF(N151="neutre",3,IF(N151="satisfait",4,IF(N151="tres_satisfait",5,""))))))</f>
        <v/>
      </c>
      <c r="P151" s="12">
        <f>IF(Raw_Data!AL154&lt;&gt;"",Raw_Data!AL154,Raw_Data!R154)</f>
        <v>0</v>
      </c>
      <c r="Q151" s="12">
        <f t="shared" si="20"/>
        <v>0</v>
      </c>
      <c r="R151" s="12" t="str">
        <f>IF(Raw_Data!AM154="","",Raw_Data!AM154)</f>
        <v/>
      </c>
      <c r="S151" s="12" t="str">
        <f t="shared" si="21"/>
        <v/>
      </c>
      <c r="T151" s="12" t="str">
        <f>IF(Raw_Data!AN154="","",Raw_Data!AN154)</f>
        <v/>
      </c>
      <c r="U151" s="12" t="str">
        <f t="shared" si="22"/>
        <v/>
      </c>
      <c r="V151" s="12" t="str">
        <f>IF(Raw_Data!AP154="","",IF(Raw_Data!AP154="oui",1,0))</f>
        <v/>
      </c>
      <c r="W151" s="12" t="str">
        <f>IF(Raw_Data!AQ154="","",IF(Raw_Data!AQ154="oui",1,0))</f>
        <v/>
      </c>
      <c r="X151" s="12" t="str">
        <f>IF(Raw_Data!AR154="","",IF(Raw_Data!AR154="oui",1,0))</f>
        <v/>
      </c>
      <c r="Y151" s="12" t="str">
        <f>IF(Raw_Data!AS154="","",IF(Raw_Data!AS154="oui",1,0))</f>
        <v/>
      </c>
      <c r="Z151" s="12" t="str">
        <f>IF(Raw_Data!V154="","",IF(Raw_Data!V154="oui",1,0))</f>
        <v/>
      </c>
      <c r="AA151" s="12" t="str">
        <f>IF(Raw_Data!W154="","",IF(Raw_Data!W154="oui",1,0))</f>
        <v/>
      </c>
      <c r="AB151" s="12" t="str">
        <f>IF(Raw_Data!Q154="","",IF(Raw_Data!Q154="oui",1,0))</f>
        <v/>
      </c>
      <c r="AC151" s="12">
        <f>Raw_Data!AF154</f>
        <v>0</v>
      </c>
      <c r="AD151" s="12" t="str">
        <f t="shared" si="23"/>
        <v/>
      </c>
      <c r="AE151" s="12" t="str">
        <f t="shared" si="24"/>
        <v/>
      </c>
      <c r="AF151" s="12" t="str">
        <f t="shared" si="25"/>
        <v/>
      </c>
      <c r="AG151" s="12">
        <f t="shared" si="26"/>
        <v>0</v>
      </c>
    </row>
    <row r="152" spans="1:33" ht="15" customHeight="1" x14ac:dyDescent="0.25">
      <c r="A152" s="12" t="str">
        <f>IF(Raw_Data!B155="","",Raw_Data!B155)</f>
        <v/>
      </c>
      <c r="B152" s="12">
        <f>IF(Raw_Data!X155&lt;&gt;"",Raw_Data!X155,Raw_Data!C155)</f>
        <v>0</v>
      </c>
      <c r="C152" s="12" t="str">
        <f>IF(Raw_Data!G155="","",Raw_Data!G155)</f>
        <v/>
      </c>
      <c r="D152" s="12" t="str">
        <f>IF(Raw_Data!H155="","",Raw_Data!H155)</f>
        <v/>
      </c>
      <c r="E152" s="12" t="str">
        <f>IF(Raw_Data!I155="","",Raw_Data!I155)</f>
        <v/>
      </c>
      <c r="F152" s="12" t="str">
        <f>IF(Raw_Data!J155="","",Raw_Data!J155)</f>
        <v/>
      </c>
      <c r="G152" s="12" t="str">
        <f>IF(Raw_Data!AH155&lt;&gt;"",Raw_Data!AH155,IF(Raw_Data!K155&lt;&gt;"",Raw_Data!K155,""))</f>
        <v/>
      </c>
      <c r="H152" s="12" t="str">
        <f>IF(Raw_Data!AI155&lt;&gt;"",Raw_Data!AI155,IF(Raw_Data!L155&lt;&gt;"",Raw_Data!L155,""))</f>
        <v/>
      </c>
      <c r="I152" s="12" t="str">
        <f t="shared" si="18"/>
        <v/>
      </c>
      <c r="J152" s="12" t="str">
        <f>IF(Raw_Data!M155="","",Raw_Data!M155)</f>
        <v/>
      </c>
      <c r="K152" s="12">
        <f>IF(Raw_Data!AJ155&lt;&gt;"",Raw_Data!AJ155,Raw_Data!N155)</f>
        <v>0</v>
      </c>
      <c r="L152" s="12">
        <f t="shared" si="19"/>
        <v>1</v>
      </c>
      <c r="M152" s="12" t="str">
        <f>IF(Raw_Data!AK155="","",Raw_Data!AK155)</f>
        <v/>
      </c>
      <c r="N152" s="12" t="str">
        <f>IF(Raw_Data!T155="","",Raw_Data!T155)</f>
        <v/>
      </c>
      <c r="O152" s="12" t="str">
        <f>IF(Raw_Data!AB155&lt;&gt;"",Raw_Data!AB155,IF(N152="tres_insatisfait",1,IF(N152="insatisfait",2,IF(N152="neutre",3,IF(N152="satisfait",4,IF(N152="tres_satisfait",5,""))))))</f>
        <v/>
      </c>
      <c r="P152" s="12">
        <f>IF(Raw_Data!AL155&lt;&gt;"",Raw_Data!AL155,Raw_Data!R155)</f>
        <v>0</v>
      </c>
      <c r="Q152" s="12">
        <f t="shared" si="20"/>
        <v>0</v>
      </c>
      <c r="R152" s="12" t="str">
        <f>IF(Raw_Data!AM155="","",Raw_Data!AM155)</f>
        <v/>
      </c>
      <c r="S152" s="12" t="str">
        <f t="shared" si="21"/>
        <v/>
      </c>
      <c r="T152" s="12" t="str">
        <f>IF(Raw_Data!AN155="","",Raw_Data!AN155)</f>
        <v/>
      </c>
      <c r="U152" s="12" t="str">
        <f t="shared" si="22"/>
        <v/>
      </c>
      <c r="V152" s="12" t="str">
        <f>IF(Raw_Data!AP155="","",IF(Raw_Data!AP155="oui",1,0))</f>
        <v/>
      </c>
      <c r="W152" s="12" t="str">
        <f>IF(Raw_Data!AQ155="","",IF(Raw_Data!AQ155="oui",1,0))</f>
        <v/>
      </c>
      <c r="X152" s="12" t="str">
        <f>IF(Raw_Data!AR155="","",IF(Raw_Data!AR155="oui",1,0))</f>
        <v/>
      </c>
      <c r="Y152" s="12" t="str">
        <f>IF(Raw_Data!AS155="","",IF(Raw_Data!AS155="oui",1,0))</f>
        <v/>
      </c>
      <c r="Z152" s="12" t="str">
        <f>IF(Raw_Data!V155="","",IF(Raw_Data!V155="oui",1,0))</f>
        <v/>
      </c>
      <c r="AA152" s="12" t="str">
        <f>IF(Raw_Data!W155="","",IF(Raw_Data!W155="oui",1,0))</f>
        <v/>
      </c>
      <c r="AB152" s="12" t="str">
        <f>IF(Raw_Data!Q155="","",IF(Raw_Data!Q155="oui",1,0))</f>
        <v/>
      </c>
      <c r="AC152" s="12">
        <f>Raw_Data!AF155</f>
        <v>0</v>
      </c>
      <c r="AD152" s="12" t="str">
        <f t="shared" si="23"/>
        <v/>
      </c>
      <c r="AE152" s="12" t="str">
        <f t="shared" si="24"/>
        <v/>
      </c>
      <c r="AF152" s="12" t="str">
        <f t="shared" si="25"/>
        <v/>
      </c>
      <c r="AG152" s="12">
        <f t="shared" si="26"/>
        <v>0</v>
      </c>
    </row>
    <row r="153" spans="1:33" ht="15" customHeight="1" x14ac:dyDescent="0.25">
      <c r="A153" s="12" t="str">
        <f>IF(Raw_Data!B156="","",Raw_Data!B156)</f>
        <v/>
      </c>
      <c r="B153" s="12">
        <f>IF(Raw_Data!X156&lt;&gt;"",Raw_Data!X156,Raw_Data!C156)</f>
        <v>0</v>
      </c>
      <c r="C153" s="12" t="str">
        <f>IF(Raw_Data!G156="","",Raw_Data!G156)</f>
        <v/>
      </c>
      <c r="D153" s="12" t="str">
        <f>IF(Raw_Data!H156="","",Raw_Data!H156)</f>
        <v/>
      </c>
      <c r="E153" s="12" t="str">
        <f>IF(Raw_Data!I156="","",Raw_Data!I156)</f>
        <v/>
      </c>
      <c r="F153" s="12" t="str">
        <f>IF(Raw_Data!J156="","",Raw_Data!J156)</f>
        <v/>
      </c>
      <c r="G153" s="12" t="str">
        <f>IF(Raw_Data!AH156&lt;&gt;"",Raw_Data!AH156,IF(Raw_Data!K156&lt;&gt;"",Raw_Data!K156,""))</f>
        <v/>
      </c>
      <c r="H153" s="12" t="str">
        <f>IF(Raw_Data!AI156&lt;&gt;"",Raw_Data!AI156,IF(Raw_Data!L156&lt;&gt;"",Raw_Data!L156,""))</f>
        <v/>
      </c>
      <c r="I153" s="12" t="str">
        <f t="shared" si="18"/>
        <v/>
      </c>
      <c r="J153" s="12" t="str">
        <f>IF(Raw_Data!M156="","",Raw_Data!M156)</f>
        <v/>
      </c>
      <c r="K153" s="12">
        <f>IF(Raw_Data!AJ156&lt;&gt;"",Raw_Data!AJ156,Raw_Data!N156)</f>
        <v>0</v>
      </c>
      <c r="L153" s="12">
        <f t="shared" si="19"/>
        <v>1</v>
      </c>
      <c r="M153" s="12" t="str">
        <f>IF(Raw_Data!AK156="","",Raw_Data!AK156)</f>
        <v/>
      </c>
      <c r="N153" s="12" t="str">
        <f>IF(Raw_Data!T156="","",Raw_Data!T156)</f>
        <v/>
      </c>
      <c r="O153" s="12" t="str">
        <f>IF(Raw_Data!AB156&lt;&gt;"",Raw_Data!AB156,IF(N153="tres_insatisfait",1,IF(N153="insatisfait",2,IF(N153="neutre",3,IF(N153="satisfait",4,IF(N153="tres_satisfait",5,""))))))</f>
        <v/>
      </c>
      <c r="P153" s="12">
        <f>IF(Raw_Data!AL156&lt;&gt;"",Raw_Data!AL156,Raw_Data!R156)</f>
        <v>0</v>
      </c>
      <c r="Q153" s="12">
        <f t="shared" si="20"/>
        <v>0</v>
      </c>
      <c r="R153" s="12" t="str">
        <f>IF(Raw_Data!AM156="","",Raw_Data!AM156)</f>
        <v/>
      </c>
      <c r="S153" s="12" t="str">
        <f t="shared" si="21"/>
        <v/>
      </c>
      <c r="T153" s="12" t="str">
        <f>IF(Raw_Data!AN156="","",Raw_Data!AN156)</f>
        <v/>
      </c>
      <c r="U153" s="12" t="str">
        <f t="shared" si="22"/>
        <v/>
      </c>
      <c r="V153" s="12" t="str">
        <f>IF(Raw_Data!AP156="","",IF(Raw_Data!AP156="oui",1,0))</f>
        <v/>
      </c>
      <c r="W153" s="12" t="str">
        <f>IF(Raw_Data!AQ156="","",IF(Raw_Data!AQ156="oui",1,0))</f>
        <v/>
      </c>
      <c r="X153" s="12" t="str">
        <f>IF(Raw_Data!AR156="","",IF(Raw_Data!AR156="oui",1,0))</f>
        <v/>
      </c>
      <c r="Y153" s="12" t="str">
        <f>IF(Raw_Data!AS156="","",IF(Raw_Data!AS156="oui",1,0))</f>
        <v/>
      </c>
      <c r="Z153" s="12" t="str">
        <f>IF(Raw_Data!V156="","",IF(Raw_Data!V156="oui",1,0))</f>
        <v/>
      </c>
      <c r="AA153" s="12" t="str">
        <f>IF(Raw_Data!W156="","",IF(Raw_Data!W156="oui",1,0))</f>
        <v/>
      </c>
      <c r="AB153" s="12" t="str">
        <f>IF(Raw_Data!Q156="","",IF(Raw_Data!Q156="oui",1,0))</f>
        <v/>
      </c>
      <c r="AC153" s="12">
        <f>Raw_Data!AF156</f>
        <v>0</v>
      </c>
      <c r="AD153" s="12" t="str">
        <f t="shared" si="23"/>
        <v/>
      </c>
      <c r="AE153" s="12" t="str">
        <f t="shared" si="24"/>
        <v/>
      </c>
      <c r="AF153" s="12" t="str">
        <f t="shared" si="25"/>
        <v/>
      </c>
      <c r="AG153" s="12">
        <f t="shared" si="26"/>
        <v>0</v>
      </c>
    </row>
    <row r="154" spans="1:33" ht="15" customHeight="1" x14ac:dyDescent="0.25">
      <c r="A154" s="12" t="str">
        <f>IF(Raw_Data!B157="","",Raw_Data!B157)</f>
        <v/>
      </c>
      <c r="B154" s="12">
        <f>IF(Raw_Data!X157&lt;&gt;"",Raw_Data!X157,Raw_Data!C157)</f>
        <v>0</v>
      </c>
      <c r="C154" s="12" t="str">
        <f>IF(Raw_Data!G157="","",Raw_Data!G157)</f>
        <v/>
      </c>
      <c r="D154" s="12" t="str">
        <f>IF(Raw_Data!H157="","",Raw_Data!H157)</f>
        <v/>
      </c>
      <c r="E154" s="12" t="str">
        <f>IF(Raw_Data!I157="","",Raw_Data!I157)</f>
        <v/>
      </c>
      <c r="F154" s="12" t="str">
        <f>IF(Raw_Data!J157="","",Raw_Data!J157)</f>
        <v/>
      </c>
      <c r="G154" s="12" t="str">
        <f>IF(Raw_Data!AH157&lt;&gt;"",Raw_Data!AH157,IF(Raw_Data!K157&lt;&gt;"",Raw_Data!K157,""))</f>
        <v/>
      </c>
      <c r="H154" s="12" t="str">
        <f>IF(Raw_Data!AI157&lt;&gt;"",Raw_Data!AI157,IF(Raw_Data!L157&lt;&gt;"",Raw_Data!L157,""))</f>
        <v/>
      </c>
      <c r="I154" s="12" t="str">
        <f t="shared" si="18"/>
        <v/>
      </c>
      <c r="J154" s="12" t="str">
        <f>IF(Raw_Data!M157="","",Raw_Data!M157)</f>
        <v/>
      </c>
      <c r="K154" s="12">
        <f>IF(Raw_Data!AJ157&lt;&gt;"",Raw_Data!AJ157,Raw_Data!N157)</f>
        <v>0</v>
      </c>
      <c r="L154" s="12">
        <f t="shared" si="19"/>
        <v>1</v>
      </c>
      <c r="M154" s="12" t="str">
        <f>IF(Raw_Data!AK157="","",Raw_Data!AK157)</f>
        <v/>
      </c>
      <c r="N154" s="12" t="str">
        <f>IF(Raw_Data!T157="","",Raw_Data!T157)</f>
        <v/>
      </c>
      <c r="O154" s="12" t="str">
        <f>IF(Raw_Data!AB157&lt;&gt;"",Raw_Data!AB157,IF(N154="tres_insatisfait",1,IF(N154="insatisfait",2,IF(N154="neutre",3,IF(N154="satisfait",4,IF(N154="tres_satisfait",5,""))))))</f>
        <v/>
      </c>
      <c r="P154" s="12">
        <f>IF(Raw_Data!AL157&lt;&gt;"",Raw_Data!AL157,Raw_Data!R157)</f>
        <v>0</v>
      </c>
      <c r="Q154" s="12">
        <f t="shared" si="20"/>
        <v>0</v>
      </c>
      <c r="R154" s="12" t="str">
        <f>IF(Raw_Data!AM157="","",Raw_Data!AM157)</f>
        <v/>
      </c>
      <c r="S154" s="12" t="str">
        <f t="shared" si="21"/>
        <v/>
      </c>
      <c r="T154" s="12" t="str">
        <f>IF(Raw_Data!AN157="","",Raw_Data!AN157)</f>
        <v/>
      </c>
      <c r="U154" s="12" t="str">
        <f t="shared" si="22"/>
        <v/>
      </c>
      <c r="V154" s="12" t="str">
        <f>IF(Raw_Data!AP157="","",IF(Raw_Data!AP157="oui",1,0))</f>
        <v/>
      </c>
      <c r="W154" s="12" t="str">
        <f>IF(Raw_Data!AQ157="","",IF(Raw_Data!AQ157="oui",1,0))</f>
        <v/>
      </c>
      <c r="X154" s="12" t="str">
        <f>IF(Raw_Data!AR157="","",IF(Raw_Data!AR157="oui",1,0))</f>
        <v/>
      </c>
      <c r="Y154" s="12" t="str">
        <f>IF(Raw_Data!AS157="","",IF(Raw_Data!AS157="oui",1,0))</f>
        <v/>
      </c>
      <c r="Z154" s="12" t="str">
        <f>IF(Raw_Data!V157="","",IF(Raw_Data!V157="oui",1,0))</f>
        <v/>
      </c>
      <c r="AA154" s="12" t="str">
        <f>IF(Raw_Data!W157="","",IF(Raw_Data!W157="oui",1,0))</f>
        <v/>
      </c>
      <c r="AB154" s="12" t="str">
        <f>IF(Raw_Data!Q157="","",IF(Raw_Data!Q157="oui",1,0))</f>
        <v/>
      </c>
      <c r="AC154" s="12">
        <f>Raw_Data!AF157</f>
        <v>0</v>
      </c>
      <c r="AD154" s="12" t="str">
        <f t="shared" si="23"/>
        <v/>
      </c>
      <c r="AE154" s="12" t="str">
        <f t="shared" si="24"/>
        <v/>
      </c>
      <c r="AF154" s="12" t="str">
        <f t="shared" si="25"/>
        <v/>
      </c>
      <c r="AG154" s="12">
        <f t="shared" si="26"/>
        <v>0</v>
      </c>
    </row>
    <row r="155" spans="1:33" ht="15" customHeight="1" x14ac:dyDescent="0.25">
      <c r="A155" s="12" t="str">
        <f>IF(Raw_Data!B158="","",Raw_Data!B158)</f>
        <v/>
      </c>
      <c r="B155" s="12">
        <f>IF(Raw_Data!X158&lt;&gt;"",Raw_Data!X158,Raw_Data!C158)</f>
        <v>0</v>
      </c>
      <c r="C155" s="12" t="str">
        <f>IF(Raw_Data!G158="","",Raw_Data!G158)</f>
        <v/>
      </c>
      <c r="D155" s="12" t="str">
        <f>IF(Raw_Data!H158="","",Raw_Data!H158)</f>
        <v/>
      </c>
      <c r="E155" s="12" t="str">
        <f>IF(Raw_Data!I158="","",Raw_Data!I158)</f>
        <v/>
      </c>
      <c r="F155" s="12" t="str">
        <f>IF(Raw_Data!J158="","",Raw_Data!J158)</f>
        <v/>
      </c>
      <c r="G155" s="12" t="str">
        <f>IF(Raw_Data!AH158&lt;&gt;"",Raw_Data!AH158,IF(Raw_Data!K158&lt;&gt;"",Raw_Data!K158,""))</f>
        <v/>
      </c>
      <c r="H155" s="12" t="str">
        <f>IF(Raw_Data!AI158&lt;&gt;"",Raw_Data!AI158,IF(Raw_Data!L158&lt;&gt;"",Raw_Data!L158,""))</f>
        <v/>
      </c>
      <c r="I155" s="12" t="str">
        <f t="shared" si="18"/>
        <v/>
      </c>
      <c r="J155" s="12" t="str">
        <f>IF(Raw_Data!M158="","",Raw_Data!M158)</f>
        <v/>
      </c>
      <c r="K155" s="12">
        <f>IF(Raw_Data!AJ158&lt;&gt;"",Raw_Data!AJ158,Raw_Data!N158)</f>
        <v>0</v>
      </c>
      <c r="L155" s="12">
        <f t="shared" si="19"/>
        <v>1</v>
      </c>
      <c r="M155" s="12" t="str">
        <f>IF(Raw_Data!AK158="","",Raw_Data!AK158)</f>
        <v/>
      </c>
      <c r="N155" s="12" t="str">
        <f>IF(Raw_Data!T158="","",Raw_Data!T158)</f>
        <v/>
      </c>
      <c r="O155" s="12" t="str">
        <f>IF(Raw_Data!AB158&lt;&gt;"",Raw_Data!AB158,IF(N155="tres_insatisfait",1,IF(N155="insatisfait",2,IF(N155="neutre",3,IF(N155="satisfait",4,IF(N155="tres_satisfait",5,""))))))</f>
        <v/>
      </c>
      <c r="P155" s="12">
        <f>IF(Raw_Data!AL158&lt;&gt;"",Raw_Data!AL158,Raw_Data!R158)</f>
        <v>0</v>
      </c>
      <c r="Q155" s="12">
        <f t="shared" si="20"/>
        <v>0</v>
      </c>
      <c r="R155" s="12" t="str">
        <f>IF(Raw_Data!AM158="","",Raw_Data!AM158)</f>
        <v/>
      </c>
      <c r="S155" s="12" t="str">
        <f t="shared" si="21"/>
        <v/>
      </c>
      <c r="T155" s="12" t="str">
        <f>IF(Raw_Data!AN158="","",Raw_Data!AN158)</f>
        <v/>
      </c>
      <c r="U155" s="12" t="str">
        <f t="shared" si="22"/>
        <v/>
      </c>
      <c r="V155" s="12" t="str">
        <f>IF(Raw_Data!AP158="","",IF(Raw_Data!AP158="oui",1,0))</f>
        <v/>
      </c>
      <c r="W155" s="12" t="str">
        <f>IF(Raw_Data!AQ158="","",IF(Raw_Data!AQ158="oui",1,0))</f>
        <v/>
      </c>
      <c r="X155" s="12" t="str">
        <f>IF(Raw_Data!AR158="","",IF(Raw_Data!AR158="oui",1,0))</f>
        <v/>
      </c>
      <c r="Y155" s="12" t="str">
        <f>IF(Raw_Data!AS158="","",IF(Raw_Data!AS158="oui",1,0))</f>
        <v/>
      </c>
      <c r="Z155" s="12" t="str">
        <f>IF(Raw_Data!V158="","",IF(Raw_Data!V158="oui",1,0))</f>
        <v/>
      </c>
      <c r="AA155" s="12" t="str">
        <f>IF(Raw_Data!W158="","",IF(Raw_Data!W158="oui",1,0))</f>
        <v/>
      </c>
      <c r="AB155" s="12" t="str">
        <f>IF(Raw_Data!Q158="","",IF(Raw_Data!Q158="oui",1,0))</f>
        <v/>
      </c>
      <c r="AC155" s="12">
        <f>Raw_Data!AF158</f>
        <v>0</v>
      </c>
      <c r="AD155" s="12" t="str">
        <f t="shared" si="23"/>
        <v/>
      </c>
      <c r="AE155" s="12" t="str">
        <f t="shared" si="24"/>
        <v/>
      </c>
      <c r="AF155" s="12" t="str">
        <f t="shared" si="25"/>
        <v/>
      </c>
      <c r="AG155" s="12">
        <f t="shared" si="26"/>
        <v>0</v>
      </c>
    </row>
    <row r="156" spans="1:33" ht="15" customHeight="1" x14ac:dyDescent="0.25">
      <c r="A156" s="12" t="str">
        <f>IF(Raw_Data!B159="","",Raw_Data!B159)</f>
        <v/>
      </c>
      <c r="B156" s="12">
        <f>IF(Raw_Data!X159&lt;&gt;"",Raw_Data!X159,Raw_Data!C159)</f>
        <v>0</v>
      </c>
      <c r="C156" s="12" t="str">
        <f>IF(Raw_Data!G159="","",Raw_Data!G159)</f>
        <v/>
      </c>
      <c r="D156" s="12" t="str">
        <f>IF(Raw_Data!H159="","",Raw_Data!H159)</f>
        <v/>
      </c>
      <c r="E156" s="12" t="str">
        <f>IF(Raw_Data!I159="","",Raw_Data!I159)</f>
        <v/>
      </c>
      <c r="F156" s="12" t="str">
        <f>IF(Raw_Data!J159="","",Raw_Data!J159)</f>
        <v/>
      </c>
      <c r="G156" s="12" t="str">
        <f>IF(Raw_Data!AH159&lt;&gt;"",Raw_Data!AH159,IF(Raw_Data!K159&lt;&gt;"",Raw_Data!K159,""))</f>
        <v/>
      </c>
      <c r="H156" s="12" t="str">
        <f>IF(Raw_Data!AI159&lt;&gt;"",Raw_Data!AI159,IF(Raw_Data!L159&lt;&gt;"",Raw_Data!L159,""))</f>
        <v/>
      </c>
      <c r="I156" s="12" t="str">
        <f t="shared" si="18"/>
        <v/>
      </c>
      <c r="J156" s="12" t="str">
        <f>IF(Raw_Data!M159="","",Raw_Data!M159)</f>
        <v/>
      </c>
      <c r="K156" s="12">
        <f>IF(Raw_Data!AJ159&lt;&gt;"",Raw_Data!AJ159,Raw_Data!N159)</f>
        <v>0</v>
      </c>
      <c r="L156" s="12">
        <f t="shared" si="19"/>
        <v>1</v>
      </c>
      <c r="M156" s="12" t="str">
        <f>IF(Raw_Data!AK159="","",Raw_Data!AK159)</f>
        <v/>
      </c>
      <c r="N156" s="12" t="str">
        <f>IF(Raw_Data!T159="","",Raw_Data!T159)</f>
        <v/>
      </c>
      <c r="O156" s="12" t="str">
        <f>IF(Raw_Data!AB159&lt;&gt;"",Raw_Data!AB159,IF(N156="tres_insatisfait",1,IF(N156="insatisfait",2,IF(N156="neutre",3,IF(N156="satisfait",4,IF(N156="tres_satisfait",5,""))))))</f>
        <v/>
      </c>
      <c r="P156" s="12">
        <f>IF(Raw_Data!AL159&lt;&gt;"",Raw_Data!AL159,Raw_Data!R159)</f>
        <v>0</v>
      </c>
      <c r="Q156" s="12">
        <f t="shared" si="20"/>
        <v>0</v>
      </c>
      <c r="R156" s="12" t="str">
        <f>IF(Raw_Data!AM159="","",Raw_Data!AM159)</f>
        <v/>
      </c>
      <c r="S156" s="12" t="str">
        <f t="shared" si="21"/>
        <v/>
      </c>
      <c r="T156" s="12" t="str">
        <f>IF(Raw_Data!AN159="","",Raw_Data!AN159)</f>
        <v/>
      </c>
      <c r="U156" s="12" t="str">
        <f t="shared" si="22"/>
        <v/>
      </c>
      <c r="V156" s="12" t="str">
        <f>IF(Raw_Data!AP159="","",IF(Raw_Data!AP159="oui",1,0))</f>
        <v/>
      </c>
      <c r="W156" s="12" t="str">
        <f>IF(Raw_Data!AQ159="","",IF(Raw_Data!AQ159="oui",1,0))</f>
        <v/>
      </c>
      <c r="X156" s="12" t="str">
        <f>IF(Raw_Data!AR159="","",IF(Raw_Data!AR159="oui",1,0))</f>
        <v/>
      </c>
      <c r="Y156" s="12" t="str">
        <f>IF(Raw_Data!AS159="","",IF(Raw_Data!AS159="oui",1,0))</f>
        <v/>
      </c>
      <c r="Z156" s="12" t="str">
        <f>IF(Raw_Data!V159="","",IF(Raw_Data!V159="oui",1,0))</f>
        <v/>
      </c>
      <c r="AA156" s="12" t="str">
        <f>IF(Raw_Data!W159="","",IF(Raw_Data!W159="oui",1,0))</f>
        <v/>
      </c>
      <c r="AB156" s="12" t="str">
        <f>IF(Raw_Data!Q159="","",IF(Raw_Data!Q159="oui",1,0))</f>
        <v/>
      </c>
      <c r="AC156" s="12">
        <f>Raw_Data!AF159</f>
        <v>0</v>
      </c>
      <c r="AD156" s="12" t="str">
        <f t="shared" si="23"/>
        <v/>
      </c>
      <c r="AE156" s="12" t="str">
        <f t="shared" si="24"/>
        <v/>
      </c>
      <c r="AF156" s="12" t="str">
        <f t="shared" si="25"/>
        <v/>
      </c>
      <c r="AG156" s="12">
        <f t="shared" si="26"/>
        <v>0</v>
      </c>
    </row>
    <row r="157" spans="1:33" ht="15" customHeight="1" x14ac:dyDescent="0.25">
      <c r="A157" s="12" t="str">
        <f>IF(Raw_Data!B160="","",Raw_Data!B160)</f>
        <v/>
      </c>
      <c r="B157" s="12">
        <f>IF(Raw_Data!X160&lt;&gt;"",Raw_Data!X160,Raw_Data!C160)</f>
        <v>0</v>
      </c>
      <c r="C157" s="12" t="str">
        <f>IF(Raw_Data!G160="","",Raw_Data!G160)</f>
        <v/>
      </c>
      <c r="D157" s="12" t="str">
        <f>IF(Raw_Data!H160="","",Raw_Data!H160)</f>
        <v/>
      </c>
      <c r="E157" s="12" t="str">
        <f>IF(Raw_Data!I160="","",Raw_Data!I160)</f>
        <v/>
      </c>
      <c r="F157" s="12" t="str">
        <f>IF(Raw_Data!J160="","",Raw_Data!J160)</f>
        <v/>
      </c>
      <c r="G157" s="12" t="str">
        <f>IF(Raw_Data!AH160&lt;&gt;"",Raw_Data!AH160,IF(Raw_Data!K160&lt;&gt;"",Raw_Data!K160,""))</f>
        <v/>
      </c>
      <c r="H157" s="12" t="str">
        <f>IF(Raw_Data!AI160&lt;&gt;"",Raw_Data!AI160,IF(Raw_Data!L160&lt;&gt;"",Raw_Data!L160,""))</f>
        <v/>
      </c>
      <c r="I157" s="12" t="str">
        <f t="shared" si="18"/>
        <v/>
      </c>
      <c r="J157" s="12" t="str">
        <f>IF(Raw_Data!M160="","",Raw_Data!M160)</f>
        <v/>
      </c>
      <c r="K157" s="12">
        <f>IF(Raw_Data!AJ160&lt;&gt;"",Raw_Data!AJ160,Raw_Data!N160)</f>
        <v>0</v>
      </c>
      <c r="L157" s="12">
        <f t="shared" si="19"/>
        <v>1</v>
      </c>
      <c r="M157" s="12" t="str">
        <f>IF(Raw_Data!AK160="","",Raw_Data!AK160)</f>
        <v/>
      </c>
      <c r="N157" s="12" t="str">
        <f>IF(Raw_Data!T160="","",Raw_Data!T160)</f>
        <v/>
      </c>
      <c r="O157" s="12" t="str">
        <f>IF(Raw_Data!AB160&lt;&gt;"",Raw_Data!AB160,IF(N157="tres_insatisfait",1,IF(N157="insatisfait",2,IF(N157="neutre",3,IF(N157="satisfait",4,IF(N157="tres_satisfait",5,""))))))</f>
        <v/>
      </c>
      <c r="P157" s="12">
        <f>IF(Raw_Data!AL160&lt;&gt;"",Raw_Data!AL160,Raw_Data!R160)</f>
        <v>0</v>
      </c>
      <c r="Q157" s="12">
        <f t="shared" si="20"/>
        <v>0</v>
      </c>
      <c r="R157" s="12" t="str">
        <f>IF(Raw_Data!AM160="","",Raw_Data!AM160)</f>
        <v/>
      </c>
      <c r="S157" s="12" t="str">
        <f t="shared" si="21"/>
        <v/>
      </c>
      <c r="T157" s="12" t="str">
        <f>IF(Raw_Data!AN160="","",Raw_Data!AN160)</f>
        <v/>
      </c>
      <c r="U157" s="12" t="str">
        <f t="shared" si="22"/>
        <v/>
      </c>
      <c r="V157" s="12" t="str">
        <f>IF(Raw_Data!AP160="","",IF(Raw_Data!AP160="oui",1,0))</f>
        <v/>
      </c>
      <c r="W157" s="12" t="str">
        <f>IF(Raw_Data!AQ160="","",IF(Raw_Data!AQ160="oui",1,0))</f>
        <v/>
      </c>
      <c r="X157" s="12" t="str">
        <f>IF(Raw_Data!AR160="","",IF(Raw_Data!AR160="oui",1,0))</f>
        <v/>
      </c>
      <c r="Y157" s="12" t="str">
        <f>IF(Raw_Data!AS160="","",IF(Raw_Data!AS160="oui",1,0))</f>
        <v/>
      </c>
      <c r="Z157" s="12" t="str">
        <f>IF(Raw_Data!V160="","",IF(Raw_Data!V160="oui",1,0))</f>
        <v/>
      </c>
      <c r="AA157" s="12" t="str">
        <f>IF(Raw_Data!W160="","",IF(Raw_Data!W160="oui",1,0))</f>
        <v/>
      </c>
      <c r="AB157" s="12" t="str">
        <f>IF(Raw_Data!Q160="","",IF(Raw_Data!Q160="oui",1,0))</f>
        <v/>
      </c>
      <c r="AC157" s="12">
        <f>Raw_Data!AF160</f>
        <v>0</v>
      </c>
      <c r="AD157" s="12" t="str">
        <f t="shared" si="23"/>
        <v/>
      </c>
      <c r="AE157" s="12" t="str">
        <f t="shared" si="24"/>
        <v/>
      </c>
      <c r="AF157" s="12" t="str">
        <f t="shared" si="25"/>
        <v/>
      </c>
      <c r="AG157" s="12">
        <f t="shared" si="26"/>
        <v>0</v>
      </c>
    </row>
    <row r="158" spans="1:33" ht="15" customHeight="1" x14ac:dyDescent="0.25">
      <c r="A158" s="12" t="str">
        <f>IF(Raw_Data!B161="","",Raw_Data!B161)</f>
        <v/>
      </c>
      <c r="B158" s="12">
        <f>IF(Raw_Data!X161&lt;&gt;"",Raw_Data!X161,Raw_Data!C161)</f>
        <v>0</v>
      </c>
      <c r="C158" s="12" t="str">
        <f>IF(Raw_Data!G161="","",Raw_Data!G161)</f>
        <v/>
      </c>
      <c r="D158" s="12" t="str">
        <f>IF(Raw_Data!H161="","",Raw_Data!H161)</f>
        <v/>
      </c>
      <c r="E158" s="12" t="str">
        <f>IF(Raw_Data!I161="","",Raw_Data!I161)</f>
        <v/>
      </c>
      <c r="F158" s="12" t="str">
        <f>IF(Raw_Data!J161="","",Raw_Data!J161)</f>
        <v/>
      </c>
      <c r="G158" s="12" t="str">
        <f>IF(Raw_Data!AH161&lt;&gt;"",Raw_Data!AH161,IF(Raw_Data!K161&lt;&gt;"",Raw_Data!K161,""))</f>
        <v/>
      </c>
      <c r="H158" s="12" t="str">
        <f>IF(Raw_Data!AI161&lt;&gt;"",Raw_Data!AI161,IF(Raw_Data!L161&lt;&gt;"",Raw_Data!L161,""))</f>
        <v/>
      </c>
      <c r="I158" s="12" t="str">
        <f t="shared" si="18"/>
        <v/>
      </c>
      <c r="J158" s="12" t="str">
        <f>IF(Raw_Data!M161="","",Raw_Data!M161)</f>
        <v/>
      </c>
      <c r="K158" s="12">
        <f>IF(Raw_Data!AJ161&lt;&gt;"",Raw_Data!AJ161,Raw_Data!N161)</f>
        <v>0</v>
      </c>
      <c r="L158" s="12">
        <f t="shared" si="19"/>
        <v>1</v>
      </c>
      <c r="M158" s="12" t="str">
        <f>IF(Raw_Data!AK161="","",Raw_Data!AK161)</f>
        <v/>
      </c>
      <c r="N158" s="12" t="str">
        <f>IF(Raw_Data!T161="","",Raw_Data!T161)</f>
        <v/>
      </c>
      <c r="O158" s="12" t="str">
        <f>IF(Raw_Data!AB161&lt;&gt;"",Raw_Data!AB161,IF(N158="tres_insatisfait",1,IF(N158="insatisfait",2,IF(N158="neutre",3,IF(N158="satisfait",4,IF(N158="tres_satisfait",5,""))))))</f>
        <v/>
      </c>
      <c r="P158" s="12">
        <f>IF(Raw_Data!AL161&lt;&gt;"",Raw_Data!AL161,Raw_Data!R161)</f>
        <v>0</v>
      </c>
      <c r="Q158" s="12">
        <f t="shared" si="20"/>
        <v>0</v>
      </c>
      <c r="R158" s="12" t="str">
        <f>IF(Raw_Data!AM161="","",Raw_Data!AM161)</f>
        <v/>
      </c>
      <c r="S158" s="12" t="str">
        <f t="shared" si="21"/>
        <v/>
      </c>
      <c r="T158" s="12" t="str">
        <f>IF(Raw_Data!AN161="","",Raw_Data!AN161)</f>
        <v/>
      </c>
      <c r="U158" s="12" t="str">
        <f t="shared" si="22"/>
        <v/>
      </c>
      <c r="V158" s="12" t="str">
        <f>IF(Raw_Data!AP161="","",IF(Raw_Data!AP161="oui",1,0))</f>
        <v/>
      </c>
      <c r="W158" s="12" t="str">
        <f>IF(Raw_Data!AQ161="","",IF(Raw_Data!AQ161="oui",1,0))</f>
        <v/>
      </c>
      <c r="X158" s="12" t="str">
        <f>IF(Raw_Data!AR161="","",IF(Raw_Data!AR161="oui",1,0))</f>
        <v/>
      </c>
      <c r="Y158" s="12" t="str">
        <f>IF(Raw_Data!AS161="","",IF(Raw_Data!AS161="oui",1,0))</f>
        <v/>
      </c>
      <c r="Z158" s="12" t="str">
        <f>IF(Raw_Data!V161="","",IF(Raw_Data!V161="oui",1,0))</f>
        <v/>
      </c>
      <c r="AA158" s="12" t="str">
        <f>IF(Raw_Data!W161="","",IF(Raw_Data!W161="oui",1,0))</f>
        <v/>
      </c>
      <c r="AB158" s="12" t="str">
        <f>IF(Raw_Data!Q161="","",IF(Raw_Data!Q161="oui",1,0))</f>
        <v/>
      </c>
      <c r="AC158" s="12">
        <f>Raw_Data!AF161</f>
        <v>0</v>
      </c>
      <c r="AD158" s="12" t="str">
        <f t="shared" si="23"/>
        <v/>
      </c>
      <c r="AE158" s="12" t="str">
        <f t="shared" si="24"/>
        <v/>
      </c>
      <c r="AF158" s="12" t="str">
        <f t="shared" si="25"/>
        <v/>
      </c>
      <c r="AG158" s="12">
        <f t="shared" si="26"/>
        <v>0</v>
      </c>
    </row>
    <row r="159" spans="1:33" ht="15" customHeight="1" x14ac:dyDescent="0.25">
      <c r="A159" s="12" t="str">
        <f>IF(Raw_Data!B162="","",Raw_Data!B162)</f>
        <v/>
      </c>
      <c r="B159" s="12">
        <f>IF(Raw_Data!X162&lt;&gt;"",Raw_Data!X162,Raw_Data!C162)</f>
        <v>0</v>
      </c>
      <c r="C159" s="12" t="str">
        <f>IF(Raw_Data!G162="","",Raw_Data!G162)</f>
        <v/>
      </c>
      <c r="D159" s="12" t="str">
        <f>IF(Raw_Data!H162="","",Raw_Data!H162)</f>
        <v/>
      </c>
      <c r="E159" s="12" t="str">
        <f>IF(Raw_Data!I162="","",Raw_Data!I162)</f>
        <v/>
      </c>
      <c r="F159" s="12" t="str">
        <f>IF(Raw_Data!J162="","",Raw_Data!J162)</f>
        <v/>
      </c>
      <c r="G159" s="12" t="str">
        <f>IF(Raw_Data!AH162&lt;&gt;"",Raw_Data!AH162,IF(Raw_Data!K162&lt;&gt;"",Raw_Data!K162,""))</f>
        <v/>
      </c>
      <c r="H159" s="12" t="str">
        <f>IF(Raw_Data!AI162&lt;&gt;"",Raw_Data!AI162,IF(Raw_Data!L162&lt;&gt;"",Raw_Data!L162,""))</f>
        <v/>
      </c>
      <c r="I159" s="12" t="str">
        <f t="shared" si="18"/>
        <v/>
      </c>
      <c r="J159" s="12" t="str">
        <f>IF(Raw_Data!M162="","",Raw_Data!M162)</f>
        <v/>
      </c>
      <c r="K159" s="12">
        <f>IF(Raw_Data!AJ162&lt;&gt;"",Raw_Data!AJ162,Raw_Data!N162)</f>
        <v>0</v>
      </c>
      <c r="L159" s="12">
        <f t="shared" si="19"/>
        <v>1</v>
      </c>
      <c r="M159" s="12" t="str">
        <f>IF(Raw_Data!AK162="","",Raw_Data!AK162)</f>
        <v/>
      </c>
      <c r="N159" s="12" t="str">
        <f>IF(Raw_Data!T162="","",Raw_Data!T162)</f>
        <v/>
      </c>
      <c r="O159" s="12" t="str">
        <f>IF(Raw_Data!AB162&lt;&gt;"",Raw_Data!AB162,IF(N159="tres_insatisfait",1,IF(N159="insatisfait",2,IF(N159="neutre",3,IF(N159="satisfait",4,IF(N159="tres_satisfait",5,""))))))</f>
        <v/>
      </c>
      <c r="P159" s="12">
        <f>IF(Raw_Data!AL162&lt;&gt;"",Raw_Data!AL162,Raw_Data!R162)</f>
        <v>0</v>
      </c>
      <c r="Q159" s="12">
        <f t="shared" si="20"/>
        <v>0</v>
      </c>
      <c r="R159" s="12" t="str">
        <f>IF(Raw_Data!AM162="","",Raw_Data!AM162)</f>
        <v/>
      </c>
      <c r="S159" s="12" t="str">
        <f t="shared" si="21"/>
        <v/>
      </c>
      <c r="T159" s="12" t="str">
        <f>IF(Raw_Data!AN162="","",Raw_Data!AN162)</f>
        <v/>
      </c>
      <c r="U159" s="12" t="str">
        <f t="shared" si="22"/>
        <v/>
      </c>
      <c r="V159" s="12" t="str">
        <f>IF(Raw_Data!AP162="","",IF(Raw_Data!AP162="oui",1,0))</f>
        <v/>
      </c>
      <c r="W159" s="12" t="str">
        <f>IF(Raw_Data!AQ162="","",IF(Raw_Data!AQ162="oui",1,0))</f>
        <v/>
      </c>
      <c r="X159" s="12" t="str">
        <f>IF(Raw_Data!AR162="","",IF(Raw_Data!AR162="oui",1,0))</f>
        <v/>
      </c>
      <c r="Y159" s="12" t="str">
        <f>IF(Raw_Data!AS162="","",IF(Raw_Data!AS162="oui",1,0))</f>
        <v/>
      </c>
      <c r="Z159" s="12" t="str">
        <f>IF(Raw_Data!V162="","",IF(Raw_Data!V162="oui",1,0))</f>
        <v/>
      </c>
      <c r="AA159" s="12" t="str">
        <f>IF(Raw_Data!W162="","",IF(Raw_Data!W162="oui",1,0))</f>
        <v/>
      </c>
      <c r="AB159" s="12" t="str">
        <f>IF(Raw_Data!Q162="","",IF(Raw_Data!Q162="oui",1,0))</f>
        <v/>
      </c>
      <c r="AC159" s="12">
        <f>Raw_Data!AF162</f>
        <v>0</v>
      </c>
      <c r="AD159" s="12" t="str">
        <f t="shared" si="23"/>
        <v/>
      </c>
      <c r="AE159" s="12" t="str">
        <f t="shared" si="24"/>
        <v/>
      </c>
      <c r="AF159" s="12" t="str">
        <f t="shared" si="25"/>
        <v/>
      </c>
      <c r="AG159" s="12">
        <f t="shared" si="26"/>
        <v>0</v>
      </c>
    </row>
    <row r="160" spans="1:33" ht="15" customHeight="1" x14ac:dyDescent="0.25">
      <c r="A160" s="12" t="str">
        <f>IF(Raw_Data!B163="","",Raw_Data!B163)</f>
        <v/>
      </c>
      <c r="B160" s="12">
        <f>IF(Raw_Data!X163&lt;&gt;"",Raw_Data!X163,Raw_Data!C163)</f>
        <v>0</v>
      </c>
      <c r="C160" s="12" t="str">
        <f>IF(Raw_Data!G163="","",Raw_Data!G163)</f>
        <v/>
      </c>
      <c r="D160" s="12" t="str">
        <f>IF(Raw_Data!H163="","",Raw_Data!H163)</f>
        <v/>
      </c>
      <c r="E160" s="12" t="str">
        <f>IF(Raw_Data!I163="","",Raw_Data!I163)</f>
        <v/>
      </c>
      <c r="F160" s="12" t="str">
        <f>IF(Raw_Data!J163="","",Raw_Data!J163)</f>
        <v/>
      </c>
      <c r="G160" s="12" t="str">
        <f>IF(Raw_Data!AH163&lt;&gt;"",Raw_Data!AH163,IF(Raw_Data!K163&lt;&gt;"",Raw_Data!K163,""))</f>
        <v/>
      </c>
      <c r="H160" s="12" t="str">
        <f>IF(Raw_Data!AI163&lt;&gt;"",Raw_Data!AI163,IF(Raw_Data!L163&lt;&gt;"",Raw_Data!L163,""))</f>
        <v/>
      </c>
      <c r="I160" s="12" t="str">
        <f t="shared" si="18"/>
        <v/>
      </c>
      <c r="J160" s="12" t="str">
        <f>IF(Raw_Data!M163="","",Raw_Data!M163)</f>
        <v/>
      </c>
      <c r="K160" s="12">
        <f>IF(Raw_Data!AJ163&lt;&gt;"",Raw_Data!AJ163,Raw_Data!N163)</f>
        <v>0</v>
      </c>
      <c r="L160" s="12">
        <f t="shared" si="19"/>
        <v>1</v>
      </c>
      <c r="M160" s="12" t="str">
        <f>IF(Raw_Data!AK163="","",Raw_Data!AK163)</f>
        <v/>
      </c>
      <c r="N160" s="12" t="str">
        <f>IF(Raw_Data!T163="","",Raw_Data!T163)</f>
        <v/>
      </c>
      <c r="O160" s="12" t="str">
        <f>IF(Raw_Data!AB163&lt;&gt;"",Raw_Data!AB163,IF(N160="tres_insatisfait",1,IF(N160="insatisfait",2,IF(N160="neutre",3,IF(N160="satisfait",4,IF(N160="tres_satisfait",5,""))))))</f>
        <v/>
      </c>
      <c r="P160" s="12">
        <f>IF(Raw_Data!AL163&lt;&gt;"",Raw_Data!AL163,Raw_Data!R163)</f>
        <v>0</v>
      </c>
      <c r="Q160" s="12">
        <f t="shared" si="20"/>
        <v>0</v>
      </c>
      <c r="R160" s="12" t="str">
        <f>IF(Raw_Data!AM163="","",Raw_Data!AM163)</f>
        <v/>
      </c>
      <c r="S160" s="12" t="str">
        <f t="shared" si="21"/>
        <v/>
      </c>
      <c r="T160" s="12" t="str">
        <f>IF(Raw_Data!AN163="","",Raw_Data!AN163)</f>
        <v/>
      </c>
      <c r="U160" s="12" t="str">
        <f t="shared" si="22"/>
        <v/>
      </c>
      <c r="V160" s="12" t="str">
        <f>IF(Raw_Data!AP163="","",IF(Raw_Data!AP163="oui",1,0))</f>
        <v/>
      </c>
      <c r="W160" s="12" t="str">
        <f>IF(Raw_Data!AQ163="","",IF(Raw_Data!AQ163="oui",1,0))</f>
        <v/>
      </c>
      <c r="X160" s="12" t="str">
        <f>IF(Raw_Data!AR163="","",IF(Raw_Data!AR163="oui",1,0))</f>
        <v/>
      </c>
      <c r="Y160" s="12" t="str">
        <f>IF(Raw_Data!AS163="","",IF(Raw_Data!AS163="oui",1,0))</f>
        <v/>
      </c>
      <c r="Z160" s="12" t="str">
        <f>IF(Raw_Data!V163="","",IF(Raw_Data!V163="oui",1,0))</f>
        <v/>
      </c>
      <c r="AA160" s="12" t="str">
        <f>IF(Raw_Data!W163="","",IF(Raw_Data!W163="oui",1,0))</f>
        <v/>
      </c>
      <c r="AB160" s="12" t="str">
        <f>IF(Raw_Data!Q163="","",IF(Raw_Data!Q163="oui",1,0))</f>
        <v/>
      </c>
      <c r="AC160" s="12">
        <f>Raw_Data!AF163</f>
        <v>0</v>
      </c>
      <c r="AD160" s="12" t="str">
        <f t="shared" si="23"/>
        <v/>
      </c>
      <c r="AE160" s="12" t="str">
        <f t="shared" si="24"/>
        <v/>
      </c>
      <c r="AF160" s="12" t="str">
        <f t="shared" si="25"/>
        <v/>
      </c>
      <c r="AG160" s="12">
        <f t="shared" si="26"/>
        <v>0</v>
      </c>
    </row>
    <row r="161" spans="1:33" ht="15" customHeight="1" x14ac:dyDescent="0.25">
      <c r="A161" s="12" t="str">
        <f>IF(Raw_Data!B164="","",Raw_Data!B164)</f>
        <v/>
      </c>
      <c r="B161" s="12">
        <f>IF(Raw_Data!X164&lt;&gt;"",Raw_Data!X164,Raw_Data!C164)</f>
        <v>0</v>
      </c>
      <c r="C161" s="12" t="str">
        <f>IF(Raw_Data!G164="","",Raw_Data!G164)</f>
        <v/>
      </c>
      <c r="D161" s="12" t="str">
        <f>IF(Raw_Data!H164="","",Raw_Data!H164)</f>
        <v/>
      </c>
      <c r="E161" s="12" t="str">
        <f>IF(Raw_Data!I164="","",Raw_Data!I164)</f>
        <v/>
      </c>
      <c r="F161" s="12" t="str">
        <f>IF(Raw_Data!J164="","",Raw_Data!J164)</f>
        <v/>
      </c>
      <c r="G161" s="12" t="str">
        <f>IF(Raw_Data!AH164&lt;&gt;"",Raw_Data!AH164,IF(Raw_Data!K164&lt;&gt;"",Raw_Data!K164,""))</f>
        <v/>
      </c>
      <c r="H161" s="12" t="str">
        <f>IF(Raw_Data!AI164&lt;&gt;"",Raw_Data!AI164,IF(Raw_Data!L164&lt;&gt;"",Raw_Data!L164,""))</f>
        <v/>
      </c>
      <c r="I161" s="12" t="str">
        <f t="shared" si="18"/>
        <v/>
      </c>
      <c r="J161" s="12" t="str">
        <f>IF(Raw_Data!M164="","",Raw_Data!M164)</f>
        <v/>
      </c>
      <c r="K161" s="12">
        <f>IF(Raw_Data!AJ164&lt;&gt;"",Raw_Data!AJ164,Raw_Data!N164)</f>
        <v>0</v>
      </c>
      <c r="L161" s="12">
        <f t="shared" si="19"/>
        <v>1</v>
      </c>
      <c r="M161" s="12" t="str">
        <f>IF(Raw_Data!AK164="","",Raw_Data!AK164)</f>
        <v/>
      </c>
      <c r="N161" s="12" t="str">
        <f>IF(Raw_Data!T164="","",Raw_Data!T164)</f>
        <v/>
      </c>
      <c r="O161" s="12" t="str">
        <f>IF(Raw_Data!AB164&lt;&gt;"",Raw_Data!AB164,IF(N161="tres_insatisfait",1,IF(N161="insatisfait",2,IF(N161="neutre",3,IF(N161="satisfait",4,IF(N161="tres_satisfait",5,""))))))</f>
        <v/>
      </c>
      <c r="P161" s="12">
        <f>IF(Raw_Data!AL164&lt;&gt;"",Raw_Data!AL164,Raw_Data!R164)</f>
        <v>0</v>
      </c>
      <c r="Q161" s="12">
        <f t="shared" si="20"/>
        <v>0</v>
      </c>
      <c r="R161" s="12" t="str">
        <f>IF(Raw_Data!AM164="","",Raw_Data!AM164)</f>
        <v/>
      </c>
      <c r="S161" s="12" t="str">
        <f t="shared" si="21"/>
        <v/>
      </c>
      <c r="T161" s="12" t="str">
        <f>IF(Raw_Data!AN164="","",Raw_Data!AN164)</f>
        <v/>
      </c>
      <c r="U161" s="12" t="str">
        <f t="shared" si="22"/>
        <v/>
      </c>
      <c r="V161" s="12" t="str">
        <f>IF(Raw_Data!AP164="","",IF(Raw_Data!AP164="oui",1,0))</f>
        <v/>
      </c>
      <c r="W161" s="12" t="str">
        <f>IF(Raw_Data!AQ164="","",IF(Raw_Data!AQ164="oui",1,0))</f>
        <v/>
      </c>
      <c r="X161" s="12" t="str">
        <f>IF(Raw_Data!AR164="","",IF(Raw_Data!AR164="oui",1,0))</f>
        <v/>
      </c>
      <c r="Y161" s="12" t="str">
        <f>IF(Raw_Data!AS164="","",IF(Raw_Data!AS164="oui",1,0))</f>
        <v/>
      </c>
      <c r="Z161" s="12" t="str">
        <f>IF(Raw_Data!V164="","",IF(Raw_Data!V164="oui",1,0))</f>
        <v/>
      </c>
      <c r="AA161" s="12" t="str">
        <f>IF(Raw_Data!W164="","",IF(Raw_Data!W164="oui",1,0))</f>
        <v/>
      </c>
      <c r="AB161" s="12" t="str">
        <f>IF(Raw_Data!Q164="","",IF(Raw_Data!Q164="oui",1,0))</f>
        <v/>
      </c>
      <c r="AC161" s="12">
        <f>Raw_Data!AF164</f>
        <v>0</v>
      </c>
      <c r="AD161" s="12" t="str">
        <f t="shared" si="23"/>
        <v/>
      </c>
      <c r="AE161" s="12" t="str">
        <f t="shared" si="24"/>
        <v/>
      </c>
      <c r="AF161" s="12" t="str">
        <f t="shared" si="25"/>
        <v/>
      </c>
      <c r="AG161" s="12">
        <f t="shared" si="26"/>
        <v>0</v>
      </c>
    </row>
    <row r="162" spans="1:33" ht="15" customHeight="1" x14ac:dyDescent="0.25">
      <c r="A162" s="12" t="str">
        <f>IF(Raw_Data!B165="","",Raw_Data!B165)</f>
        <v/>
      </c>
      <c r="B162" s="12">
        <f>IF(Raw_Data!X165&lt;&gt;"",Raw_Data!X165,Raw_Data!C165)</f>
        <v>0</v>
      </c>
      <c r="C162" s="12" t="str">
        <f>IF(Raw_Data!G165="","",Raw_Data!G165)</f>
        <v/>
      </c>
      <c r="D162" s="12" t="str">
        <f>IF(Raw_Data!H165="","",Raw_Data!H165)</f>
        <v/>
      </c>
      <c r="E162" s="12" t="str">
        <f>IF(Raw_Data!I165="","",Raw_Data!I165)</f>
        <v/>
      </c>
      <c r="F162" s="12" t="str">
        <f>IF(Raw_Data!J165="","",Raw_Data!J165)</f>
        <v/>
      </c>
      <c r="G162" s="12" t="str">
        <f>IF(Raw_Data!AH165&lt;&gt;"",Raw_Data!AH165,IF(Raw_Data!K165&lt;&gt;"",Raw_Data!K165,""))</f>
        <v/>
      </c>
      <c r="H162" s="12" t="str">
        <f>IF(Raw_Data!AI165&lt;&gt;"",Raw_Data!AI165,IF(Raw_Data!L165&lt;&gt;"",Raw_Data!L165,""))</f>
        <v/>
      </c>
      <c r="I162" s="12" t="str">
        <f t="shared" si="18"/>
        <v/>
      </c>
      <c r="J162" s="12" t="str">
        <f>IF(Raw_Data!M165="","",Raw_Data!M165)</f>
        <v/>
      </c>
      <c r="K162" s="12">
        <f>IF(Raw_Data!AJ165&lt;&gt;"",Raw_Data!AJ165,Raw_Data!N165)</f>
        <v>0</v>
      </c>
      <c r="L162" s="12">
        <f t="shared" si="19"/>
        <v>1</v>
      </c>
      <c r="M162" s="12" t="str">
        <f>IF(Raw_Data!AK165="","",Raw_Data!AK165)</f>
        <v/>
      </c>
      <c r="N162" s="12" t="str">
        <f>IF(Raw_Data!T165="","",Raw_Data!T165)</f>
        <v/>
      </c>
      <c r="O162" s="12" t="str">
        <f>IF(Raw_Data!AB165&lt;&gt;"",Raw_Data!AB165,IF(N162="tres_insatisfait",1,IF(N162="insatisfait",2,IF(N162="neutre",3,IF(N162="satisfait",4,IF(N162="tres_satisfait",5,""))))))</f>
        <v/>
      </c>
      <c r="P162" s="12">
        <f>IF(Raw_Data!AL165&lt;&gt;"",Raw_Data!AL165,Raw_Data!R165)</f>
        <v>0</v>
      </c>
      <c r="Q162" s="12">
        <f t="shared" si="20"/>
        <v>0</v>
      </c>
      <c r="R162" s="12" t="str">
        <f>IF(Raw_Data!AM165="","",Raw_Data!AM165)</f>
        <v/>
      </c>
      <c r="S162" s="12" t="str">
        <f t="shared" si="21"/>
        <v/>
      </c>
      <c r="T162" s="12" t="str">
        <f>IF(Raw_Data!AN165="","",Raw_Data!AN165)</f>
        <v/>
      </c>
      <c r="U162" s="12" t="str">
        <f t="shared" si="22"/>
        <v/>
      </c>
      <c r="V162" s="12" t="str">
        <f>IF(Raw_Data!AP165="","",IF(Raw_Data!AP165="oui",1,0))</f>
        <v/>
      </c>
      <c r="W162" s="12" t="str">
        <f>IF(Raw_Data!AQ165="","",IF(Raw_Data!AQ165="oui",1,0))</f>
        <v/>
      </c>
      <c r="X162" s="12" t="str">
        <f>IF(Raw_Data!AR165="","",IF(Raw_Data!AR165="oui",1,0))</f>
        <v/>
      </c>
      <c r="Y162" s="12" t="str">
        <f>IF(Raw_Data!AS165="","",IF(Raw_Data!AS165="oui",1,0))</f>
        <v/>
      </c>
      <c r="Z162" s="12" t="str">
        <f>IF(Raw_Data!V165="","",IF(Raw_Data!V165="oui",1,0))</f>
        <v/>
      </c>
      <c r="AA162" s="12" t="str">
        <f>IF(Raw_Data!W165="","",IF(Raw_Data!W165="oui",1,0))</f>
        <v/>
      </c>
      <c r="AB162" s="12" t="str">
        <f>IF(Raw_Data!Q165="","",IF(Raw_Data!Q165="oui",1,0))</f>
        <v/>
      </c>
      <c r="AC162" s="12">
        <f>Raw_Data!AF165</f>
        <v>0</v>
      </c>
      <c r="AD162" s="12" t="str">
        <f t="shared" si="23"/>
        <v/>
      </c>
      <c r="AE162" s="12" t="str">
        <f t="shared" si="24"/>
        <v/>
      </c>
      <c r="AF162" s="12" t="str">
        <f t="shared" si="25"/>
        <v/>
      </c>
      <c r="AG162" s="12">
        <f t="shared" si="26"/>
        <v>0</v>
      </c>
    </row>
    <row r="163" spans="1:33" ht="15" customHeight="1" x14ac:dyDescent="0.25">
      <c r="A163" s="12" t="str">
        <f>IF(Raw_Data!B166="","",Raw_Data!B166)</f>
        <v/>
      </c>
      <c r="B163" s="12">
        <f>IF(Raw_Data!X166&lt;&gt;"",Raw_Data!X166,Raw_Data!C166)</f>
        <v>0</v>
      </c>
      <c r="C163" s="12" t="str">
        <f>IF(Raw_Data!G166="","",Raw_Data!G166)</f>
        <v/>
      </c>
      <c r="D163" s="12" t="str">
        <f>IF(Raw_Data!H166="","",Raw_Data!H166)</f>
        <v/>
      </c>
      <c r="E163" s="12" t="str">
        <f>IF(Raw_Data!I166="","",Raw_Data!I166)</f>
        <v/>
      </c>
      <c r="F163" s="12" t="str">
        <f>IF(Raw_Data!J166="","",Raw_Data!J166)</f>
        <v/>
      </c>
      <c r="G163" s="12" t="str">
        <f>IF(Raw_Data!AH166&lt;&gt;"",Raw_Data!AH166,IF(Raw_Data!K166&lt;&gt;"",Raw_Data!K166,""))</f>
        <v/>
      </c>
      <c r="H163" s="12" t="str">
        <f>IF(Raw_Data!AI166&lt;&gt;"",Raw_Data!AI166,IF(Raw_Data!L166&lt;&gt;"",Raw_Data!L166,""))</f>
        <v/>
      </c>
      <c r="I163" s="12" t="str">
        <f t="shared" si="18"/>
        <v/>
      </c>
      <c r="J163" s="12" t="str">
        <f>IF(Raw_Data!M166="","",Raw_Data!M166)</f>
        <v/>
      </c>
      <c r="K163" s="12">
        <f>IF(Raw_Data!AJ166&lt;&gt;"",Raw_Data!AJ166,Raw_Data!N166)</f>
        <v>0</v>
      </c>
      <c r="L163" s="12">
        <f t="shared" si="19"/>
        <v>1</v>
      </c>
      <c r="M163" s="12" t="str">
        <f>IF(Raw_Data!AK166="","",Raw_Data!AK166)</f>
        <v/>
      </c>
      <c r="N163" s="12" t="str">
        <f>IF(Raw_Data!T166="","",Raw_Data!T166)</f>
        <v/>
      </c>
      <c r="O163" s="12" t="str">
        <f>IF(Raw_Data!AB166&lt;&gt;"",Raw_Data!AB166,IF(N163="tres_insatisfait",1,IF(N163="insatisfait",2,IF(N163="neutre",3,IF(N163="satisfait",4,IF(N163="tres_satisfait",5,""))))))</f>
        <v/>
      </c>
      <c r="P163" s="12">
        <f>IF(Raw_Data!AL166&lt;&gt;"",Raw_Data!AL166,Raw_Data!R166)</f>
        <v>0</v>
      </c>
      <c r="Q163" s="12">
        <f t="shared" si="20"/>
        <v>0</v>
      </c>
      <c r="R163" s="12" t="str">
        <f>IF(Raw_Data!AM166="","",Raw_Data!AM166)</f>
        <v/>
      </c>
      <c r="S163" s="12" t="str">
        <f t="shared" si="21"/>
        <v/>
      </c>
      <c r="T163" s="12" t="str">
        <f>IF(Raw_Data!AN166="","",Raw_Data!AN166)</f>
        <v/>
      </c>
      <c r="U163" s="12" t="str">
        <f t="shared" si="22"/>
        <v/>
      </c>
      <c r="V163" s="12" t="str">
        <f>IF(Raw_Data!AP166="","",IF(Raw_Data!AP166="oui",1,0))</f>
        <v/>
      </c>
      <c r="W163" s="12" t="str">
        <f>IF(Raw_Data!AQ166="","",IF(Raw_Data!AQ166="oui",1,0))</f>
        <v/>
      </c>
      <c r="X163" s="12" t="str">
        <f>IF(Raw_Data!AR166="","",IF(Raw_Data!AR166="oui",1,0))</f>
        <v/>
      </c>
      <c r="Y163" s="12" t="str">
        <f>IF(Raw_Data!AS166="","",IF(Raw_Data!AS166="oui",1,0))</f>
        <v/>
      </c>
      <c r="Z163" s="12" t="str">
        <f>IF(Raw_Data!V166="","",IF(Raw_Data!V166="oui",1,0))</f>
        <v/>
      </c>
      <c r="AA163" s="12" t="str">
        <f>IF(Raw_Data!W166="","",IF(Raw_Data!W166="oui",1,0))</f>
        <v/>
      </c>
      <c r="AB163" s="12" t="str">
        <f>IF(Raw_Data!Q166="","",IF(Raw_Data!Q166="oui",1,0))</f>
        <v/>
      </c>
      <c r="AC163" s="12">
        <f>Raw_Data!AF166</f>
        <v>0</v>
      </c>
      <c r="AD163" s="12" t="str">
        <f t="shared" si="23"/>
        <v/>
      </c>
      <c r="AE163" s="12" t="str">
        <f t="shared" si="24"/>
        <v/>
      </c>
      <c r="AF163" s="12" t="str">
        <f t="shared" si="25"/>
        <v/>
      </c>
      <c r="AG163" s="12">
        <f t="shared" si="26"/>
        <v>0</v>
      </c>
    </row>
    <row r="164" spans="1:33" ht="15" customHeight="1" x14ac:dyDescent="0.25">
      <c r="A164" s="12" t="str">
        <f>IF(Raw_Data!B167="","",Raw_Data!B167)</f>
        <v/>
      </c>
      <c r="B164" s="12">
        <f>IF(Raw_Data!X167&lt;&gt;"",Raw_Data!X167,Raw_Data!C167)</f>
        <v>0</v>
      </c>
      <c r="C164" s="12" t="str">
        <f>IF(Raw_Data!G167="","",Raw_Data!G167)</f>
        <v/>
      </c>
      <c r="D164" s="12" t="str">
        <f>IF(Raw_Data!H167="","",Raw_Data!H167)</f>
        <v/>
      </c>
      <c r="E164" s="12" t="str">
        <f>IF(Raw_Data!I167="","",Raw_Data!I167)</f>
        <v/>
      </c>
      <c r="F164" s="12" t="str">
        <f>IF(Raw_Data!J167="","",Raw_Data!J167)</f>
        <v/>
      </c>
      <c r="G164" s="12" t="str">
        <f>IF(Raw_Data!AH167&lt;&gt;"",Raw_Data!AH167,IF(Raw_Data!K167&lt;&gt;"",Raw_Data!K167,""))</f>
        <v/>
      </c>
      <c r="H164" s="12" t="str">
        <f>IF(Raw_Data!AI167&lt;&gt;"",Raw_Data!AI167,IF(Raw_Data!L167&lt;&gt;"",Raw_Data!L167,""))</f>
        <v/>
      </c>
      <c r="I164" s="12" t="str">
        <f t="shared" si="18"/>
        <v/>
      </c>
      <c r="J164" s="12" t="str">
        <f>IF(Raw_Data!M167="","",Raw_Data!M167)</f>
        <v/>
      </c>
      <c r="K164" s="12">
        <f>IF(Raw_Data!AJ167&lt;&gt;"",Raw_Data!AJ167,Raw_Data!N167)</f>
        <v>0</v>
      </c>
      <c r="L164" s="12">
        <f t="shared" si="19"/>
        <v>1</v>
      </c>
      <c r="M164" s="12" t="str">
        <f>IF(Raw_Data!AK167="","",Raw_Data!AK167)</f>
        <v/>
      </c>
      <c r="N164" s="12" t="str">
        <f>IF(Raw_Data!T167="","",Raw_Data!T167)</f>
        <v/>
      </c>
      <c r="O164" s="12" t="str">
        <f>IF(Raw_Data!AB167&lt;&gt;"",Raw_Data!AB167,IF(N164="tres_insatisfait",1,IF(N164="insatisfait",2,IF(N164="neutre",3,IF(N164="satisfait",4,IF(N164="tres_satisfait",5,""))))))</f>
        <v/>
      </c>
      <c r="P164" s="12">
        <f>IF(Raw_Data!AL167&lt;&gt;"",Raw_Data!AL167,Raw_Data!R167)</f>
        <v>0</v>
      </c>
      <c r="Q164" s="12">
        <f t="shared" si="20"/>
        <v>0</v>
      </c>
      <c r="R164" s="12" t="str">
        <f>IF(Raw_Data!AM167="","",Raw_Data!AM167)</f>
        <v/>
      </c>
      <c r="S164" s="12" t="str">
        <f t="shared" si="21"/>
        <v/>
      </c>
      <c r="T164" s="12" t="str">
        <f>IF(Raw_Data!AN167="","",Raw_Data!AN167)</f>
        <v/>
      </c>
      <c r="U164" s="12" t="str">
        <f t="shared" si="22"/>
        <v/>
      </c>
      <c r="V164" s="12" t="str">
        <f>IF(Raw_Data!AP167="","",IF(Raw_Data!AP167="oui",1,0))</f>
        <v/>
      </c>
      <c r="W164" s="12" t="str">
        <f>IF(Raw_Data!AQ167="","",IF(Raw_Data!AQ167="oui",1,0))</f>
        <v/>
      </c>
      <c r="X164" s="12" t="str">
        <f>IF(Raw_Data!AR167="","",IF(Raw_Data!AR167="oui",1,0))</f>
        <v/>
      </c>
      <c r="Y164" s="12" t="str">
        <f>IF(Raw_Data!AS167="","",IF(Raw_Data!AS167="oui",1,0))</f>
        <v/>
      </c>
      <c r="Z164" s="12" t="str">
        <f>IF(Raw_Data!V167="","",IF(Raw_Data!V167="oui",1,0))</f>
        <v/>
      </c>
      <c r="AA164" s="12" t="str">
        <f>IF(Raw_Data!W167="","",IF(Raw_Data!W167="oui",1,0))</f>
        <v/>
      </c>
      <c r="AB164" s="12" t="str">
        <f>IF(Raw_Data!Q167="","",IF(Raw_Data!Q167="oui",1,0))</f>
        <v/>
      </c>
      <c r="AC164" s="12">
        <f>Raw_Data!AF167</f>
        <v>0</v>
      </c>
      <c r="AD164" s="12" t="str">
        <f t="shared" si="23"/>
        <v/>
      </c>
      <c r="AE164" s="12" t="str">
        <f t="shared" si="24"/>
        <v/>
      </c>
      <c r="AF164" s="12" t="str">
        <f t="shared" si="25"/>
        <v/>
      </c>
      <c r="AG164" s="12">
        <f t="shared" si="26"/>
        <v>0</v>
      </c>
    </row>
    <row r="165" spans="1:33" ht="15" customHeight="1" x14ac:dyDescent="0.25">
      <c r="A165" s="12" t="str">
        <f>IF(Raw_Data!B168="","",Raw_Data!B168)</f>
        <v/>
      </c>
      <c r="B165" s="12">
        <f>IF(Raw_Data!X168&lt;&gt;"",Raw_Data!X168,Raw_Data!C168)</f>
        <v>0</v>
      </c>
      <c r="C165" s="12" t="str">
        <f>IF(Raw_Data!G168="","",Raw_Data!G168)</f>
        <v/>
      </c>
      <c r="D165" s="12" t="str">
        <f>IF(Raw_Data!H168="","",Raw_Data!H168)</f>
        <v/>
      </c>
      <c r="E165" s="12" t="str">
        <f>IF(Raw_Data!I168="","",Raw_Data!I168)</f>
        <v/>
      </c>
      <c r="F165" s="12" t="str">
        <f>IF(Raw_Data!J168="","",Raw_Data!J168)</f>
        <v/>
      </c>
      <c r="G165" s="12" t="str">
        <f>IF(Raw_Data!AH168&lt;&gt;"",Raw_Data!AH168,IF(Raw_Data!K168&lt;&gt;"",Raw_Data!K168,""))</f>
        <v/>
      </c>
      <c r="H165" s="12" t="str">
        <f>IF(Raw_Data!AI168&lt;&gt;"",Raw_Data!AI168,IF(Raw_Data!L168&lt;&gt;"",Raw_Data!L168,""))</f>
        <v/>
      </c>
      <c r="I165" s="12" t="str">
        <f t="shared" si="18"/>
        <v/>
      </c>
      <c r="J165" s="12" t="str">
        <f>IF(Raw_Data!M168="","",Raw_Data!M168)</f>
        <v/>
      </c>
      <c r="K165" s="12">
        <f>IF(Raw_Data!AJ168&lt;&gt;"",Raw_Data!AJ168,Raw_Data!N168)</f>
        <v>0</v>
      </c>
      <c r="L165" s="12">
        <f t="shared" si="19"/>
        <v>1</v>
      </c>
      <c r="M165" s="12" t="str">
        <f>IF(Raw_Data!AK168="","",Raw_Data!AK168)</f>
        <v/>
      </c>
      <c r="N165" s="12" t="str">
        <f>IF(Raw_Data!T168="","",Raw_Data!T168)</f>
        <v/>
      </c>
      <c r="O165" s="12" t="str">
        <f>IF(Raw_Data!AB168&lt;&gt;"",Raw_Data!AB168,IF(N165="tres_insatisfait",1,IF(N165="insatisfait",2,IF(N165="neutre",3,IF(N165="satisfait",4,IF(N165="tres_satisfait",5,""))))))</f>
        <v/>
      </c>
      <c r="P165" s="12">
        <f>IF(Raw_Data!AL168&lt;&gt;"",Raw_Data!AL168,Raw_Data!R168)</f>
        <v>0</v>
      </c>
      <c r="Q165" s="12">
        <f t="shared" si="20"/>
        <v>0</v>
      </c>
      <c r="R165" s="12" t="str">
        <f>IF(Raw_Data!AM168="","",Raw_Data!AM168)</f>
        <v/>
      </c>
      <c r="S165" s="12" t="str">
        <f t="shared" si="21"/>
        <v/>
      </c>
      <c r="T165" s="12" t="str">
        <f>IF(Raw_Data!AN168="","",Raw_Data!AN168)</f>
        <v/>
      </c>
      <c r="U165" s="12" t="str">
        <f t="shared" si="22"/>
        <v/>
      </c>
      <c r="V165" s="12" t="str">
        <f>IF(Raw_Data!AP168="","",IF(Raw_Data!AP168="oui",1,0))</f>
        <v/>
      </c>
      <c r="W165" s="12" t="str">
        <f>IF(Raw_Data!AQ168="","",IF(Raw_Data!AQ168="oui",1,0))</f>
        <v/>
      </c>
      <c r="X165" s="12" t="str">
        <f>IF(Raw_Data!AR168="","",IF(Raw_Data!AR168="oui",1,0))</f>
        <v/>
      </c>
      <c r="Y165" s="12" t="str">
        <f>IF(Raw_Data!AS168="","",IF(Raw_Data!AS168="oui",1,0))</f>
        <v/>
      </c>
      <c r="Z165" s="12" t="str">
        <f>IF(Raw_Data!V168="","",IF(Raw_Data!V168="oui",1,0))</f>
        <v/>
      </c>
      <c r="AA165" s="12" t="str">
        <f>IF(Raw_Data!W168="","",IF(Raw_Data!W168="oui",1,0))</f>
        <v/>
      </c>
      <c r="AB165" s="12" t="str">
        <f>IF(Raw_Data!Q168="","",IF(Raw_Data!Q168="oui",1,0))</f>
        <v/>
      </c>
      <c r="AC165" s="12">
        <f>Raw_Data!AF168</f>
        <v>0</v>
      </c>
      <c r="AD165" s="12" t="str">
        <f t="shared" si="23"/>
        <v/>
      </c>
      <c r="AE165" s="12" t="str">
        <f t="shared" si="24"/>
        <v/>
      </c>
      <c r="AF165" s="12" t="str">
        <f t="shared" si="25"/>
        <v/>
      </c>
      <c r="AG165" s="12">
        <f t="shared" si="26"/>
        <v>0</v>
      </c>
    </row>
    <row r="166" spans="1:33" ht="15" customHeight="1" x14ac:dyDescent="0.25">
      <c r="A166" s="12" t="str">
        <f>IF(Raw_Data!B169="","",Raw_Data!B169)</f>
        <v/>
      </c>
      <c r="B166" s="12">
        <f>IF(Raw_Data!X169&lt;&gt;"",Raw_Data!X169,Raw_Data!C169)</f>
        <v>0</v>
      </c>
      <c r="C166" s="12" t="str">
        <f>IF(Raw_Data!G169="","",Raw_Data!G169)</f>
        <v/>
      </c>
      <c r="D166" s="12" t="str">
        <f>IF(Raw_Data!H169="","",Raw_Data!H169)</f>
        <v/>
      </c>
      <c r="E166" s="12" t="str">
        <f>IF(Raw_Data!I169="","",Raw_Data!I169)</f>
        <v/>
      </c>
      <c r="F166" s="12" t="str">
        <f>IF(Raw_Data!J169="","",Raw_Data!J169)</f>
        <v/>
      </c>
      <c r="G166" s="12" t="str">
        <f>IF(Raw_Data!AH169&lt;&gt;"",Raw_Data!AH169,IF(Raw_Data!K169&lt;&gt;"",Raw_Data!K169,""))</f>
        <v/>
      </c>
      <c r="H166" s="12" t="str">
        <f>IF(Raw_Data!AI169&lt;&gt;"",Raw_Data!AI169,IF(Raw_Data!L169&lt;&gt;"",Raw_Data!L169,""))</f>
        <v/>
      </c>
      <c r="I166" s="12" t="str">
        <f t="shared" si="18"/>
        <v/>
      </c>
      <c r="J166" s="12" t="str">
        <f>IF(Raw_Data!M169="","",Raw_Data!M169)</f>
        <v/>
      </c>
      <c r="K166" s="12">
        <f>IF(Raw_Data!AJ169&lt;&gt;"",Raw_Data!AJ169,Raw_Data!N169)</f>
        <v>0</v>
      </c>
      <c r="L166" s="12">
        <f t="shared" si="19"/>
        <v>1</v>
      </c>
      <c r="M166" s="12" t="str">
        <f>IF(Raw_Data!AK169="","",Raw_Data!AK169)</f>
        <v/>
      </c>
      <c r="N166" s="12" t="str">
        <f>IF(Raw_Data!T169="","",Raw_Data!T169)</f>
        <v/>
      </c>
      <c r="O166" s="12" t="str">
        <f>IF(Raw_Data!AB169&lt;&gt;"",Raw_Data!AB169,IF(N166="tres_insatisfait",1,IF(N166="insatisfait",2,IF(N166="neutre",3,IF(N166="satisfait",4,IF(N166="tres_satisfait",5,""))))))</f>
        <v/>
      </c>
      <c r="P166" s="12">
        <f>IF(Raw_Data!AL169&lt;&gt;"",Raw_Data!AL169,Raw_Data!R169)</f>
        <v>0</v>
      </c>
      <c r="Q166" s="12">
        <f t="shared" si="20"/>
        <v>0</v>
      </c>
      <c r="R166" s="12" t="str">
        <f>IF(Raw_Data!AM169="","",Raw_Data!AM169)</f>
        <v/>
      </c>
      <c r="S166" s="12" t="str">
        <f t="shared" si="21"/>
        <v/>
      </c>
      <c r="T166" s="12" t="str">
        <f>IF(Raw_Data!AN169="","",Raw_Data!AN169)</f>
        <v/>
      </c>
      <c r="U166" s="12" t="str">
        <f t="shared" si="22"/>
        <v/>
      </c>
      <c r="V166" s="12" t="str">
        <f>IF(Raw_Data!AP169="","",IF(Raw_Data!AP169="oui",1,0))</f>
        <v/>
      </c>
      <c r="W166" s="12" t="str">
        <f>IF(Raw_Data!AQ169="","",IF(Raw_Data!AQ169="oui",1,0))</f>
        <v/>
      </c>
      <c r="X166" s="12" t="str">
        <f>IF(Raw_Data!AR169="","",IF(Raw_Data!AR169="oui",1,0))</f>
        <v/>
      </c>
      <c r="Y166" s="12" t="str">
        <f>IF(Raw_Data!AS169="","",IF(Raw_Data!AS169="oui",1,0))</f>
        <v/>
      </c>
      <c r="Z166" s="12" t="str">
        <f>IF(Raw_Data!V169="","",IF(Raw_Data!V169="oui",1,0))</f>
        <v/>
      </c>
      <c r="AA166" s="12" t="str">
        <f>IF(Raw_Data!W169="","",IF(Raw_Data!W169="oui",1,0))</f>
        <v/>
      </c>
      <c r="AB166" s="12" t="str">
        <f>IF(Raw_Data!Q169="","",IF(Raw_Data!Q169="oui",1,0))</f>
        <v/>
      </c>
      <c r="AC166" s="12">
        <f>Raw_Data!AF169</f>
        <v>0</v>
      </c>
      <c r="AD166" s="12" t="str">
        <f t="shared" si="23"/>
        <v/>
      </c>
      <c r="AE166" s="12" t="str">
        <f t="shared" si="24"/>
        <v/>
      </c>
      <c r="AF166" s="12" t="str">
        <f t="shared" si="25"/>
        <v/>
      </c>
      <c r="AG166" s="12">
        <f t="shared" si="26"/>
        <v>0</v>
      </c>
    </row>
    <row r="167" spans="1:33" ht="15" customHeight="1" x14ac:dyDescent="0.25">
      <c r="A167" s="12" t="str">
        <f>IF(Raw_Data!B170="","",Raw_Data!B170)</f>
        <v/>
      </c>
      <c r="B167" s="12">
        <f>IF(Raw_Data!X170&lt;&gt;"",Raw_Data!X170,Raw_Data!C170)</f>
        <v>0</v>
      </c>
      <c r="C167" s="12" t="str">
        <f>IF(Raw_Data!G170="","",Raw_Data!G170)</f>
        <v/>
      </c>
      <c r="D167" s="12" t="str">
        <f>IF(Raw_Data!H170="","",Raw_Data!H170)</f>
        <v/>
      </c>
      <c r="E167" s="12" t="str">
        <f>IF(Raw_Data!I170="","",Raw_Data!I170)</f>
        <v/>
      </c>
      <c r="F167" s="12" t="str">
        <f>IF(Raw_Data!J170="","",Raw_Data!J170)</f>
        <v/>
      </c>
      <c r="G167" s="12" t="str">
        <f>IF(Raw_Data!AH170&lt;&gt;"",Raw_Data!AH170,IF(Raw_Data!K170&lt;&gt;"",Raw_Data!K170,""))</f>
        <v/>
      </c>
      <c r="H167" s="12" t="str">
        <f>IF(Raw_Data!AI170&lt;&gt;"",Raw_Data!AI170,IF(Raw_Data!L170&lt;&gt;"",Raw_Data!L170,""))</f>
        <v/>
      </c>
      <c r="I167" s="12" t="str">
        <f t="shared" si="18"/>
        <v/>
      </c>
      <c r="J167" s="12" t="str">
        <f>IF(Raw_Data!M170="","",Raw_Data!M170)</f>
        <v/>
      </c>
      <c r="K167" s="12">
        <f>IF(Raw_Data!AJ170&lt;&gt;"",Raw_Data!AJ170,Raw_Data!N170)</f>
        <v>0</v>
      </c>
      <c r="L167" s="12">
        <f t="shared" si="19"/>
        <v>1</v>
      </c>
      <c r="M167" s="12" t="str">
        <f>IF(Raw_Data!AK170="","",Raw_Data!AK170)</f>
        <v/>
      </c>
      <c r="N167" s="12" t="str">
        <f>IF(Raw_Data!T170="","",Raw_Data!T170)</f>
        <v/>
      </c>
      <c r="O167" s="12" t="str">
        <f>IF(Raw_Data!AB170&lt;&gt;"",Raw_Data!AB170,IF(N167="tres_insatisfait",1,IF(N167="insatisfait",2,IF(N167="neutre",3,IF(N167="satisfait",4,IF(N167="tres_satisfait",5,""))))))</f>
        <v/>
      </c>
      <c r="P167" s="12">
        <f>IF(Raw_Data!AL170&lt;&gt;"",Raw_Data!AL170,Raw_Data!R170)</f>
        <v>0</v>
      </c>
      <c r="Q167" s="12">
        <f t="shared" si="20"/>
        <v>0</v>
      </c>
      <c r="R167" s="12" t="str">
        <f>IF(Raw_Data!AM170="","",Raw_Data!AM170)</f>
        <v/>
      </c>
      <c r="S167" s="12" t="str">
        <f t="shared" si="21"/>
        <v/>
      </c>
      <c r="T167" s="12" t="str">
        <f>IF(Raw_Data!AN170="","",Raw_Data!AN170)</f>
        <v/>
      </c>
      <c r="U167" s="12" t="str">
        <f t="shared" si="22"/>
        <v/>
      </c>
      <c r="V167" s="12" t="str">
        <f>IF(Raw_Data!AP170="","",IF(Raw_Data!AP170="oui",1,0))</f>
        <v/>
      </c>
      <c r="W167" s="12" t="str">
        <f>IF(Raw_Data!AQ170="","",IF(Raw_Data!AQ170="oui",1,0))</f>
        <v/>
      </c>
      <c r="X167" s="12" t="str">
        <f>IF(Raw_Data!AR170="","",IF(Raw_Data!AR170="oui",1,0))</f>
        <v/>
      </c>
      <c r="Y167" s="12" t="str">
        <f>IF(Raw_Data!AS170="","",IF(Raw_Data!AS170="oui",1,0))</f>
        <v/>
      </c>
      <c r="Z167" s="12" t="str">
        <f>IF(Raw_Data!V170="","",IF(Raw_Data!V170="oui",1,0))</f>
        <v/>
      </c>
      <c r="AA167" s="12" t="str">
        <f>IF(Raw_Data!W170="","",IF(Raw_Data!W170="oui",1,0))</f>
        <v/>
      </c>
      <c r="AB167" s="12" t="str">
        <f>IF(Raw_Data!Q170="","",IF(Raw_Data!Q170="oui",1,0))</f>
        <v/>
      </c>
      <c r="AC167" s="12">
        <f>Raw_Data!AF170</f>
        <v>0</v>
      </c>
      <c r="AD167" s="12" t="str">
        <f t="shared" si="23"/>
        <v/>
      </c>
      <c r="AE167" s="12" t="str">
        <f t="shared" si="24"/>
        <v/>
      </c>
      <c r="AF167" s="12" t="str">
        <f t="shared" si="25"/>
        <v/>
      </c>
      <c r="AG167" s="12">
        <f t="shared" si="26"/>
        <v>0</v>
      </c>
    </row>
    <row r="168" spans="1:33" ht="15" customHeight="1" x14ac:dyDescent="0.25">
      <c r="A168" s="12" t="str">
        <f>IF(Raw_Data!B171="","",Raw_Data!B171)</f>
        <v/>
      </c>
      <c r="B168" s="12">
        <f>IF(Raw_Data!X171&lt;&gt;"",Raw_Data!X171,Raw_Data!C171)</f>
        <v>0</v>
      </c>
      <c r="C168" s="12" t="str">
        <f>IF(Raw_Data!G171="","",Raw_Data!G171)</f>
        <v/>
      </c>
      <c r="D168" s="12" t="str">
        <f>IF(Raw_Data!H171="","",Raw_Data!H171)</f>
        <v/>
      </c>
      <c r="E168" s="12" t="str">
        <f>IF(Raw_Data!I171="","",Raw_Data!I171)</f>
        <v/>
      </c>
      <c r="F168" s="12" t="str">
        <f>IF(Raw_Data!J171="","",Raw_Data!J171)</f>
        <v/>
      </c>
      <c r="G168" s="12" t="str">
        <f>IF(Raw_Data!AH171&lt;&gt;"",Raw_Data!AH171,IF(Raw_Data!K171&lt;&gt;"",Raw_Data!K171,""))</f>
        <v/>
      </c>
      <c r="H168" s="12" t="str">
        <f>IF(Raw_Data!AI171&lt;&gt;"",Raw_Data!AI171,IF(Raw_Data!L171&lt;&gt;"",Raw_Data!L171,""))</f>
        <v/>
      </c>
      <c r="I168" s="12" t="str">
        <f t="shared" si="18"/>
        <v/>
      </c>
      <c r="J168" s="12" t="str">
        <f>IF(Raw_Data!M171="","",Raw_Data!M171)</f>
        <v/>
      </c>
      <c r="K168" s="12">
        <f>IF(Raw_Data!AJ171&lt;&gt;"",Raw_Data!AJ171,Raw_Data!N171)</f>
        <v>0</v>
      </c>
      <c r="L168" s="12">
        <f t="shared" si="19"/>
        <v>1</v>
      </c>
      <c r="M168" s="12" t="str">
        <f>IF(Raw_Data!AK171="","",Raw_Data!AK171)</f>
        <v/>
      </c>
      <c r="N168" s="12" t="str">
        <f>IF(Raw_Data!T171="","",Raw_Data!T171)</f>
        <v/>
      </c>
      <c r="O168" s="12" t="str">
        <f>IF(Raw_Data!AB171&lt;&gt;"",Raw_Data!AB171,IF(N168="tres_insatisfait",1,IF(N168="insatisfait",2,IF(N168="neutre",3,IF(N168="satisfait",4,IF(N168="tres_satisfait",5,""))))))</f>
        <v/>
      </c>
      <c r="P168" s="12">
        <f>IF(Raw_Data!AL171&lt;&gt;"",Raw_Data!AL171,Raw_Data!R171)</f>
        <v>0</v>
      </c>
      <c r="Q168" s="12">
        <f t="shared" si="20"/>
        <v>0</v>
      </c>
      <c r="R168" s="12" t="str">
        <f>IF(Raw_Data!AM171="","",Raw_Data!AM171)</f>
        <v/>
      </c>
      <c r="S168" s="12" t="str">
        <f t="shared" si="21"/>
        <v/>
      </c>
      <c r="T168" s="12" t="str">
        <f>IF(Raw_Data!AN171="","",Raw_Data!AN171)</f>
        <v/>
      </c>
      <c r="U168" s="12" t="str">
        <f t="shared" si="22"/>
        <v/>
      </c>
      <c r="V168" s="12" t="str">
        <f>IF(Raw_Data!AP171="","",IF(Raw_Data!AP171="oui",1,0))</f>
        <v/>
      </c>
      <c r="W168" s="12" t="str">
        <f>IF(Raw_Data!AQ171="","",IF(Raw_Data!AQ171="oui",1,0))</f>
        <v/>
      </c>
      <c r="X168" s="12" t="str">
        <f>IF(Raw_Data!AR171="","",IF(Raw_Data!AR171="oui",1,0))</f>
        <v/>
      </c>
      <c r="Y168" s="12" t="str">
        <f>IF(Raw_Data!AS171="","",IF(Raw_Data!AS171="oui",1,0))</f>
        <v/>
      </c>
      <c r="Z168" s="12" t="str">
        <f>IF(Raw_Data!V171="","",IF(Raw_Data!V171="oui",1,0))</f>
        <v/>
      </c>
      <c r="AA168" s="12" t="str">
        <f>IF(Raw_Data!W171="","",IF(Raw_Data!W171="oui",1,0))</f>
        <v/>
      </c>
      <c r="AB168" s="12" t="str">
        <f>IF(Raw_Data!Q171="","",IF(Raw_Data!Q171="oui",1,0))</f>
        <v/>
      </c>
      <c r="AC168" s="12">
        <f>Raw_Data!AF171</f>
        <v>0</v>
      </c>
      <c r="AD168" s="12" t="str">
        <f t="shared" si="23"/>
        <v/>
      </c>
      <c r="AE168" s="12" t="str">
        <f t="shared" si="24"/>
        <v/>
      </c>
      <c r="AF168" s="12" t="str">
        <f t="shared" si="25"/>
        <v/>
      </c>
      <c r="AG168" s="12">
        <f t="shared" si="26"/>
        <v>0</v>
      </c>
    </row>
    <row r="169" spans="1:33" ht="15" customHeight="1" x14ac:dyDescent="0.25">
      <c r="A169" s="12" t="str">
        <f>IF(Raw_Data!B172="","",Raw_Data!B172)</f>
        <v/>
      </c>
      <c r="B169" s="12">
        <f>IF(Raw_Data!X172&lt;&gt;"",Raw_Data!X172,Raw_Data!C172)</f>
        <v>0</v>
      </c>
      <c r="C169" s="12" t="str">
        <f>IF(Raw_Data!G172="","",Raw_Data!G172)</f>
        <v/>
      </c>
      <c r="D169" s="12" t="str">
        <f>IF(Raw_Data!H172="","",Raw_Data!H172)</f>
        <v/>
      </c>
      <c r="E169" s="12" t="str">
        <f>IF(Raw_Data!I172="","",Raw_Data!I172)</f>
        <v/>
      </c>
      <c r="F169" s="12" t="str">
        <f>IF(Raw_Data!J172="","",Raw_Data!J172)</f>
        <v/>
      </c>
      <c r="G169" s="12" t="str">
        <f>IF(Raw_Data!AH172&lt;&gt;"",Raw_Data!AH172,IF(Raw_Data!K172&lt;&gt;"",Raw_Data!K172,""))</f>
        <v/>
      </c>
      <c r="H169" s="12" t="str">
        <f>IF(Raw_Data!AI172&lt;&gt;"",Raw_Data!AI172,IF(Raw_Data!L172&lt;&gt;"",Raw_Data!L172,""))</f>
        <v/>
      </c>
      <c r="I169" s="12" t="str">
        <f t="shared" si="18"/>
        <v/>
      </c>
      <c r="J169" s="12" t="str">
        <f>IF(Raw_Data!M172="","",Raw_Data!M172)</f>
        <v/>
      </c>
      <c r="K169" s="12">
        <f>IF(Raw_Data!AJ172&lt;&gt;"",Raw_Data!AJ172,Raw_Data!N172)</f>
        <v>0</v>
      </c>
      <c r="L169" s="12">
        <f t="shared" si="19"/>
        <v>1</v>
      </c>
      <c r="M169" s="12" t="str">
        <f>IF(Raw_Data!AK172="","",Raw_Data!AK172)</f>
        <v/>
      </c>
      <c r="N169" s="12" t="str">
        <f>IF(Raw_Data!T172="","",Raw_Data!T172)</f>
        <v/>
      </c>
      <c r="O169" s="12" t="str">
        <f>IF(Raw_Data!AB172&lt;&gt;"",Raw_Data!AB172,IF(N169="tres_insatisfait",1,IF(N169="insatisfait",2,IF(N169="neutre",3,IF(N169="satisfait",4,IF(N169="tres_satisfait",5,""))))))</f>
        <v/>
      </c>
      <c r="P169" s="12">
        <f>IF(Raw_Data!AL172&lt;&gt;"",Raw_Data!AL172,Raw_Data!R172)</f>
        <v>0</v>
      </c>
      <c r="Q169" s="12">
        <f t="shared" si="20"/>
        <v>0</v>
      </c>
      <c r="R169" s="12" t="str">
        <f>IF(Raw_Data!AM172="","",Raw_Data!AM172)</f>
        <v/>
      </c>
      <c r="S169" s="12" t="str">
        <f t="shared" si="21"/>
        <v/>
      </c>
      <c r="T169" s="12" t="str">
        <f>IF(Raw_Data!AN172="","",Raw_Data!AN172)</f>
        <v/>
      </c>
      <c r="U169" s="12" t="str">
        <f t="shared" si="22"/>
        <v/>
      </c>
      <c r="V169" s="12" t="str">
        <f>IF(Raw_Data!AP172="","",IF(Raw_Data!AP172="oui",1,0))</f>
        <v/>
      </c>
      <c r="W169" s="12" t="str">
        <f>IF(Raw_Data!AQ172="","",IF(Raw_Data!AQ172="oui",1,0))</f>
        <v/>
      </c>
      <c r="X169" s="12" t="str">
        <f>IF(Raw_Data!AR172="","",IF(Raw_Data!AR172="oui",1,0))</f>
        <v/>
      </c>
      <c r="Y169" s="12" t="str">
        <f>IF(Raw_Data!AS172="","",IF(Raw_Data!AS172="oui",1,0))</f>
        <v/>
      </c>
      <c r="Z169" s="12" t="str">
        <f>IF(Raw_Data!V172="","",IF(Raw_Data!V172="oui",1,0))</f>
        <v/>
      </c>
      <c r="AA169" s="12" t="str">
        <f>IF(Raw_Data!W172="","",IF(Raw_Data!W172="oui",1,0))</f>
        <v/>
      </c>
      <c r="AB169" s="12" t="str">
        <f>IF(Raw_Data!Q172="","",IF(Raw_Data!Q172="oui",1,0))</f>
        <v/>
      </c>
      <c r="AC169" s="12">
        <f>Raw_Data!AF172</f>
        <v>0</v>
      </c>
      <c r="AD169" s="12" t="str">
        <f t="shared" si="23"/>
        <v/>
      </c>
      <c r="AE169" s="12" t="str">
        <f t="shared" si="24"/>
        <v/>
      </c>
      <c r="AF169" s="12" t="str">
        <f t="shared" si="25"/>
        <v/>
      </c>
      <c r="AG169" s="12">
        <f t="shared" si="26"/>
        <v>0</v>
      </c>
    </row>
    <row r="170" spans="1:33" ht="15" customHeight="1" x14ac:dyDescent="0.25">
      <c r="A170" s="12" t="str">
        <f>IF(Raw_Data!B173="","",Raw_Data!B173)</f>
        <v/>
      </c>
      <c r="B170" s="12">
        <f>IF(Raw_Data!X173&lt;&gt;"",Raw_Data!X173,Raw_Data!C173)</f>
        <v>0</v>
      </c>
      <c r="C170" s="12" t="str">
        <f>IF(Raw_Data!G173="","",Raw_Data!G173)</f>
        <v/>
      </c>
      <c r="D170" s="12" t="str">
        <f>IF(Raw_Data!H173="","",Raw_Data!H173)</f>
        <v/>
      </c>
      <c r="E170" s="12" t="str">
        <f>IF(Raw_Data!I173="","",Raw_Data!I173)</f>
        <v/>
      </c>
      <c r="F170" s="12" t="str">
        <f>IF(Raw_Data!J173="","",Raw_Data!J173)</f>
        <v/>
      </c>
      <c r="G170" s="12" t="str">
        <f>IF(Raw_Data!AH173&lt;&gt;"",Raw_Data!AH173,IF(Raw_Data!K173&lt;&gt;"",Raw_Data!K173,""))</f>
        <v/>
      </c>
      <c r="H170" s="12" t="str">
        <f>IF(Raw_Data!AI173&lt;&gt;"",Raw_Data!AI173,IF(Raw_Data!L173&lt;&gt;"",Raw_Data!L173,""))</f>
        <v/>
      </c>
      <c r="I170" s="12" t="str">
        <f t="shared" si="18"/>
        <v/>
      </c>
      <c r="J170" s="12" t="str">
        <f>IF(Raw_Data!M173="","",Raw_Data!M173)</f>
        <v/>
      </c>
      <c r="K170" s="12">
        <f>IF(Raw_Data!AJ173&lt;&gt;"",Raw_Data!AJ173,Raw_Data!N173)</f>
        <v>0</v>
      </c>
      <c r="L170" s="12">
        <f t="shared" si="19"/>
        <v>1</v>
      </c>
      <c r="M170" s="12" t="str">
        <f>IF(Raw_Data!AK173="","",Raw_Data!AK173)</f>
        <v/>
      </c>
      <c r="N170" s="12" t="str">
        <f>IF(Raw_Data!T173="","",Raw_Data!T173)</f>
        <v/>
      </c>
      <c r="O170" s="12" t="str">
        <f>IF(Raw_Data!AB173&lt;&gt;"",Raw_Data!AB173,IF(N170="tres_insatisfait",1,IF(N170="insatisfait",2,IF(N170="neutre",3,IF(N170="satisfait",4,IF(N170="tres_satisfait",5,""))))))</f>
        <v/>
      </c>
      <c r="P170" s="12">
        <f>IF(Raw_Data!AL173&lt;&gt;"",Raw_Data!AL173,Raw_Data!R173)</f>
        <v>0</v>
      </c>
      <c r="Q170" s="12">
        <f t="shared" si="20"/>
        <v>0</v>
      </c>
      <c r="R170" s="12" t="str">
        <f>IF(Raw_Data!AM173="","",Raw_Data!AM173)</f>
        <v/>
      </c>
      <c r="S170" s="12" t="str">
        <f t="shared" si="21"/>
        <v/>
      </c>
      <c r="T170" s="12" t="str">
        <f>IF(Raw_Data!AN173="","",Raw_Data!AN173)</f>
        <v/>
      </c>
      <c r="U170" s="12" t="str">
        <f t="shared" si="22"/>
        <v/>
      </c>
      <c r="V170" s="12" t="str">
        <f>IF(Raw_Data!AP173="","",IF(Raw_Data!AP173="oui",1,0))</f>
        <v/>
      </c>
      <c r="W170" s="12" t="str">
        <f>IF(Raw_Data!AQ173="","",IF(Raw_Data!AQ173="oui",1,0))</f>
        <v/>
      </c>
      <c r="X170" s="12" t="str">
        <f>IF(Raw_Data!AR173="","",IF(Raw_Data!AR173="oui",1,0))</f>
        <v/>
      </c>
      <c r="Y170" s="12" t="str">
        <f>IF(Raw_Data!AS173="","",IF(Raw_Data!AS173="oui",1,0))</f>
        <v/>
      </c>
      <c r="Z170" s="12" t="str">
        <f>IF(Raw_Data!V173="","",IF(Raw_Data!V173="oui",1,0))</f>
        <v/>
      </c>
      <c r="AA170" s="12" t="str">
        <f>IF(Raw_Data!W173="","",IF(Raw_Data!W173="oui",1,0))</f>
        <v/>
      </c>
      <c r="AB170" s="12" t="str">
        <f>IF(Raw_Data!Q173="","",IF(Raw_Data!Q173="oui",1,0))</f>
        <v/>
      </c>
      <c r="AC170" s="12">
        <f>Raw_Data!AF173</f>
        <v>0</v>
      </c>
      <c r="AD170" s="12" t="str">
        <f t="shared" si="23"/>
        <v/>
      </c>
      <c r="AE170" s="12" t="str">
        <f t="shared" si="24"/>
        <v/>
      </c>
      <c r="AF170" s="12" t="str">
        <f t="shared" si="25"/>
        <v/>
      </c>
      <c r="AG170" s="12">
        <f t="shared" si="26"/>
        <v>0</v>
      </c>
    </row>
    <row r="171" spans="1:33" ht="15" customHeight="1" x14ac:dyDescent="0.25">
      <c r="A171" s="12" t="str">
        <f>IF(Raw_Data!B174="","",Raw_Data!B174)</f>
        <v/>
      </c>
      <c r="B171" s="12">
        <f>IF(Raw_Data!X174&lt;&gt;"",Raw_Data!X174,Raw_Data!C174)</f>
        <v>0</v>
      </c>
      <c r="C171" s="12" t="str">
        <f>IF(Raw_Data!G174="","",Raw_Data!G174)</f>
        <v/>
      </c>
      <c r="D171" s="12" t="str">
        <f>IF(Raw_Data!H174="","",Raw_Data!H174)</f>
        <v/>
      </c>
      <c r="E171" s="12" t="str">
        <f>IF(Raw_Data!I174="","",Raw_Data!I174)</f>
        <v/>
      </c>
      <c r="F171" s="12" t="str">
        <f>IF(Raw_Data!J174="","",Raw_Data!J174)</f>
        <v/>
      </c>
      <c r="G171" s="12" t="str">
        <f>IF(Raw_Data!AH174&lt;&gt;"",Raw_Data!AH174,IF(Raw_Data!K174&lt;&gt;"",Raw_Data!K174,""))</f>
        <v/>
      </c>
      <c r="H171" s="12" t="str">
        <f>IF(Raw_Data!AI174&lt;&gt;"",Raw_Data!AI174,IF(Raw_Data!L174&lt;&gt;"",Raw_Data!L174,""))</f>
        <v/>
      </c>
      <c r="I171" s="12" t="str">
        <f t="shared" si="18"/>
        <v/>
      </c>
      <c r="J171" s="12" t="str">
        <f>IF(Raw_Data!M174="","",Raw_Data!M174)</f>
        <v/>
      </c>
      <c r="K171" s="12">
        <f>IF(Raw_Data!AJ174&lt;&gt;"",Raw_Data!AJ174,Raw_Data!N174)</f>
        <v>0</v>
      </c>
      <c r="L171" s="12">
        <f t="shared" si="19"/>
        <v>1</v>
      </c>
      <c r="M171" s="12" t="str">
        <f>IF(Raw_Data!AK174="","",Raw_Data!AK174)</f>
        <v/>
      </c>
      <c r="N171" s="12" t="str">
        <f>IF(Raw_Data!T174="","",Raw_Data!T174)</f>
        <v/>
      </c>
      <c r="O171" s="12" t="str">
        <f>IF(Raw_Data!AB174&lt;&gt;"",Raw_Data!AB174,IF(N171="tres_insatisfait",1,IF(N171="insatisfait",2,IF(N171="neutre",3,IF(N171="satisfait",4,IF(N171="tres_satisfait",5,""))))))</f>
        <v/>
      </c>
      <c r="P171" s="12">
        <f>IF(Raw_Data!AL174&lt;&gt;"",Raw_Data!AL174,Raw_Data!R174)</f>
        <v>0</v>
      </c>
      <c r="Q171" s="12">
        <f t="shared" si="20"/>
        <v>0</v>
      </c>
      <c r="R171" s="12" t="str">
        <f>IF(Raw_Data!AM174="","",Raw_Data!AM174)</f>
        <v/>
      </c>
      <c r="S171" s="12" t="str">
        <f t="shared" si="21"/>
        <v/>
      </c>
      <c r="T171" s="12" t="str">
        <f>IF(Raw_Data!AN174="","",Raw_Data!AN174)</f>
        <v/>
      </c>
      <c r="U171" s="12" t="str">
        <f t="shared" si="22"/>
        <v/>
      </c>
      <c r="V171" s="12" t="str">
        <f>IF(Raw_Data!AP174="","",IF(Raw_Data!AP174="oui",1,0))</f>
        <v/>
      </c>
      <c r="W171" s="12" t="str">
        <f>IF(Raw_Data!AQ174="","",IF(Raw_Data!AQ174="oui",1,0))</f>
        <v/>
      </c>
      <c r="X171" s="12" t="str">
        <f>IF(Raw_Data!AR174="","",IF(Raw_Data!AR174="oui",1,0))</f>
        <v/>
      </c>
      <c r="Y171" s="12" t="str">
        <f>IF(Raw_Data!AS174="","",IF(Raw_Data!AS174="oui",1,0))</f>
        <v/>
      </c>
      <c r="Z171" s="12" t="str">
        <f>IF(Raw_Data!V174="","",IF(Raw_Data!V174="oui",1,0))</f>
        <v/>
      </c>
      <c r="AA171" s="12" t="str">
        <f>IF(Raw_Data!W174="","",IF(Raw_Data!W174="oui",1,0))</f>
        <v/>
      </c>
      <c r="AB171" s="12" t="str">
        <f>IF(Raw_Data!Q174="","",IF(Raw_Data!Q174="oui",1,0))</f>
        <v/>
      </c>
      <c r="AC171" s="12">
        <f>Raw_Data!AF174</f>
        <v>0</v>
      </c>
      <c r="AD171" s="12" t="str">
        <f t="shared" si="23"/>
        <v/>
      </c>
      <c r="AE171" s="12" t="str">
        <f t="shared" si="24"/>
        <v/>
      </c>
      <c r="AF171" s="12" t="str">
        <f t="shared" si="25"/>
        <v/>
      </c>
      <c r="AG171" s="12">
        <f t="shared" si="26"/>
        <v>0</v>
      </c>
    </row>
    <row r="172" spans="1:33" ht="15" customHeight="1" x14ac:dyDescent="0.25">
      <c r="A172" s="12" t="str">
        <f>IF(Raw_Data!B175="","",Raw_Data!B175)</f>
        <v/>
      </c>
      <c r="B172" s="12">
        <f>IF(Raw_Data!X175&lt;&gt;"",Raw_Data!X175,Raw_Data!C175)</f>
        <v>0</v>
      </c>
      <c r="C172" s="12" t="str">
        <f>IF(Raw_Data!G175="","",Raw_Data!G175)</f>
        <v/>
      </c>
      <c r="D172" s="12" t="str">
        <f>IF(Raw_Data!H175="","",Raw_Data!H175)</f>
        <v/>
      </c>
      <c r="E172" s="12" t="str">
        <f>IF(Raw_Data!I175="","",Raw_Data!I175)</f>
        <v/>
      </c>
      <c r="F172" s="12" t="str">
        <f>IF(Raw_Data!J175="","",Raw_Data!J175)</f>
        <v/>
      </c>
      <c r="G172" s="12" t="str">
        <f>IF(Raw_Data!AH175&lt;&gt;"",Raw_Data!AH175,IF(Raw_Data!K175&lt;&gt;"",Raw_Data!K175,""))</f>
        <v/>
      </c>
      <c r="H172" s="12" t="str">
        <f>IF(Raw_Data!AI175&lt;&gt;"",Raw_Data!AI175,IF(Raw_Data!L175&lt;&gt;"",Raw_Data!L175,""))</f>
        <v/>
      </c>
      <c r="I172" s="12" t="str">
        <f t="shared" si="18"/>
        <v/>
      </c>
      <c r="J172" s="12" t="str">
        <f>IF(Raw_Data!M175="","",Raw_Data!M175)</f>
        <v/>
      </c>
      <c r="K172" s="12">
        <f>IF(Raw_Data!AJ175&lt;&gt;"",Raw_Data!AJ175,Raw_Data!N175)</f>
        <v>0</v>
      </c>
      <c r="L172" s="12">
        <f t="shared" si="19"/>
        <v>1</v>
      </c>
      <c r="M172" s="12" t="str">
        <f>IF(Raw_Data!AK175="","",Raw_Data!AK175)</f>
        <v/>
      </c>
      <c r="N172" s="12" t="str">
        <f>IF(Raw_Data!T175="","",Raw_Data!T175)</f>
        <v/>
      </c>
      <c r="O172" s="12" t="str">
        <f>IF(Raw_Data!AB175&lt;&gt;"",Raw_Data!AB175,IF(N172="tres_insatisfait",1,IF(N172="insatisfait",2,IF(N172="neutre",3,IF(N172="satisfait",4,IF(N172="tres_satisfait",5,""))))))</f>
        <v/>
      </c>
      <c r="P172" s="12">
        <f>IF(Raw_Data!AL175&lt;&gt;"",Raw_Data!AL175,Raw_Data!R175)</f>
        <v>0</v>
      </c>
      <c r="Q172" s="12">
        <f t="shared" si="20"/>
        <v>0</v>
      </c>
      <c r="R172" s="12" t="str">
        <f>IF(Raw_Data!AM175="","",Raw_Data!AM175)</f>
        <v/>
      </c>
      <c r="S172" s="12" t="str">
        <f t="shared" si="21"/>
        <v/>
      </c>
      <c r="T172" s="12" t="str">
        <f>IF(Raw_Data!AN175="","",Raw_Data!AN175)</f>
        <v/>
      </c>
      <c r="U172" s="12" t="str">
        <f t="shared" si="22"/>
        <v/>
      </c>
      <c r="V172" s="12" t="str">
        <f>IF(Raw_Data!AP175="","",IF(Raw_Data!AP175="oui",1,0))</f>
        <v/>
      </c>
      <c r="W172" s="12" t="str">
        <f>IF(Raw_Data!AQ175="","",IF(Raw_Data!AQ175="oui",1,0))</f>
        <v/>
      </c>
      <c r="X172" s="12" t="str">
        <f>IF(Raw_Data!AR175="","",IF(Raw_Data!AR175="oui",1,0))</f>
        <v/>
      </c>
      <c r="Y172" s="12" t="str">
        <f>IF(Raw_Data!AS175="","",IF(Raw_Data!AS175="oui",1,0))</f>
        <v/>
      </c>
      <c r="Z172" s="12" t="str">
        <f>IF(Raw_Data!V175="","",IF(Raw_Data!V175="oui",1,0))</f>
        <v/>
      </c>
      <c r="AA172" s="12" t="str">
        <f>IF(Raw_Data!W175="","",IF(Raw_Data!W175="oui",1,0))</f>
        <v/>
      </c>
      <c r="AB172" s="12" t="str">
        <f>IF(Raw_Data!Q175="","",IF(Raw_Data!Q175="oui",1,0))</f>
        <v/>
      </c>
      <c r="AC172" s="12">
        <f>Raw_Data!AF175</f>
        <v>0</v>
      </c>
      <c r="AD172" s="12" t="str">
        <f t="shared" si="23"/>
        <v/>
      </c>
      <c r="AE172" s="12" t="str">
        <f t="shared" si="24"/>
        <v/>
      </c>
      <c r="AF172" s="12" t="str">
        <f t="shared" si="25"/>
        <v/>
      </c>
      <c r="AG172" s="12">
        <f t="shared" si="26"/>
        <v>0</v>
      </c>
    </row>
    <row r="173" spans="1:33" ht="15" customHeight="1" x14ac:dyDescent="0.25">
      <c r="A173" s="12" t="str">
        <f>IF(Raw_Data!B176="","",Raw_Data!B176)</f>
        <v/>
      </c>
      <c r="B173" s="12">
        <f>IF(Raw_Data!X176&lt;&gt;"",Raw_Data!X176,Raw_Data!C176)</f>
        <v>0</v>
      </c>
      <c r="C173" s="12" t="str">
        <f>IF(Raw_Data!G176="","",Raw_Data!G176)</f>
        <v/>
      </c>
      <c r="D173" s="12" t="str">
        <f>IF(Raw_Data!H176="","",Raw_Data!H176)</f>
        <v/>
      </c>
      <c r="E173" s="12" t="str">
        <f>IF(Raw_Data!I176="","",Raw_Data!I176)</f>
        <v/>
      </c>
      <c r="F173" s="12" t="str">
        <f>IF(Raw_Data!J176="","",Raw_Data!J176)</f>
        <v/>
      </c>
      <c r="G173" s="12" t="str">
        <f>IF(Raw_Data!AH176&lt;&gt;"",Raw_Data!AH176,IF(Raw_Data!K176&lt;&gt;"",Raw_Data!K176,""))</f>
        <v/>
      </c>
      <c r="H173" s="12" t="str">
        <f>IF(Raw_Data!AI176&lt;&gt;"",Raw_Data!AI176,IF(Raw_Data!L176&lt;&gt;"",Raw_Data!L176,""))</f>
        <v/>
      </c>
      <c r="I173" s="12" t="str">
        <f t="shared" si="18"/>
        <v/>
      </c>
      <c r="J173" s="12" t="str">
        <f>IF(Raw_Data!M176="","",Raw_Data!M176)</f>
        <v/>
      </c>
      <c r="K173" s="12">
        <f>IF(Raw_Data!AJ176&lt;&gt;"",Raw_Data!AJ176,Raw_Data!N176)</f>
        <v>0</v>
      </c>
      <c r="L173" s="12">
        <f t="shared" si="19"/>
        <v>1</v>
      </c>
      <c r="M173" s="12" t="str">
        <f>IF(Raw_Data!AK176="","",Raw_Data!AK176)</f>
        <v/>
      </c>
      <c r="N173" s="12" t="str">
        <f>IF(Raw_Data!T176="","",Raw_Data!T176)</f>
        <v/>
      </c>
      <c r="O173" s="12" t="str">
        <f>IF(Raw_Data!AB176&lt;&gt;"",Raw_Data!AB176,IF(N173="tres_insatisfait",1,IF(N173="insatisfait",2,IF(N173="neutre",3,IF(N173="satisfait",4,IF(N173="tres_satisfait",5,""))))))</f>
        <v/>
      </c>
      <c r="P173" s="12">
        <f>IF(Raw_Data!AL176&lt;&gt;"",Raw_Data!AL176,Raw_Data!R176)</f>
        <v>0</v>
      </c>
      <c r="Q173" s="12">
        <f t="shared" si="20"/>
        <v>0</v>
      </c>
      <c r="R173" s="12" t="str">
        <f>IF(Raw_Data!AM176="","",Raw_Data!AM176)</f>
        <v/>
      </c>
      <c r="S173" s="12" t="str">
        <f t="shared" si="21"/>
        <v/>
      </c>
      <c r="T173" s="12" t="str">
        <f>IF(Raw_Data!AN176="","",Raw_Data!AN176)</f>
        <v/>
      </c>
      <c r="U173" s="12" t="str">
        <f t="shared" si="22"/>
        <v/>
      </c>
      <c r="V173" s="12" t="str">
        <f>IF(Raw_Data!AP176="","",IF(Raw_Data!AP176="oui",1,0))</f>
        <v/>
      </c>
      <c r="W173" s="12" t="str">
        <f>IF(Raw_Data!AQ176="","",IF(Raw_Data!AQ176="oui",1,0))</f>
        <v/>
      </c>
      <c r="X173" s="12" t="str">
        <f>IF(Raw_Data!AR176="","",IF(Raw_Data!AR176="oui",1,0))</f>
        <v/>
      </c>
      <c r="Y173" s="12" t="str">
        <f>IF(Raw_Data!AS176="","",IF(Raw_Data!AS176="oui",1,0))</f>
        <v/>
      </c>
      <c r="Z173" s="12" t="str">
        <f>IF(Raw_Data!V176="","",IF(Raw_Data!V176="oui",1,0))</f>
        <v/>
      </c>
      <c r="AA173" s="12" t="str">
        <f>IF(Raw_Data!W176="","",IF(Raw_Data!W176="oui",1,0))</f>
        <v/>
      </c>
      <c r="AB173" s="12" t="str">
        <f>IF(Raw_Data!Q176="","",IF(Raw_Data!Q176="oui",1,0))</f>
        <v/>
      </c>
      <c r="AC173" s="12">
        <f>Raw_Data!AF176</f>
        <v>0</v>
      </c>
      <c r="AD173" s="12" t="str">
        <f t="shared" si="23"/>
        <v/>
      </c>
      <c r="AE173" s="12" t="str">
        <f t="shared" si="24"/>
        <v/>
      </c>
      <c r="AF173" s="12" t="str">
        <f t="shared" si="25"/>
        <v/>
      </c>
      <c r="AG173" s="12">
        <f t="shared" si="26"/>
        <v>0</v>
      </c>
    </row>
    <row r="174" spans="1:33" ht="15" customHeight="1" x14ac:dyDescent="0.25">
      <c r="A174" s="12" t="str">
        <f>IF(Raw_Data!B177="","",Raw_Data!B177)</f>
        <v/>
      </c>
      <c r="B174" s="12">
        <f>IF(Raw_Data!X177&lt;&gt;"",Raw_Data!X177,Raw_Data!C177)</f>
        <v>0</v>
      </c>
      <c r="C174" s="12" t="str">
        <f>IF(Raw_Data!G177="","",Raw_Data!G177)</f>
        <v/>
      </c>
      <c r="D174" s="12" t="str">
        <f>IF(Raw_Data!H177="","",Raw_Data!H177)</f>
        <v/>
      </c>
      <c r="E174" s="12" t="str">
        <f>IF(Raw_Data!I177="","",Raw_Data!I177)</f>
        <v/>
      </c>
      <c r="F174" s="12" t="str">
        <f>IF(Raw_Data!J177="","",Raw_Data!J177)</f>
        <v/>
      </c>
      <c r="G174" s="12" t="str">
        <f>IF(Raw_Data!AH177&lt;&gt;"",Raw_Data!AH177,IF(Raw_Data!K177&lt;&gt;"",Raw_Data!K177,""))</f>
        <v/>
      </c>
      <c r="H174" s="12" t="str">
        <f>IF(Raw_Data!AI177&lt;&gt;"",Raw_Data!AI177,IF(Raw_Data!L177&lt;&gt;"",Raw_Data!L177,""))</f>
        <v/>
      </c>
      <c r="I174" s="12" t="str">
        <f t="shared" si="18"/>
        <v/>
      </c>
      <c r="J174" s="12" t="str">
        <f>IF(Raw_Data!M177="","",Raw_Data!M177)</f>
        <v/>
      </c>
      <c r="K174" s="12">
        <f>IF(Raw_Data!AJ177&lt;&gt;"",Raw_Data!AJ177,Raw_Data!N177)</f>
        <v>0</v>
      </c>
      <c r="L174" s="12">
        <f t="shared" si="19"/>
        <v>1</v>
      </c>
      <c r="M174" s="12" t="str">
        <f>IF(Raw_Data!AK177="","",Raw_Data!AK177)</f>
        <v/>
      </c>
      <c r="N174" s="12" t="str">
        <f>IF(Raw_Data!T177="","",Raw_Data!T177)</f>
        <v/>
      </c>
      <c r="O174" s="12" t="str">
        <f>IF(Raw_Data!AB177&lt;&gt;"",Raw_Data!AB177,IF(N174="tres_insatisfait",1,IF(N174="insatisfait",2,IF(N174="neutre",3,IF(N174="satisfait",4,IF(N174="tres_satisfait",5,""))))))</f>
        <v/>
      </c>
      <c r="P174" s="12">
        <f>IF(Raw_Data!AL177&lt;&gt;"",Raw_Data!AL177,Raw_Data!R177)</f>
        <v>0</v>
      </c>
      <c r="Q174" s="12">
        <f t="shared" si="20"/>
        <v>0</v>
      </c>
      <c r="R174" s="12" t="str">
        <f>IF(Raw_Data!AM177="","",Raw_Data!AM177)</f>
        <v/>
      </c>
      <c r="S174" s="12" t="str">
        <f t="shared" si="21"/>
        <v/>
      </c>
      <c r="T174" s="12" t="str">
        <f>IF(Raw_Data!AN177="","",Raw_Data!AN177)</f>
        <v/>
      </c>
      <c r="U174" s="12" t="str">
        <f t="shared" si="22"/>
        <v/>
      </c>
      <c r="V174" s="12" t="str">
        <f>IF(Raw_Data!AP177="","",IF(Raw_Data!AP177="oui",1,0))</f>
        <v/>
      </c>
      <c r="W174" s="12" t="str">
        <f>IF(Raw_Data!AQ177="","",IF(Raw_Data!AQ177="oui",1,0))</f>
        <v/>
      </c>
      <c r="X174" s="12" t="str">
        <f>IF(Raw_Data!AR177="","",IF(Raw_Data!AR177="oui",1,0))</f>
        <v/>
      </c>
      <c r="Y174" s="12" t="str">
        <f>IF(Raw_Data!AS177="","",IF(Raw_Data!AS177="oui",1,0))</f>
        <v/>
      </c>
      <c r="Z174" s="12" t="str">
        <f>IF(Raw_Data!V177="","",IF(Raw_Data!V177="oui",1,0))</f>
        <v/>
      </c>
      <c r="AA174" s="12" t="str">
        <f>IF(Raw_Data!W177="","",IF(Raw_Data!W177="oui",1,0))</f>
        <v/>
      </c>
      <c r="AB174" s="12" t="str">
        <f>IF(Raw_Data!Q177="","",IF(Raw_Data!Q177="oui",1,0))</f>
        <v/>
      </c>
      <c r="AC174" s="12">
        <f>Raw_Data!AF177</f>
        <v>0</v>
      </c>
      <c r="AD174" s="12" t="str">
        <f t="shared" si="23"/>
        <v/>
      </c>
      <c r="AE174" s="12" t="str">
        <f t="shared" si="24"/>
        <v/>
      </c>
      <c r="AF174" s="12" t="str">
        <f t="shared" si="25"/>
        <v/>
      </c>
      <c r="AG174" s="12">
        <f t="shared" si="26"/>
        <v>0</v>
      </c>
    </row>
    <row r="175" spans="1:33" ht="15" customHeight="1" x14ac:dyDescent="0.25">
      <c r="A175" s="12" t="str">
        <f>IF(Raw_Data!B178="","",Raw_Data!B178)</f>
        <v/>
      </c>
      <c r="B175" s="12">
        <f>IF(Raw_Data!X178&lt;&gt;"",Raw_Data!X178,Raw_Data!C178)</f>
        <v>0</v>
      </c>
      <c r="C175" s="12" t="str">
        <f>IF(Raw_Data!G178="","",Raw_Data!G178)</f>
        <v/>
      </c>
      <c r="D175" s="12" t="str">
        <f>IF(Raw_Data!H178="","",Raw_Data!H178)</f>
        <v/>
      </c>
      <c r="E175" s="12" t="str">
        <f>IF(Raw_Data!I178="","",Raw_Data!I178)</f>
        <v/>
      </c>
      <c r="F175" s="12" t="str">
        <f>IF(Raw_Data!J178="","",Raw_Data!J178)</f>
        <v/>
      </c>
      <c r="G175" s="12" t="str">
        <f>IF(Raw_Data!AH178&lt;&gt;"",Raw_Data!AH178,IF(Raw_Data!K178&lt;&gt;"",Raw_Data!K178,""))</f>
        <v/>
      </c>
      <c r="H175" s="12" t="str">
        <f>IF(Raw_Data!AI178&lt;&gt;"",Raw_Data!AI178,IF(Raw_Data!L178&lt;&gt;"",Raw_Data!L178,""))</f>
        <v/>
      </c>
      <c r="I175" s="12" t="str">
        <f t="shared" si="18"/>
        <v/>
      </c>
      <c r="J175" s="12" t="str">
        <f>IF(Raw_Data!M178="","",Raw_Data!M178)</f>
        <v/>
      </c>
      <c r="K175" s="12">
        <f>IF(Raw_Data!AJ178&lt;&gt;"",Raw_Data!AJ178,Raw_Data!N178)</f>
        <v>0</v>
      </c>
      <c r="L175" s="12">
        <f t="shared" si="19"/>
        <v>1</v>
      </c>
      <c r="M175" s="12" t="str">
        <f>IF(Raw_Data!AK178="","",Raw_Data!AK178)</f>
        <v/>
      </c>
      <c r="N175" s="12" t="str">
        <f>IF(Raw_Data!T178="","",Raw_Data!T178)</f>
        <v/>
      </c>
      <c r="O175" s="12" t="str">
        <f>IF(Raw_Data!AB178&lt;&gt;"",Raw_Data!AB178,IF(N175="tres_insatisfait",1,IF(N175="insatisfait",2,IF(N175="neutre",3,IF(N175="satisfait",4,IF(N175="tres_satisfait",5,""))))))</f>
        <v/>
      </c>
      <c r="P175" s="12">
        <f>IF(Raw_Data!AL178&lt;&gt;"",Raw_Data!AL178,Raw_Data!R178)</f>
        <v>0</v>
      </c>
      <c r="Q175" s="12">
        <f t="shared" si="20"/>
        <v>0</v>
      </c>
      <c r="R175" s="12" t="str">
        <f>IF(Raw_Data!AM178="","",Raw_Data!AM178)</f>
        <v/>
      </c>
      <c r="S175" s="12" t="str">
        <f t="shared" si="21"/>
        <v/>
      </c>
      <c r="T175" s="12" t="str">
        <f>IF(Raw_Data!AN178="","",Raw_Data!AN178)</f>
        <v/>
      </c>
      <c r="U175" s="12" t="str">
        <f t="shared" si="22"/>
        <v/>
      </c>
      <c r="V175" s="12" t="str">
        <f>IF(Raw_Data!AP178="","",IF(Raw_Data!AP178="oui",1,0))</f>
        <v/>
      </c>
      <c r="W175" s="12" t="str">
        <f>IF(Raw_Data!AQ178="","",IF(Raw_Data!AQ178="oui",1,0))</f>
        <v/>
      </c>
      <c r="X175" s="12" t="str">
        <f>IF(Raw_Data!AR178="","",IF(Raw_Data!AR178="oui",1,0))</f>
        <v/>
      </c>
      <c r="Y175" s="12" t="str">
        <f>IF(Raw_Data!AS178="","",IF(Raw_Data!AS178="oui",1,0))</f>
        <v/>
      </c>
      <c r="Z175" s="12" t="str">
        <f>IF(Raw_Data!V178="","",IF(Raw_Data!V178="oui",1,0))</f>
        <v/>
      </c>
      <c r="AA175" s="12" t="str">
        <f>IF(Raw_Data!W178="","",IF(Raw_Data!W178="oui",1,0))</f>
        <v/>
      </c>
      <c r="AB175" s="12" t="str">
        <f>IF(Raw_Data!Q178="","",IF(Raw_Data!Q178="oui",1,0))</f>
        <v/>
      </c>
      <c r="AC175" s="12">
        <f>Raw_Data!AF178</f>
        <v>0</v>
      </c>
      <c r="AD175" s="12" t="str">
        <f t="shared" si="23"/>
        <v/>
      </c>
      <c r="AE175" s="12" t="str">
        <f t="shared" si="24"/>
        <v/>
      </c>
      <c r="AF175" s="12" t="str">
        <f t="shared" si="25"/>
        <v/>
      </c>
      <c r="AG175" s="12">
        <f t="shared" si="26"/>
        <v>0</v>
      </c>
    </row>
    <row r="176" spans="1:33" ht="15" customHeight="1" x14ac:dyDescent="0.25">
      <c r="A176" s="12" t="str">
        <f>IF(Raw_Data!B179="","",Raw_Data!B179)</f>
        <v/>
      </c>
      <c r="B176" s="12">
        <f>IF(Raw_Data!X179&lt;&gt;"",Raw_Data!X179,Raw_Data!C179)</f>
        <v>0</v>
      </c>
      <c r="C176" s="12" t="str">
        <f>IF(Raw_Data!G179="","",Raw_Data!G179)</f>
        <v/>
      </c>
      <c r="D176" s="12" t="str">
        <f>IF(Raw_Data!H179="","",Raw_Data!H179)</f>
        <v/>
      </c>
      <c r="E176" s="12" t="str">
        <f>IF(Raw_Data!I179="","",Raw_Data!I179)</f>
        <v/>
      </c>
      <c r="F176" s="12" t="str">
        <f>IF(Raw_Data!J179="","",Raw_Data!J179)</f>
        <v/>
      </c>
      <c r="G176" s="12" t="str">
        <f>IF(Raw_Data!AH179&lt;&gt;"",Raw_Data!AH179,IF(Raw_Data!K179&lt;&gt;"",Raw_Data!K179,""))</f>
        <v/>
      </c>
      <c r="H176" s="12" t="str">
        <f>IF(Raw_Data!AI179&lt;&gt;"",Raw_Data!AI179,IF(Raw_Data!L179&lt;&gt;"",Raw_Data!L179,""))</f>
        <v/>
      </c>
      <c r="I176" s="12" t="str">
        <f t="shared" si="18"/>
        <v/>
      </c>
      <c r="J176" s="12" t="str">
        <f>IF(Raw_Data!M179="","",Raw_Data!M179)</f>
        <v/>
      </c>
      <c r="K176" s="12">
        <f>IF(Raw_Data!AJ179&lt;&gt;"",Raw_Data!AJ179,Raw_Data!N179)</f>
        <v>0</v>
      </c>
      <c r="L176" s="12">
        <f t="shared" si="19"/>
        <v>1</v>
      </c>
      <c r="M176" s="12" t="str">
        <f>IF(Raw_Data!AK179="","",Raw_Data!AK179)</f>
        <v/>
      </c>
      <c r="N176" s="12" t="str">
        <f>IF(Raw_Data!T179="","",Raw_Data!T179)</f>
        <v/>
      </c>
      <c r="O176" s="12" t="str">
        <f>IF(Raw_Data!AB179&lt;&gt;"",Raw_Data!AB179,IF(N176="tres_insatisfait",1,IF(N176="insatisfait",2,IF(N176="neutre",3,IF(N176="satisfait",4,IF(N176="tres_satisfait",5,""))))))</f>
        <v/>
      </c>
      <c r="P176" s="12">
        <f>IF(Raw_Data!AL179&lt;&gt;"",Raw_Data!AL179,Raw_Data!R179)</f>
        <v>0</v>
      </c>
      <c r="Q176" s="12">
        <f t="shared" si="20"/>
        <v>0</v>
      </c>
      <c r="R176" s="12" t="str">
        <f>IF(Raw_Data!AM179="","",Raw_Data!AM179)</f>
        <v/>
      </c>
      <c r="S176" s="12" t="str">
        <f t="shared" si="21"/>
        <v/>
      </c>
      <c r="T176" s="12" t="str">
        <f>IF(Raw_Data!AN179="","",Raw_Data!AN179)</f>
        <v/>
      </c>
      <c r="U176" s="12" t="str">
        <f t="shared" si="22"/>
        <v/>
      </c>
      <c r="V176" s="12" t="str">
        <f>IF(Raw_Data!AP179="","",IF(Raw_Data!AP179="oui",1,0))</f>
        <v/>
      </c>
      <c r="W176" s="12" t="str">
        <f>IF(Raw_Data!AQ179="","",IF(Raw_Data!AQ179="oui",1,0))</f>
        <v/>
      </c>
      <c r="X176" s="12" t="str">
        <f>IF(Raw_Data!AR179="","",IF(Raw_Data!AR179="oui",1,0))</f>
        <v/>
      </c>
      <c r="Y176" s="12" t="str">
        <f>IF(Raw_Data!AS179="","",IF(Raw_Data!AS179="oui",1,0))</f>
        <v/>
      </c>
      <c r="Z176" s="12" t="str">
        <f>IF(Raw_Data!V179="","",IF(Raw_Data!V179="oui",1,0))</f>
        <v/>
      </c>
      <c r="AA176" s="12" t="str">
        <f>IF(Raw_Data!W179="","",IF(Raw_Data!W179="oui",1,0))</f>
        <v/>
      </c>
      <c r="AB176" s="12" t="str">
        <f>IF(Raw_Data!Q179="","",IF(Raw_Data!Q179="oui",1,0))</f>
        <v/>
      </c>
      <c r="AC176" s="12">
        <f>Raw_Data!AF179</f>
        <v>0</v>
      </c>
      <c r="AD176" s="12" t="str">
        <f t="shared" si="23"/>
        <v/>
      </c>
      <c r="AE176" s="12" t="str">
        <f t="shared" si="24"/>
        <v/>
      </c>
      <c r="AF176" s="12" t="str">
        <f t="shared" si="25"/>
        <v/>
      </c>
      <c r="AG176" s="12">
        <f t="shared" si="26"/>
        <v>0</v>
      </c>
    </row>
    <row r="177" spans="1:33" ht="15" customHeight="1" x14ac:dyDescent="0.25">
      <c r="A177" s="12" t="str">
        <f>IF(Raw_Data!B180="","",Raw_Data!B180)</f>
        <v/>
      </c>
      <c r="B177" s="12">
        <f>IF(Raw_Data!X180&lt;&gt;"",Raw_Data!X180,Raw_Data!C180)</f>
        <v>0</v>
      </c>
      <c r="C177" s="12" t="str">
        <f>IF(Raw_Data!G180="","",Raw_Data!G180)</f>
        <v/>
      </c>
      <c r="D177" s="12" t="str">
        <f>IF(Raw_Data!H180="","",Raw_Data!H180)</f>
        <v/>
      </c>
      <c r="E177" s="12" t="str">
        <f>IF(Raw_Data!I180="","",Raw_Data!I180)</f>
        <v/>
      </c>
      <c r="F177" s="12" t="str">
        <f>IF(Raw_Data!J180="","",Raw_Data!J180)</f>
        <v/>
      </c>
      <c r="G177" s="12" t="str">
        <f>IF(Raw_Data!AH180&lt;&gt;"",Raw_Data!AH180,IF(Raw_Data!K180&lt;&gt;"",Raw_Data!K180,""))</f>
        <v/>
      </c>
      <c r="H177" s="12" t="str">
        <f>IF(Raw_Data!AI180&lt;&gt;"",Raw_Data!AI180,IF(Raw_Data!L180&lt;&gt;"",Raw_Data!L180,""))</f>
        <v/>
      </c>
      <c r="I177" s="12" t="str">
        <f t="shared" si="18"/>
        <v/>
      </c>
      <c r="J177" s="12" t="str">
        <f>IF(Raw_Data!M180="","",Raw_Data!M180)</f>
        <v/>
      </c>
      <c r="K177" s="12">
        <f>IF(Raw_Data!AJ180&lt;&gt;"",Raw_Data!AJ180,Raw_Data!N180)</f>
        <v>0</v>
      </c>
      <c r="L177" s="12">
        <f t="shared" si="19"/>
        <v>1</v>
      </c>
      <c r="M177" s="12" t="str">
        <f>IF(Raw_Data!AK180="","",Raw_Data!AK180)</f>
        <v/>
      </c>
      <c r="N177" s="12" t="str">
        <f>IF(Raw_Data!T180="","",Raw_Data!T180)</f>
        <v/>
      </c>
      <c r="O177" s="12" t="str">
        <f>IF(Raw_Data!AB180&lt;&gt;"",Raw_Data!AB180,IF(N177="tres_insatisfait",1,IF(N177="insatisfait",2,IF(N177="neutre",3,IF(N177="satisfait",4,IF(N177="tres_satisfait",5,""))))))</f>
        <v/>
      </c>
      <c r="P177" s="12">
        <f>IF(Raw_Data!AL180&lt;&gt;"",Raw_Data!AL180,Raw_Data!R180)</f>
        <v>0</v>
      </c>
      <c r="Q177" s="12">
        <f t="shared" si="20"/>
        <v>0</v>
      </c>
      <c r="R177" s="12" t="str">
        <f>IF(Raw_Data!AM180="","",Raw_Data!AM180)</f>
        <v/>
      </c>
      <c r="S177" s="12" t="str">
        <f t="shared" si="21"/>
        <v/>
      </c>
      <c r="T177" s="12" t="str">
        <f>IF(Raw_Data!AN180="","",Raw_Data!AN180)</f>
        <v/>
      </c>
      <c r="U177" s="12" t="str">
        <f t="shared" si="22"/>
        <v/>
      </c>
      <c r="V177" s="12" t="str">
        <f>IF(Raw_Data!AP180="","",IF(Raw_Data!AP180="oui",1,0))</f>
        <v/>
      </c>
      <c r="W177" s="12" t="str">
        <f>IF(Raw_Data!AQ180="","",IF(Raw_Data!AQ180="oui",1,0))</f>
        <v/>
      </c>
      <c r="X177" s="12" t="str">
        <f>IF(Raw_Data!AR180="","",IF(Raw_Data!AR180="oui",1,0))</f>
        <v/>
      </c>
      <c r="Y177" s="12" t="str">
        <f>IF(Raw_Data!AS180="","",IF(Raw_Data!AS180="oui",1,0))</f>
        <v/>
      </c>
      <c r="Z177" s="12" t="str">
        <f>IF(Raw_Data!V180="","",IF(Raw_Data!V180="oui",1,0))</f>
        <v/>
      </c>
      <c r="AA177" s="12" t="str">
        <f>IF(Raw_Data!W180="","",IF(Raw_Data!W180="oui",1,0))</f>
        <v/>
      </c>
      <c r="AB177" s="12" t="str">
        <f>IF(Raw_Data!Q180="","",IF(Raw_Data!Q180="oui",1,0))</f>
        <v/>
      </c>
      <c r="AC177" s="12">
        <f>Raw_Data!AF180</f>
        <v>0</v>
      </c>
      <c r="AD177" s="12" t="str">
        <f t="shared" si="23"/>
        <v/>
      </c>
      <c r="AE177" s="12" t="str">
        <f t="shared" si="24"/>
        <v/>
      </c>
      <c r="AF177" s="12" t="str">
        <f t="shared" si="25"/>
        <v/>
      </c>
      <c r="AG177" s="12">
        <f t="shared" si="26"/>
        <v>0</v>
      </c>
    </row>
    <row r="178" spans="1:33" ht="15" customHeight="1" x14ac:dyDescent="0.25">
      <c r="A178" s="12" t="str">
        <f>IF(Raw_Data!B181="","",Raw_Data!B181)</f>
        <v/>
      </c>
      <c r="B178" s="12">
        <f>IF(Raw_Data!X181&lt;&gt;"",Raw_Data!X181,Raw_Data!C181)</f>
        <v>0</v>
      </c>
      <c r="C178" s="12" t="str">
        <f>IF(Raw_Data!G181="","",Raw_Data!G181)</f>
        <v/>
      </c>
      <c r="D178" s="12" t="str">
        <f>IF(Raw_Data!H181="","",Raw_Data!H181)</f>
        <v/>
      </c>
      <c r="E178" s="12" t="str">
        <f>IF(Raw_Data!I181="","",Raw_Data!I181)</f>
        <v/>
      </c>
      <c r="F178" s="12" t="str">
        <f>IF(Raw_Data!J181="","",Raw_Data!J181)</f>
        <v/>
      </c>
      <c r="G178" s="12" t="str">
        <f>IF(Raw_Data!AH181&lt;&gt;"",Raw_Data!AH181,IF(Raw_Data!K181&lt;&gt;"",Raw_Data!K181,""))</f>
        <v/>
      </c>
      <c r="H178" s="12" t="str">
        <f>IF(Raw_Data!AI181&lt;&gt;"",Raw_Data!AI181,IF(Raw_Data!L181&lt;&gt;"",Raw_Data!L181,""))</f>
        <v/>
      </c>
      <c r="I178" s="12" t="str">
        <f t="shared" si="18"/>
        <v/>
      </c>
      <c r="J178" s="12" t="str">
        <f>IF(Raw_Data!M181="","",Raw_Data!M181)</f>
        <v/>
      </c>
      <c r="K178" s="12">
        <f>IF(Raw_Data!AJ181&lt;&gt;"",Raw_Data!AJ181,Raw_Data!N181)</f>
        <v>0</v>
      </c>
      <c r="L178" s="12">
        <f t="shared" si="19"/>
        <v>1</v>
      </c>
      <c r="M178" s="12" t="str">
        <f>IF(Raw_Data!AK181="","",Raw_Data!AK181)</f>
        <v/>
      </c>
      <c r="N178" s="12" t="str">
        <f>IF(Raw_Data!T181="","",Raw_Data!T181)</f>
        <v/>
      </c>
      <c r="O178" s="12" t="str">
        <f>IF(Raw_Data!AB181&lt;&gt;"",Raw_Data!AB181,IF(N178="tres_insatisfait",1,IF(N178="insatisfait",2,IF(N178="neutre",3,IF(N178="satisfait",4,IF(N178="tres_satisfait",5,""))))))</f>
        <v/>
      </c>
      <c r="P178" s="12">
        <f>IF(Raw_Data!AL181&lt;&gt;"",Raw_Data!AL181,Raw_Data!R181)</f>
        <v>0</v>
      </c>
      <c r="Q178" s="12">
        <f t="shared" si="20"/>
        <v>0</v>
      </c>
      <c r="R178" s="12" t="str">
        <f>IF(Raw_Data!AM181="","",Raw_Data!AM181)</f>
        <v/>
      </c>
      <c r="S178" s="12" t="str">
        <f t="shared" si="21"/>
        <v/>
      </c>
      <c r="T178" s="12" t="str">
        <f>IF(Raw_Data!AN181="","",Raw_Data!AN181)</f>
        <v/>
      </c>
      <c r="U178" s="12" t="str">
        <f t="shared" si="22"/>
        <v/>
      </c>
      <c r="V178" s="12" t="str">
        <f>IF(Raw_Data!AP181="","",IF(Raw_Data!AP181="oui",1,0))</f>
        <v/>
      </c>
      <c r="W178" s="12" t="str">
        <f>IF(Raw_Data!AQ181="","",IF(Raw_Data!AQ181="oui",1,0))</f>
        <v/>
      </c>
      <c r="X178" s="12" t="str">
        <f>IF(Raw_Data!AR181="","",IF(Raw_Data!AR181="oui",1,0))</f>
        <v/>
      </c>
      <c r="Y178" s="12" t="str">
        <f>IF(Raw_Data!AS181="","",IF(Raw_Data!AS181="oui",1,0))</f>
        <v/>
      </c>
      <c r="Z178" s="12" t="str">
        <f>IF(Raw_Data!V181="","",IF(Raw_Data!V181="oui",1,0))</f>
        <v/>
      </c>
      <c r="AA178" s="12" t="str">
        <f>IF(Raw_Data!W181="","",IF(Raw_Data!W181="oui",1,0))</f>
        <v/>
      </c>
      <c r="AB178" s="12" t="str">
        <f>IF(Raw_Data!Q181="","",IF(Raw_Data!Q181="oui",1,0))</f>
        <v/>
      </c>
      <c r="AC178" s="12">
        <f>Raw_Data!AF181</f>
        <v>0</v>
      </c>
      <c r="AD178" s="12" t="str">
        <f t="shared" si="23"/>
        <v/>
      </c>
      <c r="AE178" s="12" t="str">
        <f t="shared" si="24"/>
        <v/>
      </c>
      <c r="AF178" s="12" t="str">
        <f t="shared" si="25"/>
        <v/>
      </c>
      <c r="AG178" s="12">
        <f t="shared" si="26"/>
        <v>0</v>
      </c>
    </row>
    <row r="179" spans="1:33" ht="15" customHeight="1" x14ac:dyDescent="0.25">
      <c r="A179" s="12" t="str">
        <f>IF(Raw_Data!B182="","",Raw_Data!B182)</f>
        <v/>
      </c>
      <c r="B179" s="12">
        <f>IF(Raw_Data!X182&lt;&gt;"",Raw_Data!X182,Raw_Data!C182)</f>
        <v>0</v>
      </c>
      <c r="C179" s="12" t="str">
        <f>IF(Raw_Data!G182="","",Raw_Data!G182)</f>
        <v/>
      </c>
      <c r="D179" s="12" t="str">
        <f>IF(Raw_Data!H182="","",Raw_Data!H182)</f>
        <v/>
      </c>
      <c r="E179" s="12" t="str">
        <f>IF(Raw_Data!I182="","",Raw_Data!I182)</f>
        <v/>
      </c>
      <c r="F179" s="12" t="str">
        <f>IF(Raw_Data!J182="","",Raw_Data!J182)</f>
        <v/>
      </c>
      <c r="G179" s="12" t="str">
        <f>IF(Raw_Data!AH182&lt;&gt;"",Raw_Data!AH182,IF(Raw_Data!K182&lt;&gt;"",Raw_Data!K182,""))</f>
        <v/>
      </c>
      <c r="H179" s="12" t="str">
        <f>IF(Raw_Data!AI182&lt;&gt;"",Raw_Data!AI182,IF(Raw_Data!L182&lt;&gt;"",Raw_Data!L182,""))</f>
        <v/>
      </c>
      <c r="I179" s="12" t="str">
        <f t="shared" si="18"/>
        <v/>
      </c>
      <c r="J179" s="12" t="str">
        <f>IF(Raw_Data!M182="","",Raw_Data!M182)</f>
        <v/>
      </c>
      <c r="K179" s="12">
        <f>IF(Raw_Data!AJ182&lt;&gt;"",Raw_Data!AJ182,Raw_Data!N182)</f>
        <v>0</v>
      </c>
      <c r="L179" s="12">
        <f t="shared" si="19"/>
        <v>1</v>
      </c>
      <c r="M179" s="12" t="str">
        <f>IF(Raw_Data!AK182="","",Raw_Data!AK182)</f>
        <v/>
      </c>
      <c r="N179" s="12" t="str">
        <f>IF(Raw_Data!T182="","",Raw_Data!T182)</f>
        <v/>
      </c>
      <c r="O179" s="12" t="str">
        <f>IF(Raw_Data!AB182&lt;&gt;"",Raw_Data!AB182,IF(N179="tres_insatisfait",1,IF(N179="insatisfait",2,IF(N179="neutre",3,IF(N179="satisfait",4,IF(N179="tres_satisfait",5,""))))))</f>
        <v/>
      </c>
      <c r="P179" s="12">
        <f>IF(Raw_Data!AL182&lt;&gt;"",Raw_Data!AL182,Raw_Data!R182)</f>
        <v>0</v>
      </c>
      <c r="Q179" s="12">
        <f t="shared" si="20"/>
        <v>0</v>
      </c>
      <c r="R179" s="12" t="str">
        <f>IF(Raw_Data!AM182="","",Raw_Data!AM182)</f>
        <v/>
      </c>
      <c r="S179" s="12" t="str">
        <f t="shared" si="21"/>
        <v/>
      </c>
      <c r="T179" s="12" t="str">
        <f>IF(Raw_Data!AN182="","",Raw_Data!AN182)</f>
        <v/>
      </c>
      <c r="U179" s="12" t="str">
        <f t="shared" si="22"/>
        <v/>
      </c>
      <c r="V179" s="12" t="str">
        <f>IF(Raw_Data!AP182="","",IF(Raw_Data!AP182="oui",1,0))</f>
        <v/>
      </c>
      <c r="W179" s="12" t="str">
        <f>IF(Raw_Data!AQ182="","",IF(Raw_Data!AQ182="oui",1,0))</f>
        <v/>
      </c>
      <c r="X179" s="12" t="str">
        <f>IF(Raw_Data!AR182="","",IF(Raw_Data!AR182="oui",1,0))</f>
        <v/>
      </c>
      <c r="Y179" s="12" t="str">
        <f>IF(Raw_Data!AS182="","",IF(Raw_Data!AS182="oui",1,0))</f>
        <v/>
      </c>
      <c r="Z179" s="12" t="str">
        <f>IF(Raw_Data!V182="","",IF(Raw_Data!V182="oui",1,0))</f>
        <v/>
      </c>
      <c r="AA179" s="12" t="str">
        <f>IF(Raw_Data!W182="","",IF(Raw_Data!W182="oui",1,0))</f>
        <v/>
      </c>
      <c r="AB179" s="12" t="str">
        <f>IF(Raw_Data!Q182="","",IF(Raw_Data!Q182="oui",1,0))</f>
        <v/>
      </c>
      <c r="AC179" s="12">
        <f>Raw_Data!AF182</f>
        <v>0</v>
      </c>
      <c r="AD179" s="12" t="str">
        <f t="shared" si="23"/>
        <v/>
      </c>
      <c r="AE179" s="12" t="str">
        <f t="shared" si="24"/>
        <v/>
      </c>
      <c r="AF179" s="12" t="str">
        <f t="shared" si="25"/>
        <v/>
      </c>
      <c r="AG179" s="12">
        <f t="shared" si="26"/>
        <v>0</v>
      </c>
    </row>
    <row r="180" spans="1:33" ht="15" customHeight="1" x14ac:dyDescent="0.25">
      <c r="A180" s="12" t="str">
        <f>IF(Raw_Data!B183="","",Raw_Data!B183)</f>
        <v/>
      </c>
      <c r="B180" s="12">
        <f>IF(Raw_Data!X183&lt;&gt;"",Raw_Data!X183,Raw_Data!C183)</f>
        <v>0</v>
      </c>
      <c r="C180" s="12" t="str">
        <f>IF(Raw_Data!G183="","",Raw_Data!G183)</f>
        <v/>
      </c>
      <c r="D180" s="12" t="str">
        <f>IF(Raw_Data!H183="","",Raw_Data!H183)</f>
        <v/>
      </c>
      <c r="E180" s="12" t="str">
        <f>IF(Raw_Data!I183="","",Raw_Data!I183)</f>
        <v/>
      </c>
      <c r="F180" s="12" t="str">
        <f>IF(Raw_Data!J183="","",Raw_Data!J183)</f>
        <v/>
      </c>
      <c r="G180" s="12" t="str">
        <f>IF(Raw_Data!AH183&lt;&gt;"",Raw_Data!AH183,IF(Raw_Data!K183&lt;&gt;"",Raw_Data!K183,""))</f>
        <v/>
      </c>
      <c r="H180" s="12" t="str">
        <f>IF(Raw_Data!AI183&lt;&gt;"",Raw_Data!AI183,IF(Raw_Data!L183&lt;&gt;"",Raw_Data!L183,""))</f>
        <v/>
      </c>
      <c r="I180" s="12" t="str">
        <f t="shared" si="18"/>
        <v/>
      </c>
      <c r="J180" s="12" t="str">
        <f>IF(Raw_Data!M183="","",Raw_Data!M183)</f>
        <v/>
      </c>
      <c r="K180" s="12">
        <f>IF(Raw_Data!AJ183&lt;&gt;"",Raw_Data!AJ183,Raw_Data!N183)</f>
        <v>0</v>
      </c>
      <c r="L180" s="12">
        <f t="shared" si="19"/>
        <v>1</v>
      </c>
      <c r="M180" s="12" t="str">
        <f>IF(Raw_Data!AK183="","",Raw_Data!AK183)</f>
        <v/>
      </c>
      <c r="N180" s="12" t="str">
        <f>IF(Raw_Data!T183="","",Raw_Data!T183)</f>
        <v/>
      </c>
      <c r="O180" s="12" t="str">
        <f>IF(Raw_Data!AB183&lt;&gt;"",Raw_Data!AB183,IF(N180="tres_insatisfait",1,IF(N180="insatisfait",2,IF(N180="neutre",3,IF(N180="satisfait",4,IF(N180="tres_satisfait",5,""))))))</f>
        <v/>
      </c>
      <c r="P180" s="12">
        <f>IF(Raw_Data!AL183&lt;&gt;"",Raw_Data!AL183,Raw_Data!R183)</f>
        <v>0</v>
      </c>
      <c r="Q180" s="12">
        <f t="shared" si="20"/>
        <v>0</v>
      </c>
      <c r="R180" s="12" t="str">
        <f>IF(Raw_Data!AM183="","",Raw_Data!AM183)</f>
        <v/>
      </c>
      <c r="S180" s="12" t="str">
        <f t="shared" si="21"/>
        <v/>
      </c>
      <c r="T180" s="12" t="str">
        <f>IF(Raw_Data!AN183="","",Raw_Data!AN183)</f>
        <v/>
      </c>
      <c r="U180" s="12" t="str">
        <f t="shared" si="22"/>
        <v/>
      </c>
      <c r="V180" s="12" t="str">
        <f>IF(Raw_Data!AP183="","",IF(Raw_Data!AP183="oui",1,0))</f>
        <v/>
      </c>
      <c r="W180" s="12" t="str">
        <f>IF(Raw_Data!AQ183="","",IF(Raw_Data!AQ183="oui",1,0))</f>
        <v/>
      </c>
      <c r="X180" s="12" t="str">
        <f>IF(Raw_Data!AR183="","",IF(Raw_Data!AR183="oui",1,0))</f>
        <v/>
      </c>
      <c r="Y180" s="12" t="str">
        <f>IF(Raw_Data!AS183="","",IF(Raw_Data!AS183="oui",1,0))</f>
        <v/>
      </c>
      <c r="Z180" s="12" t="str">
        <f>IF(Raw_Data!V183="","",IF(Raw_Data!V183="oui",1,0))</f>
        <v/>
      </c>
      <c r="AA180" s="12" t="str">
        <f>IF(Raw_Data!W183="","",IF(Raw_Data!W183="oui",1,0))</f>
        <v/>
      </c>
      <c r="AB180" s="12" t="str">
        <f>IF(Raw_Data!Q183="","",IF(Raw_Data!Q183="oui",1,0))</f>
        <v/>
      </c>
      <c r="AC180" s="12">
        <f>Raw_Data!AF183</f>
        <v>0</v>
      </c>
      <c r="AD180" s="12" t="str">
        <f t="shared" si="23"/>
        <v/>
      </c>
      <c r="AE180" s="12" t="str">
        <f t="shared" si="24"/>
        <v/>
      </c>
      <c r="AF180" s="12" t="str">
        <f t="shared" si="25"/>
        <v/>
      </c>
      <c r="AG180" s="12">
        <f t="shared" si="26"/>
        <v>0</v>
      </c>
    </row>
    <row r="181" spans="1:33" ht="15" customHeight="1" x14ac:dyDescent="0.25">
      <c r="A181" s="12" t="str">
        <f>IF(Raw_Data!B184="","",Raw_Data!B184)</f>
        <v/>
      </c>
      <c r="B181" s="12">
        <f>IF(Raw_Data!X184&lt;&gt;"",Raw_Data!X184,Raw_Data!C184)</f>
        <v>0</v>
      </c>
      <c r="C181" s="12" t="str">
        <f>IF(Raw_Data!G184="","",Raw_Data!G184)</f>
        <v/>
      </c>
      <c r="D181" s="12" t="str">
        <f>IF(Raw_Data!H184="","",Raw_Data!H184)</f>
        <v/>
      </c>
      <c r="E181" s="12" t="str">
        <f>IF(Raw_Data!I184="","",Raw_Data!I184)</f>
        <v/>
      </c>
      <c r="F181" s="12" t="str">
        <f>IF(Raw_Data!J184="","",Raw_Data!J184)</f>
        <v/>
      </c>
      <c r="G181" s="12" t="str">
        <f>IF(Raw_Data!AH184&lt;&gt;"",Raw_Data!AH184,IF(Raw_Data!K184&lt;&gt;"",Raw_Data!K184,""))</f>
        <v/>
      </c>
      <c r="H181" s="12" t="str">
        <f>IF(Raw_Data!AI184&lt;&gt;"",Raw_Data!AI184,IF(Raw_Data!L184&lt;&gt;"",Raw_Data!L184,""))</f>
        <v/>
      </c>
      <c r="I181" s="12" t="str">
        <f t="shared" si="18"/>
        <v/>
      </c>
      <c r="J181" s="12" t="str">
        <f>IF(Raw_Data!M184="","",Raw_Data!M184)</f>
        <v/>
      </c>
      <c r="K181" s="12">
        <f>IF(Raw_Data!AJ184&lt;&gt;"",Raw_Data!AJ184,Raw_Data!N184)</f>
        <v>0</v>
      </c>
      <c r="L181" s="12">
        <f t="shared" si="19"/>
        <v>1</v>
      </c>
      <c r="M181" s="12" t="str">
        <f>IF(Raw_Data!AK184="","",Raw_Data!AK184)</f>
        <v/>
      </c>
      <c r="N181" s="12" t="str">
        <f>IF(Raw_Data!T184="","",Raw_Data!T184)</f>
        <v/>
      </c>
      <c r="O181" s="12" t="str">
        <f>IF(Raw_Data!AB184&lt;&gt;"",Raw_Data!AB184,IF(N181="tres_insatisfait",1,IF(N181="insatisfait",2,IF(N181="neutre",3,IF(N181="satisfait",4,IF(N181="tres_satisfait",5,""))))))</f>
        <v/>
      </c>
      <c r="P181" s="12">
        <f>IF(Raw_Data!AL184&lt;&gt;"",Raw_Data!AL184,Raw_Data!R184)</f>
        <v>0</v>
      </c>
      <c r="Q181" s="12">
        <f t="shared" si="20"/>
        <v>0</v>
      </c>
      <c r="R181" s="12" t="str">
        <f>IF(Raw_Data!AM184="","",Raw_Data!AM184)</f>
        <v/>
      </c>
      <c r="S181" s="12" t="str">
        <f t="shared" si="21"/>
        <v/>
      </c>
      <c r="T181" s="12" t="str">
        <f>IF(Raw_Data!AN184="","",Raw_Data!AN184)</f>
        <v/>
      </c>
      <c r="U181" s="12" t="str">
        <f t="shared" si="22"/>
        <v/>
      </c>
      <c r="V181" s="12" t="str">
        <f>IF(Raw_Data!AP184="","",IF(Raw_Data!AP184="oui",1,0))</f>
        <v/>
      </c>
      <c r="W181" s="12" t="str">
        <f>IF(Raw_Data!AQ184="","",IF(Raw_Data!AQ184="oui",1,0))</f>
        <v/>
      </c>
      <c r="X181" s="12" t="str">
        <f>IF(Raw_Data!AR184="","",IF(Raw_Data!AR184="oui",1,0))</f>
        <v/>
      </c>
      <c r="Y181" s="12" t="str">
        <f>IF(Raw_Data!AS184="","",IF(Raw_Data!AS184="oui",1,0))</f>
        <v/>
      </c>
      <c r="Z181" s="12" t="str">
        <f>IF(Raw_Data!V184="","",IF(Raw_Data!V184="oui",1,0))</f>
        <v/>
      </c>
      <c r="AA181" s="12" t="str">
        <f>IF(Raw_Data!W184="","",IF(Raw_Data!W184="oui",1,0))</f>
        <v/>
      </c>
      <c r="AB181" s="12" t="str">
        <f>IF(Raw_Data!Q184="","",IF(Raw_Data!Q184="oui",1,0))</f>
        <v/>
      </c>
      <c r="AC181" s="12">
        <f>Raw_Data!AF184</f>
        <v>0</v>
      </c>
      <c r="AD181" s="12" t="str">
        <f t="shared" si="23"/>
        <v/>
      </c>
      <c r="AE181" s="12" t="str">
        <f t="shared" si="24"/>
        <v/>
      </c>
      <c r="AF181" s="12" t="str">
        <f t="shared" si="25"/>
        <v/>
      </c>
      <c r="AG181" s="12">
        <f t="shared" si="26"/>
        <v>0</v>
      </c>
    </row>
    <row r="182" spans="1:33" ht="15" customHeight="1" x14ac:dyDescent="0.25">
      <c r="A182" s="12" t="str">
        <f>IF(Raw_Data!B185="","",Raw_Data!B185)</f>
        <v/>
      </c>
      <c r="B182" s="12">
        <f>IF(Raw_Data!X185&lt;&gt;"",Raw_Data!X185,Raw_Data!C185)</f>
        <v>0</v>
      </c>
      <c r="C182" s="12" t="str">
        <f>IF(Raw_Data!G185="","",Raw_Data!G185)</f>
        <v/>
      </c>
      <c r="D182" s="12" t="str">
        <f>IF(Raw_Data!H185="","",Raw_Data!H185)</f>
        <v/>
      </c>
      <c r="E182" s="12" t="str">
        <f>IF(Raw_Data!I185="","",Raw_Data!I185)</f>
        <v/>
      </c>
      <c r="F182" s="12" t="str">
        <f>IF(Raw_Data!J185="","",Raw_Data!J185)</f>
        <v/>
      </c>
      <c r="G182" s="12" t="str">
        <f>IF(Raw_Data!AH185&lt;&gt;"",Raw_Data!AH185,IF(Raw_Data!K185&lt;&gt;"",Raw_Data!K185,""))</f>
        <v/>
      </c>
      <c r="H182" s="12" t="str">
        <f>IF(Raw_Data!AI185&lt;&gt;"",Raw_Data!AI185,IF(Raw_Data!L185&lt;&gt;"",Raw_Data!L185,""))</f>
        <v/>
      </c>
      <c r="I182" s="12" t="str">
        <f t="shared" si="18"/>
        <v/>
      </c>
      <c r="J182" s="12" t="str">
        <f>IF(Raw_Data!M185="","",Raw_Data!M185)</f>
        <v/>
      </c>
      <c r="K182" s="12">
        <f>IF(Raw_Data!AJ185&lt;&gt;"",Raw_Data!AJ185,Raw_Data!N185)</f>
        <v>0</v>
      </c>
      <c r="L182" s="12">
        <f t="shared" si="19"/>
        <v>1</v>
      </c>
      <c r="M182" s="12" t="str">
        <f>IF(Raw_Data!AK185="","",Raw_Data!AK185)</f>
        <v/>
      </c>
      <c r="N182" s="12" t="str">
        <f>IF(Raw_Data!T185="","",Raw_Data!T185)</f>
        <v/>
      </c>
      <c r="O182" s="12" t="str">
        <f>IF(Raw_Data!AB185&lt;&gt;"",Raw_Data!AB185,IF(N182="tres_insatisfait",1,IF(N182="insatisfait",2,IF(N182="neutre",3,IF(N182="satisfait",4,IF(N182="tres_satisfait",5,""))))))</f>
        <v/>
      </c>
      <c r="P182" s="12">
        <f>IF(Raw_Data!AL185&lt;&gt;"",Raw_Data!AL185,Raw_Data!R185)</f>
        <v>0</v>
      </c>
      <c r="Q182" s="12">
        <f t="shared" si="20"/>
        <v>0</v>
      </c>
      <c r="R182" s="12" t="str">
        <f>IF(Raw_Data!AM185="","",Raw_Data!AM185)</f>
        <v/>
      </c>
      <c r="S182" s="12" t="str">
        <f t="shared" si="21"/>
        <v/>
      </c>
      <c r="T182" s="12" t="str">
        <f>IF(Raw_Data!AN185="","",Raw_Data!AN185)</f>
        <v/>
      </c>
      <c r="U182" s="12" t="str">
        <f t="shared" si="22"/>
        <v/>
      </c>
      <c r="V182" s="12" t="str">
        <f>IF(Raw_Data!AP185="","",IF(Raw_Data!AP185="oui",1,0))</f>
        <v/>
      </c>
      <c r="W182" s="12" t="str">
        <f>IF(Raw_Data!AQ185="","",IF(Raw_Data!AQ185="oui",1,0))</f>
        <v/>
      </c>
      <c r="X182" s="12" t="str">
        <f>IF(Raw_Data!AR185="","",IF(Raw_Data!AR185="oui",1,0))</f>
        <v/>
      </c>
      <c r="Y182" s="12" t="str">
        <f>IF(Raw_Data!AS185="","",IF(Raw_Data!AS185="oui",1,0))</f>
        <v/>
      </c>
      <c r="Z182" s="12" t="str">
        <f>IF(Raw_Data!V185="","",IF(Raw_Data!V185="oui",1,0))</f>
        <v/>
      </c>
      <c r="AA182" s="12" t="str">
        <f>IF(Raw_Data!W185="","",IF(Raw_Data!W185="oui",1,0))</f>
        <v/>
      </c>
      <c r="AB182" s="12" t="str">
        <f>IF(Raw_Data!Q185="","",IF(Raw_Data!Q185="oui",1,0))</f>
        <v/>
      </c>
      <c r="AC182" s="12">
        <f>Raw_Data!AF185</f>
        <v>0</v>
      </c>
      <c r="AD182" s="12" t="str">
        <f t="shared" si="23"/>
        <v/>
      </c>
      <c r="AE182" s="12" t="str">
        <f t="shared" si="24"/>
        <v/>
      </c>
      <c r="AF182" s="12" t="str">
        <f t="shared" si="25"/>
        <v/>
      </c>
      <c r="AG182" s="12">
        <f t="shared" si="26"/>
        <v>0</v>
      </c>
    </row>
    <row r="183" spans="1:33" ht="15" customHeight="1" x14ac:dyDescent="0.25">
      <c r="A183" s="12" t="str">
        <f>IF(Raw_Data!B186="","",Raw_Data!B186)</f>
        <v/>
      </c>
      <c r="B183" s="12">
        <f>IF(Raw_Data!X186&lt;&gt;"",Raw_Data!X186,Raw_Data!C186)</f>
        <v>0</v>
      </c>
      <c r="C183" s="12" t="str">
        <f>IF(Raw_Data!G186="","",Raw_Data!G186)</f>
        <v/>
      </c>
      <c r="D183" s="12" t="str">
        <f>IF(Raw_Data!H186="","",Raw_Data!H186)</f>
        <v/>
      </c>
      <c r="E183" s="12" t="str">
        <f>IF(Raw_Data!I186="","",Raw_Data!I186)</f>
        <v/>
      </c>
      <c r="F183" s="12" t="str">
        <f>IF(Raw_Data!J186="","",Raw_Data!J186)</f>
        <v/>
      </c>
      <c r="G183" s="12" t="str">
        <f>IF(Raw_Data!AH186&lt;&gt;"",Raw_Data!AH186,IF(Raw_Data!K186&lt;&gt;"",Raw_Data!K186,""))</f>
        <v/>
      </c>
      <c r="H183" s="12" t="str">
        <f>IF(Raw_Data!AI186&lt;&gt;"",Raw_Data!AI186,IF(Raw_Data!L186&lt;&gt;"",Raw_Data!L186,""))</f>
        <v/>
      </c>
      <c r="I183" s="12" t="str">
        <f t="shared" si="18"/>
        <v/>
      </c>
      <c r="J183" s="12" t="str">
        <f>IF(Raw_Data!M186="","",Raw_Data!M186)</f>
        <v/>
      </c>
      <c r="K183" s="12">
        <f>IF(Raw_Data!AJ186&lt;&gt;"",Raw_Data!AJ186,Raw_Data!N186)</f>
        <v>0</v>
      </c>
      <c r="L183" s="12">
        <f t="shared" si="19"/>
        <v>1</v>
      </c>
      <c r="M183" s="12" t="str">
        <f>IF(Raw_Data!AK186="","",Raw_Data!AK186)</f>
        <v/>
      </c>
      <c r="N183" s="12" t="str">
        <f>IF(Raw_Data!T186="","",Raw_Data!T186)</f>
        <v/>
      </c>
      <c r="O183" s="12" t="str">
        <f>IF(Raw_Data!AB186&lt;&gt;"",Raw_Data!AB186,IF(N183="tres_insatisfait",1,IF(N183="insatisfait",2,IF(N183="neutre",3,IF(N183="satisfait",4,IF(N183="tres_satisfait",5,""))))))</f>
        <v/>
      </c>
      <c r="P183" s="12">
        <f>IF(Raw_Data!AL186&lt;&gt;"",Raw_Data!AL186,Raw_Data!R186)</f>
        <v>0</v>
      </c>
      <c r="Q183" s="12">
        <f t="shared" si="20"/>
        <v>0</v>
      </c>
      <c r="R183" s="12" t="str">
        <f>IF(Raw_Data!AM186="","",Raw_Data!AM186)</f>
        <v/>
      </c>
      <c r="S183" s="12" t="str">
        <f t="shared" si="21"/>
        <v/>
      </c>
      <c r="T183" s="12" t="str">
        <f>IF(Raw_Data!AN186="","",Raw_Data!AN186)</f>
        <v/>
      </c>
      <c r="U183" s="12" t="str">
        <f t="shared" si="22"/>
        <v/>
      </c>
      <c r="V183" s="12" t="str">
        <f>IF(Raw_Data!AP186="","",IF(Raw_Data!AP186="oui",1,0))</f>
        <v/>
      </c>
      <c r="W183" s="12" t="str">
        <f>IF(Raw_Data!AQ186="","",IF(Raw_Data!AQ186="oui",1,0))</f>
        <v/>
      </c>
      <c r="X183" s="12" t="str">
        <f>IF(Raw_Data!AR186="","",IF(Raw_Data!AR186="oui",1,0))</f>
        <v/>
      </c>
      <c r="Y183" s="12" t="str">
        <f>IF(Raw_Data!AS186="","",IF(Raw_Data!AS186="oui",1,0))</f>
        <v/>
      </c>
      <c r="Z183" s="12" t="str">
        <f>IF(Raw_Data!V186="","",IF(Raw_Data!V186="oui",1,0))</f>
        <v/>
      </c>
      <c r="AA183" s="12" t="str">
        <f>IF(Raw_Data!W186="","",IF(Raw_Data!W186="oui",1,0))</f>
        <v/>
      </c>
      <c r="AB183" s="12" t="str">
        <f>IF(Raw_Data!Q186="","",IF(Raw_Data!Q186="oui",1,0))</f>
        <v/>
      </c>
      <c r="AC183" s="12">
        <f>Raw_Data!AF186</f>
        <v>0</v>
      </c>
      <c r="AD183" s="12" t="str">
        <f t="shared" si="23"/>
        <v/>
      </c>
      <c r="AE183" s="12" t="str">
        <f t="shared" si="24"/>
        <v/>
      </c>
      <c r="AF183" s="12" t="str">
        <f t="shared" si="25"/>
        <v/>
      </c>
      <c r="AG183" s="12">
        <f t="shared" si="26"/>
        <v>0</v>
      </c>
    </row>
    <row r="184" spans="1:33" ht="15" customHeight="1" x14ac:dyDescent="0.25">
      <c r="A184" s="12" t="str">
        <f>IF(Raw_Data!B187="","",Raw_Data!B187)</f>
        <v/>
      </c>
      <c r="B184" s="12">
        <f>IF(Raw_Data!X187&lt;&gt;"",Raw_Data!X187,Raw_Data!C187)</f>
        <v>0</v>
      </c>
      <c r="C184" s="12" t="str">
        <f>IF(Raw_Data!G187="","",Raw_Data!G187)</f>
        <v/>
      </c>
      <c r="D184" s="12" t="str">
        <f>IF(Raw_Data!H187="","",Raw_Data!H187)</f>
        <v/>
      </c>
      <c r="E184" s="12" t="str">
        <f>IF(Raw_Data!I187="","",Raw_Data!I187)</f>
        <v/>
      </c>
      <c r="F184" s="12" t="str">
        <f>IF(Raw_Data!J187="","",Raw_Data!J187)</f>
        <v/>
      </c>
      <c r="G184" s="12" t="str">
        <f>IF(Raw_Data!AH187&lt;&gt;"",Raw_Data!AH187,IF(Raw_Data!K187&lt;&gt;"",Raw_Data!K187,""))</f>
        <v/>
      </c>
      <c r="H184" s="12" t="str">
        <f>IF(Raw_Data!AI187&lt;&gt;"",Raw_Data!AI187,IF(Raw_Data!L187&lt;&gt;"",Raw_Data!L187,""))</f>
        <v/>
      </c>
      <c r="I184" s="12" t="str">
        <f t="shared" si="18"/>
        <v/>
      </c>
      <c r="J184" s="12" t="str">
        <f>IF(Raw_Data!M187="","",Raw_Data!M187)</f>
        <v/>
      </c>
      <c r="K184" s="12">
        <f>IF(Raw_Data!AJ187&lt;&gt;"",Raw_Data!AJ187,Raw_Data!N187)</f>
        <v>0</v>
      </c>
      <c r="L184" s="12">
        <f t="shared" si="19"/>
        <v>1</v>
      </c>
      <c r="M184" s="12" t="str">
        <f>IF(Raw_Data!AK187="","",Raw_Data!AK187)</f>
        <v/>
      </c>
      <c r="N184" s="12" t="str">
        <f>IF(Raw_Data!T187="","",Raw_Data!T187)</f>
        <v/>
      </c>
      <c r="O184" s="12" t="str">
        <f>IF(Raw_Data!AB187&lt;&gt;"",Raw_Data!AB187,IF(N184="tres_insatisfait",1,IF(N184="insatisfait",2,IF(N184="neutre",3,IF(N184="satisfait",4,IF(N184="tres_satisfait",5,""))))))</f>
        <v/>
      </c>
      <c r="P184" s="12">
        <f>IF(Raw_Data!AL187&lt;&gt;"",Raw_Data!AL187,Raw_Data!R187)</f>
        <v>0</v>
      </c>
      <c r="Q184" s="12">
        <f t="shared" si="20"/>
        <v>0</v>
      </c>
      <c r="R184" s="12" t="str">
        <f>IF(Raw_Data!AM187="","",Raw_Data!AM187)</f>
        <v/>
      </c>
      <c r="S184" s="12" t="str">
        <f t="shared" si="21"/>
        <v/>
      </c>
      <c r="T184" s="12" t="str">
        <f>IF(Raw_Data!AN187="","",Raw_Data!AN187)</f>
        <v/>
      </c>
      <c r="U184" s="12" t="str">
        <f t="shared" si="22"/>
        <v/>
      </c>
      <c r="V184" s="12" t="str">
        <f>IF(Raw_Data!AP187="","",IF(Raw_Data!AP187="oui",1,0))</f>
        <v/>
      </c>
      <c r="W184" s="12" t="str">
        <f>IF(Raw_Data!AQ187="","",IF(Raw_Data!AQ187="oui",1,0))</f>
        <v/>
      </c>
      <c r="X184" s="12" t="str">
        <f>IF(Raw_Data!AR187="","",IF(Raw_Data!AR187="oui",1,0))</f>
        <v/>
      </c>
      <c r="Y184" s="12" t="str">
        <f>IF(Raw_Data!AS187="","",IF(Raw_Data!AS187="oui",1,0))</f>
        <v/>
      </c>
      <c r="Z184" s="12" t="str">
        <f>IF(Raw_Data!V187="","",IF(Raw_Data!V187="oui",1,0))</f>
        <v/>
      </c>
      <c r="AA184" s="12" t="str">
        <f>IF(Raw_Data!W187="","",IF(Raw_Data!W187="oui",1,0))</f>
        <v/>
      </c>
      <c r="AB184" s="12" t="str">
        <f>IF(Raw_Data!Q187="","",IF(Raw_Data!Q187="oui",1,0))</f>
        <v/>
      </c>
      <c r="AC184" s="12">
        <f>Raw_Data!AF187</f>
        <v>0</v>
      </c>
      <c r="AD184" s="12" t="str">
        <f t="shared" si="23"/>
        <v/>
      </c>
      <c r="AE184" s="12" t="str">
        <f t="shared" si="24"/>
        <v/>
      </c>
      <c r="AF184" s="12" t="str">
        <f t="shared" si="25"/>
        <v/>
      </c>
      <c r="AG184" s="12">
        <f t="shared" si="26"/>
        <v>0</v>
      </c>
    </row>
    <row r="185" spans="1:33" ht="15" customHeight="1" x14ac:dyDescent="0.25">
      <c r="A185" s="12" t="str">
        <f>IF(Raw_Data!B188="","",Raw_Data!B188)</f>
        <v/>
      </c>
      <c r="B185" s="12">
        <f>IF(Raw_Data!X188&lt;&gt;"",Raw_Data!X188,Raw_Data!C188)</f>
        <v>0</v>
      </c>
      <c r="C185" s="12" t="str">
        <f>IF(Raw_Data!G188="","",Raw_Data!G188)</f>
        <v/>
      </c>
      <c r="D185" s="12" t="str">
        <f>IF(Raw_Data!H188="","",Raw_Data!H188)</f>
        <v/>
      </c>
      <c r="E185" s="12" t="str">
        <f>IF(Raw_Data!I188="","",Raw_Data!I188)</f>
        <v/>
      </c>
      <c r="F185" s="12" t="str">
        <f>IF(Raw_Data!J188="","",Raw_Data!J188)</f>
        <v/>
      </c>
      <c r="G185" s="12" t="str">
        <f>IF(Raw_Data!AH188&lt;&gt;"",Raw_Data!AH188,IF(Raw_Data!K188&lt;&gt;"",Raw_Data!K188,""))</f>
        <v/>
      </c>
      <c r="H185" s="12" t="str">
        <f>IF(Raw_Data!AI188&lt;&gt;"",Raw_Data!AI188,IF(Raw_Data!L188&lt;&gt;"",Raw_Data!L188,""))</f>
        <v/>
      </c>
      <c r="I185" s="12" t="str">
        <f t="shared" si="18"/>
        <v/>
      </c>
      <c r="J185" s="12" t="str">
        <f>IF(Raw_Data!M188="","",Raw_Data!M188)</f>
        <v/>
      </c>
      <c r="K185" s="12">
        <f>IF(Raw_Data!AJ188&lt;&gt;"",Raw_Data!AJ188,Raw_Data!N188)</f>
        <v>0</v>
      </c>
      <c r="L185" s="12">
        <f t="shared" si="19"/>
        <v>1</v>
      </c>
      <c r="M185" s="12" t="str">
        <f>IF(Raw_Data!AK188="","",Raw_Data!AK188)</f>
        <v/>
      </c>
      <c r="N185" s="12" t="str">
        <f>IF(Raw_Data!T188="","",Raw_Data!T188)</f>
        <v/>
      </c>
      <c r="O185" s="12" t="str">
        <f>IF(Raw_Data!AB188&lt;&gt;"",Raw_Data!AB188,IF(N185="tres_insatisfait",1,IF(N185="insatisfait",2,IF(N185="neutre",3,IF(N185="satisfait",4,IF(N185="tres_satisfait",5,""))))))</f>
        <v/>
      </c>
      <c r="P185" s="12">
        <f>IF(Raw_Data!AL188&lt;&gt;"",Raw_Data!AL188,Raw_Data!R188)</f>
        <v>0</v>
      </c>
      <c r="Q185" s="12">
        <f t="shared" si="20"/>
        <v>0</v>
      </c>
      <c r="R185" s="12" t="str">
        <f>IF(Raw_Data!AM188="","",Raw_Data!AM188)</f>
        <v/>
      </c>
      <c r="S185" s="12" t="str">
        <f t="shared" si="21"/>
        <v/>
      </c>
      <c r="T185" s="12" t="str">
        <f>IF(Raw_Data!AN188="","",Raw_Data!AN188)</f>
        <v/>
      </c>
      <c r="U185" s="12" t="str">
        <f t="shared" si="22"/>
        <v/>
      </c>
      <c r="V185" s="12" t="str">
        <f>IF(Raw_Data!AP188="","",IF(Raw_Data!AP188="oui",1,0))</f>
        <v/>
      </c>
      <c r="W185" s="12" t="str">
        <f>IF(Raw_Data!AQ188="","",IF(Raw_Data!AQ188="oui",1,0))</f>
        <v/>
      </c>
      <c r="X185" s="12" t="str">
        <f>IF(Raw_Data!AR188="","",IF(Raw_Data!AR188="oui",1,0))</f>
        <v/>
      </c>
      <c r="Y185" s="12" t="str">
        <f>IF(Raw_Data!AS188="","",IF(Raw_Data!AS188="oui",1,0))</f>
        <v/>
      </c>
      <c r="Z185" s="12" t="str">
        <f>IF(Raw_Data!V188="","",IF(Raw_Data!V188="oui",1,0))</f>
        <v/>
      </c>
      <c r="AA185" s="12" t="str">
        <f>IF(Raw_Data!W188="","",IF(Raw_Data!W188="oui",1,0))</f>
        <v/>
      </c>
      <c r="AB185" s="12" t="str">
        <f>IF(Raw_Data!Q188="","",IF(Raw_Data!Q188="oui",1,0))</f>
        <v/>
      </c>
      <c r="AC185" s="12">
        <f>Raw_Data!AF188</f>
        <v>0</v>
      </c>
      <c r="AD185" s="12" t="str">
        <f t="shared" si="23"/>
        <v/>
      </c>
      <c r="AE185" s="12" t="str">
        <f t="shared" si="24"/>
        <v/>
      </c>
      <c r="AF185" s="12" t="str">
        <f t="shared" si="25"/>
        <v/>
      </c>
      <c r="AG185" s="12">
        <f t="shared" si="26"/>
        <v>0</v>
      </c>
    </row>
    <row r="186" spans="1:33" ht="15" customHeight="1" x14ac:dyDescent="0.25">
      <c r="A186" s="12" t="str">
        <f>IF(Raw_Data!B189="","",Raw_Data!B189)</f>
        <v/>
      </c>
      <c r="B186" s="12">
        <f>IF(Raw_Data!X189&lt;&gt;"",Raw_Data!X189,Raw_Data!C189)</f>
        <v>0</v>
      </c>
      <c r="C186" s="12" t="str">
        <f>IF(Raw_Data!G189="","",Raw_Data!G189)</f>
        <v/>
      </c>
      <c r="D186" s="12" t="str">
        <f>IF(Raw_Data!H189="","",Raw_Data!H189)</f>
        <v/>
      </c>
      <c r="E186" s="12" t="str">
        <f>IF(Raw_Data!I189="","",Raw_Data!I189)</f>
        <v/>
      </c>
      <c r="F186" s="12" t="str">
        <f>IF(Raw_Data!J189="","",Raw_Data!J189)</f>
        <v/>
      </c>
      <c r="G186" s="12" t="str">
        <f>IF(Raw_Data!AH189&lt;&gt;"",Raw_Data!AH189,IF(Raw_Data!K189&lt;&gt;"",Raw_Data!K189,""))</f>
        <v/>
      </c>
      <c r="H186" s="12" t="str">
        <f>IF(Raw_Data!AI189&lt;&gt;"",Raw_Data!AI189,IF(Raw_Data!L189&lt;&gt;"",Raw_Data!L189,""))</f>
        <v/>
      </c>
      <c r="I186" s="12" t="str">
        <f t="shared" si="18"/>
        <v/>
      </c>
      <c r="J186" s="12" t="str">
        <f>IF(Raw_Data!M189="","",Raw_Data!M189)</f>
        <v/>
      </c>
      <c r="K186" s="12">
        <f>IF(Raw_Data!AJ189&lt;&gt;"",Raw_Data!AJ189,Raw_Data!N189)</f>
        <v>0</v>
      </c>
      <c r="L186" s="12">
        <f t="shared" si="19"/>
        <v>1</v>
      </c>
      <c r="M186" s="12" t="str">
        <f>IF(Raw_Data!AK189="","",Raw_Data!AK189)</f>
        <v/>
      </c>
      <c r="N186" s="12" t="str">
        <f>IF(Raw_Data!T189="","",Raw_Data!T189)</f>
        <v/>
      </c>
      <c r="O186" s="12" t="str">
        <f>IF(Raw_Data!AB189&lt;&gt;"",Raw_Data!AB189,IF(N186="tres_insatisfait",1,IF(N186="insatisfait",2,IF(N186="neutre",3,IF(N186="satisfait",4,IF(N186="tres_satisfait",5,""))))))</f>
        <v/>
      </c>
      <c r="P186" s="12">
        <f>IF(Raw_Data!AL189&lt;&gt;"",Raw_Data!AL189,Raw_Data!R189)</f>
        <v>0</v>
      </c>
      <c r="Q186" s="12">
        <f t="shared" si="20"/>
        <v>0</v>
      </c>
      <c r="R186" s="12" t="str">
        <f>IF(Raw_Data!AM189="","",Raw_Data!AM189)</f>
        <v/>
      </c>
      <c r="S186" s="12" t="str">
        <f t="shared" si="21"/>
        <v/>
      </c>
      <c r="T186" s="12" t="str">
        <f>IF(Raw_Data!AN189="","",Raw_Data!AN189)</f>
        <v/>
      </c>
      <c r="U186" s="12" t="str">
        <f t="shared" si="22"/>
        <v/>
      </c>
      <c r="V186" s="12" t="str">
        <f>IF(Raw_Data!AP189="","",IF(Raw_Data!AP189="oui",1,0))</f>
        <v/>
      </c>
      <c r="W186" s="12" t="str">
        <f>IF(Raw_Data!AQ189="","",IF(Raw_Data!AQ189="oui",1,0))</f>
        <v/>
      </c>
      <c r="X186" s="12" t="str">
        <f>IF(Raw_Data!AR189="","",IF(Raw_Data!AR189="oui",1,0))</f>
        <v/>
      </c>
      <c r="Y186" s="12" t="str">
        <f>IF(Raw_Data!AS189="","",IF(Raw_Data!AS189="oui",1,0))</f>
        <v/>
      </c>
      <c r="Z186" s="12" t="str">
        <f>IF(Raw_Data!V189="","",IF(Raw_Data!V189="oui",1,0))</f>
        <v/>
      </c>
      <c r="AA186" s="12" t="str">
        <f>IF(Raw_Data!W189="","",IF(Raw_Data!W189="oui",1,0))</f>
        <v/>
      </c>
      <c r="AB186" s="12" t="str">
        <f>IF(Raw_Data!Q189="","",IF(Raw_Data!Q189="oui",1,0))</f>
        <v/>
      </c>
      <c r="AC186" s="12">
        <f>Raw_Data!AF189</f>
        <v>0</v>
      </c>
      <c r="AD186" s="12" t="str">
        <f t="shared" si="23"/>
        <v/>
      </c>
      <c r="AE186" s="12" t="str">
        <f t="shared" si="24"/>
        <v/>
      </c>
      <c r="AF186" s="12" t="str">
        <f t="shared" si="25"/>
        <v/>
      </c>
      <c r="AG186" s="12">
        <f t="shared" si="26"/>
        <v>0</v>
      </c>
    </row>
    <row r="187" spans="1:33" ht="15" customHeight="1" x14ac:dyDescent="0.25">
      <c r="A187" s="12" t="str">
        <f>IF(Raw_Data!B190="","",Raw_Data!B190)</f>
        <v/>
      </c>
      <c r="B187" s="12">
        <f>IF(Raw_Data!X190&lt;&gt;"",Raw_Data!X190,Raw_Data!C190)</f>
        <v>0</v>
      </c>
      <c r="C187" s="12" t="str">
        <f>IF(Raw_Data!G190="","",Raw_Data!G190)</f>
        <v/>
      </c>
      <c r="D187" s="12" t="str">
        <f>IF(Raw_Data!H190="","",Raw_Data!H190)</f>
        <v/>
      </c>
      <c r="E187" s="12" t="str">
        <f>IF(Raw_Data!I190="","",Raw_Data!I190)</f>
        <v/>
      </c>
      <c r="F187" s="12" t="str">
        <f>IF(Raw_Data!J190="","",Raw_Data!J190)</f>
        <v/>
      </c>
      <c r="G187" s="12" t="str">
        <f>IF(Raw_Data!AH190&lt;&gt;"",Raw_Data!AH190,IF(Raw_Data!K190&lt;&gt;"",Raw_Data!K190,""))</f>
        <v/>
      </c>
      <c r="H187" s="12" t="str">
        <f>IF(Raw_Data!AI190&lt;&gt;"",Raw_Data!AI190,IF(Raw_Data!L190&lt;&gt;"",Raw_Data!L190,""))</f>
        <v/>
      </c>
      <c r="I187" s="12" t="str">
        <f t="shared" si="18"/>
        <v/>
      </c>
      <c r="J187" s="12" t="str">
        <f>IF(Raw_Data!M190="","",Raw_Data!M190)</f>
        <v/>
      </c>
      <c r="K187" s="12">
        <f>IF(Raw_Data!AJ190&lt;&gt;"",Raw_Data!AJ190,Raw_Data!N190)</f>
        <v>0</v>
      </c>
      <c r="L187" s="12">
        <f t="shared" si="19"/>
        <v>1</v>
      </c>
      <c r="M187" s="12" t="str">
        <f>IF(Raw_Data!AK190="","",Raw_Data!AK190)</f>
        <v/>
      </c>
      <c r="N187" s="12" t="str">
        <f>IF(Raw_Data!T190="","",Raw_Data!T190)</f>
        <v/>
      </c>
      <c r="O187" s="12" t="str">
        <f>IF(Raw_Data!AB190&lt;&gt;"",Raw_Data!AB190,IF(N187="tres_insatisfait",1,IF(N187="insatisfait",2,IF(N187="neutre",3,IF(N187="satisfait",4,IF(N187="tres_satisfait",5,""))))))</f>
        <v/>
      </c>
      <c r="P187" s="12">
        <f>IF(Raw_Data!AL190&lt;&gt;"",Raw_Data!AL190,Raw_Data!R190)</f>
        <v>0</v>
      </c>
      <c r="Q187" s="12">
        <f t="shared" si="20"/>
        <v>0</v>
      </c>
      <c r="R187" s="12" t="str">
        <f>IF(Raw_Data!AM190="","",Raw_Data!AM190)</f>
        <v/>
      </c>
      <c r="S187" s="12" t="str">
        <f t="shared" si="21"/>
        <v/>
      </c>
      <c r="T187" s="12" t="str">
        <f>IF(Raw_Data!AN190="","",Raw_Data!AN190)</f>
        <v/>
      </c>
      <c r="U187" s="12" t="str">
        <f t="shared" si="22"/>
        <v/>
      </c>
      <c r="V187" s="12" t="str">
        <f>IF(Raw_Data!AP190="","",IF(Raw_Data!AP190="oui",1,0))</f>
        <v/>
      </c>
      <c r="W187" s="12" t="str">
        <f>IF(Raw_Data!AQ190="","",IF(Raw_Data!AQ190="oui",1,0))</f>
        <v/>
      </c>
      <c r="X187" s="12" t="str">
        <f>IF(Raw_Data!AR190="","",IF(Raw_Data!AR190="oui",1,0))</f>
        <v/>
      </c>
      <c r="Y187" s="12" t="str">
        <f>IF(Raw_Data!AS190="","",IF(Raw_Data!AS190="oui",1,0))</f>
        <v/>
      </c>
      <c r="Z187" s="12" t="str">
        <f>IF(Raw_Data!V190="","",IF(Raw_Data!V190="oui",1,0))</f>
        <v/>
      </c>
      <c r="AA187" s="12" t="str">
        <f>IF(Raw_Data!W190="","",IF(Raw_Data!W190="oui",1,0))</f>
        <v/>
      </c>
      <c r="AB187" s="12" t="str">
        <f>IF(Raw_Data!Q190="","",IF(Raw_Data!Q190="oui",1,0))</f>
        <v/>
      </c>
      <c r="AC187" s="12">
        <f>Raw_Data!AF190</f>
        <v>0</v>
      </c>
      <c r="AD187" s="12" t="str">
        <f t="shared" si="23"/>
        <v/>
      </c>
      <c r="AE187" s="12" t="str">
        <f t="shared" si="24"/>
        <v/>
      </c>
      <c r="AF187" s="12" t="str">
        <f t="shared" si="25"/>
        <v/>
      </c>
      <c r="AG187" s="12">
        <f t="shared" si="26"/>
        <v>0</v>
      </c>
    </row>
    <row r="188" spans="1:33" ht="15" customHeight="1" x14ac:dyDescent="0.25">
      <c r="A188" s="12" t="str">
        <f>IF(Raw_Data!B191="","",Raw_Data!B191)</f>
        <v/>
      </c>
      <c r="B188" s="12">
        <f>IF(Raw_Data!X191&lt;&gt;"",Raw_Data!X191,Raw_Data!C191)</f>
        <v>0</v>
      </c>
      <c r="C188" s="12" t="str">
        <f>IF(Raw_Data!G191="","",Raw_Data!G191)</f>
        <v/>
      </c>
      <c r="D188" s="12" t="str">
        <f>IF(Raw_Data!H191="","",Raw_Data!H191)</f>
        <v/>
      </c>
      <c r="E188" s="12" t="str">
        <f>IF(Raw_Data!I191="","",Raw_Data!I191)</f>
        <v/>
      </c>
      <c r="F188" s="12" t="str">
        <f>IF(Raw_Data!J191="","",Raw_Data!J191)</f>
        <v/>
      </c>
      <c r="G188" s="12" t="str">
        <f>IF(Raw_Data!AH191&lt;&gt;"",Raw_Data!AH191,IF(Raw_Data!K191&lt;&gt;"",Raw_Data!K191,""))</f>
        <v/>
      </c>
      <c r="H188" s="12" t="str">
        <f>IF(Raw_Data!AI191&lt;&gt;"",Raw_Data!AI191,IF(Raw_Data!L191&lt;&gt;"",Raw_Data!L191,""))</f>
        <v/>
      </c>
      <c r="I188" s="12" t="str">
        <f t="shared" si="18"/>
        <v/>
      </c>
      <c r="J188" s="12" t="str">
        <f>IF(Raw_Data!M191="","",Raw_Data!M191)</f>
        <v/>
      </c>
      <c r="K188" s="12">
        <f>IF(Raw_Data!AJ191&lt;&gt;"",Raw_Data!AJ191,Raw_Data!N191)</f>
        <v>0</v>
      </c>
      <c r="L188" s="12">
        <f t="shared" si="19"/>
        <v>1</v>
      </c>
      <c r="M188" s="12" t="str">
        <f>IF(Raw_Data!AK191="","",Raw_Data!AK191)</f>
        <v/>
      </c>
      <c r="N188" s="12" t="str">
        <f>IF(Raw_Data!T191="","",Raw_Data!T191)</f>
        <v/>
      </c>
      <c r="O188" s="12" t="str">
        <f>IF(Raw_Data!AB191&lt;&gt;"",Raw_Data!AB191,IF(N188="tres_insatisfait",1,IF(N188="insatisfait",2,IF(N188="neutre",3,IF(N188="satisfait",4,IF(N188="tres_satisfait",5,""))))))</f>
        <v/>
      </c>
      <c r="P188" s="12">
        <f>IF(Raw_Data!AL191&lt;&gt;"",Raw_Data!AL191,Raw_Data!R191)</f>
        <v>0</v>
      </c>
      <c r="Q188" s="12">
        <f t="shared" si="20"/>
        <v>0</v>
      </c>
      <c r="R188" s="12" t="str">
        <f>IF(Raw_Data!AM191="","",Raw_Data!AM191)</f>
        <v/>
      </c>
      <c r="S188" s="12" t="str">
        <f t="shared" si="21"/>
        <v/>
      </c>
      <c r="T188" s="12" t="str">
        <f>IF(Raw_Data!AN191="","",Raw_Data!AN191)</f>
        <v/>
      </c>
      <c r="U188" s="12" t="str">
        <f t="shared" si="22"/>
        <v/>
      </c>
      <c r="V188" s="12" t="str">
        <f>IF(Raw_Data!AP191="","",IF(Raw_Data!AP191="oui",1,0))</f>
        <v/>
      </c>
      <c r="W188" s="12" t="str">
        <f>IF(Raw_Data!AQ191="","",IF(Raw_Data!AQ191="oui",1,0))</f>
        <v/>
      </c>
      <c r="X188" s="12" t="str">
        <f>IF(Raw_Data!AR191="","",IF(Raw_Data!AR191="oui",1,0))</f>
        <v/>
      </c>
      <c r="Y188" s="12" t="str">
        <f>IF(Raw_Data!AS191="","",IF(Raw_Data!AS191="oui",1,0))</f>
        <v/>
      </c>
      <c r="Z188" s="12" t="str">
        <f>IF(Raw_Data!V191="","",IF(Raw_Data!V191="oui",1,0))</f>
        <v/>
      </c>
      <c r="AA188" s="12" t="str">
        <f>IF(Raw_Data!W191="","",IF(Raw_Data!W191="oui",1,0))</f>
        <v/>
      </c>
      <c r="AB188" s="12" t="str">
        <f>IF(Raw_Data!Q191="","",IF(Raw_Data!Q191="oui",1,0))</f>
        <v/>
      </c>
      <c r="AC188" s="12">
        <f>Raw_Data!AF191</f>
        <v>0</v>
      </c>
      <c r="AD188" s="12" t="str">
        <f t="shared" si="23"/>
        <v/>
      </c>
      <c r="AE188" s="12" t="str">
        <f t="shared" si="24"/>
        <v/>
      </c>
      <c r="AF188" s="12" t="str">
        <f t="shared" si="25"/>
        <v/>
      </c>
      <c r="AG188" s="12">
        <f t="shared" si="26"/>
        <v>0</v>
      </c>
    </row>
    <row r="189" spans="1:33" ht="15" customHeight="1" x14ac:dyDescent="0.25">
      <c r="A189" s="12" t="str">
        <f>IF(Raw_Data!B192="","",Raw_Data!B192)</f>
        <v/>
      </c>
      <c r="B189" s="12">
        <f>IF(Raw_Data!X192&lt;&gt;"",Raw_Data!X192,Raw_Data!C192)</f>
        <v>0</v>
      </c>
      <c r="C189" s="12" t="str">
        <f>IF(Raw_Data!G192="","",Raw_Data!G192)</f>
        <v/>
      </c>
      <c r="D189" s="12" t="str">
        <f>IF(Raw_Data!H192="","",Raw_Data!H192)</f>
        <v/>
      </c>
      <c r="E189" s="12" t="str">
        <f>IF(Raw_Data!I192="","",Raw_Data!I192)</f>
        <v/>
      </c>
      <c r="F189" s="12" t="str">
        <f>IF(Raw_Data!J192="","",Raw_Data!J192)</f>
        <v/>
      </c>
      <c r="G189" s="12" t="str">
        <f>IF(Raw_Data!AH192&lt;&gt;"",Raw_Data!AH192,IF(Raw_Data!K192&lt;&gt;"",Raw_Data!K192,""))</f>
        <v/>
      </c>
      <c r="H189" s="12" t="str">
        <f>IF(Raw_Data!AI192&lt;&gt;"",Raw_Data!AI192,IF(Raw_Data!L192&lt;&gt;"",Raw_Data!L192,""))</f>
        <v/>
      </c>
      <c r="I189" s="12" t="str">
        <f t="shared" si="18"/>
        <v/>
      </c>
      <c r="J189" s="12" t="str">
        <f>IF(Raw_Data!M192="","",Raw_Data!M192)</f>
        <v/>
      </c>
      <c r="K189" s="12">
        <f>IF(Raw_Data!AJ192&lt;&gt;"",Raw_Data!AJ192,Raw_Data!N192)</f>
        <v>0</v>
      </c>
      <c r="L189" s="12">
        <f t="shared" si="19"/>
        <v>1</v>
      </c>
      <c r="M189" s="12" t="str">
        <f>IF(Raw_Data!AK192="","",Raw_Data!AK192)</f>
        <v/>
      </c>
      <c r="N189" s="12" t="str">
        <f>IF(Raw_Data!T192="","",Raw_Data!T192)</f>
        <v/>
      </c>
      <c r="O189" s="12" t="str">
        <f>IF(Raw_Data!AB192&lt;&gt;"",Raw_Data!AB192,IF(N189="tres_insatisfait",1,IF(N189="insatisfait",2,IF(N189="neutre",3,IF(N189="satisfait",4,IF(N189="tres_satisfait",5,""))))))</f>
        <v/>
      </c>
      <c r="P189" s="12">
        <f>IF(Raw_Data!AL192&lt;&gt;"",Raw_Data!AL192,Raw_Data!R192)</f>
        <v>0</v>
      </c>
      <c r="Q189" s="12">
        <f t="shared" si="20"/>
        <v>0</v>
      </c>
      <c r="R189" s="12" t="str">
        <f>IF(Raw_Data!AM192="","",Raw_Data!AM192)</f>
        <v/>
      </c>
      <c r="S189" s="12" t="str">
        <f t="shared" si="21"/>
        <v/>
      </c>
      <c r="T189" s="12" t="str">
        <f>IF(Raw_Data!AN192="","",Raw_Data!AN192)</f>
        <v/>
      </c>
      <c r="U189" s="12" t="str">
        <f t="shared" si="22"/>
        <v/>
      </c>
      <c r="V189" s="12" t="str">
        <f>IF(Raw_Data!AP192="","",IF(Raw_Data!AP192="oui",1,0))</f>
        <v/>
      </c>
      <c r="W189" s="12" t="str">
        <f>IF(Raw_Data!AQ192="","",IF(Raw_Data!AQ192="oui",1,0))</f>
        <v/>
      </c>
      <c r="X189" s="12" t="str">
        <f>IF(Raw_Data!AR192="","",IF(Raw_Data!AR192="oui",1,0))</f>
        <v/>
      </c>
      <c r="Y189" s="12" t="str">
        <f>IF(Raw_Data!AS192="","",IF(Raw_Data!AS192="oui",1,0))</f>
        <v/>
      </c>
      <c r="Z189" s="12" t="str">
        <f>IF(Raw_Data!V192="","",IF(Raw_Data!V192="oui",1,0))</f>
        <v/>
      </c>
      <c r="AA189" s="12" t="str">
        <f>IF(Raw_Data!W192="","",IF(Raw_Data!W192="oui",1,0))</f>
        <v/>
      </c>
      <c r="AB189" s="12" t="str">
        <f>IF(Raw_Data!Q192="","",IF(Raw_Data!Q192="oui",1,0))</f>
        <v/>
      </c>
      <c r="AC189" s="12">
        <f>Raw_Data!AF192</f>
        <v>0</v>
      </c>
      <c r="AD189" s="12" t="str">
        <f t="shared" si="23"/>
        <v/>
      </c>
      <c r="AE189" s="12" t="str">
        <f t="shared" si="24"/>
        <v/>
      </c>
      <c r="AF189" s="12" t="str">
        <f t="shared" si="25"/>
        <v/>
      </c>
      <c r="AG189" s="12">
        <f t="shared" si="26"/>
        <v>0</v>
      </c>
    </row>
    <row r="190" spans="1:33" ht="15" customHeight="1" x14ac:dyDescent="0.25">
      <c r="A190" s="12" t="str">
        <f>IF(Raw_Data!B193="","",Raw_Data!B193)</f>
        <v/>
      </c>
      <c r="B190" s="12">
        <f>IF(Raw_Data!X193&lt;&gt;"",Raw_Data!X193,Raw_Data!C193)</f>
        <v>0</v>
      </c>
      <c r="C190" s="12" t="str">
        <f>IF(Raw_Data!G193="","",Raw_Data!G193)</f>
        <v/>
      </c>
      <c r="D190" s="12" t="str">
        <f>IF(Raw_Data!H193="","",Raw_Data!H193)</f>
        <v/>
      </c>
      <c r="E190" s="12" t="str">
        <f>IF(Raw_Data!I193="","",Raw_Data!I193)</f>
        <v/>
      </c>
      <c r="F190" s="12" t="str">
        <f>IF(Raw_Data!J193="","",Raw_Data!J193)</f>
        <v/>
      </c>
      <c r="G190" s="12" t="str">
        <f>IF(Raw_Data!AH193&lt;&gt;"",Raw_Data!AH193,IF(Raw_Data!K193&lt;&gt;"",Raw_Data!K193,""))</f>
        <v/>
      </c>
      <c r="H190" s="12" t="str">
        <f>IF(Raw_Data!AI193&lt;&gt;"",Raw_Data!AI193,IF(Raw_Data!L193&lt;&gt;"",Raw_Data!L193,""))</f>
        <v/>
      </c>
      <c r="I190" s="12" t="str">
        <f t="shared" si="18"/>
        <v/>
      </c>
      <c r="J190" s="12" t="str">
        <f>IF(Raw_Data!M193="","",Raw_Data!M193)</f>
        <v/>
      </c>
      <c r="K190" s="12">
        <f>IF(Raw_Data!AJ193&lt;&gt;"",Raw_Data!AJ193,Raw_Data!N193)</f>
        <v>0</v>
      </c>
      <c r="L190" s="12">
        <f t="shared" si="19"/>
        <v>1</v>
      </c>
      <c r="M190" s="12" t="str">
        <f>IF(Raw_Data!AK193="","",Raw_Data!AK193)</f>
        <v/>
      </c>
      <c r="N190" s="12" t="str">
        <f>IF(Raw_Data!T193="","",Raw_Data!T193)</f>
        <v/>
      </c>
      <c r="O190" s="12" t="str">
        <f>IF(Raw_Data!AB193&lt;&gt;"",Raw_Data!AB193,IF(N190="tres_insatisfait",1,IF(N190="insatisfait",2,IF(N190="neutre",3,IF(N190="satisfait",4,IF(N190="tres_satisfait",5,""))))))</f>
        <v/>
      </c>
      <c r="P190" s="12">
        <f>IF(Raw_Data!AL193&lt;&gt;"",Raw_Data!AL193,Raw_Data!R193)</f>
        <v>0</v>
      </c>
      <c r="Q190" s="12">
        <f t="shared" si="20"/>
        <v>0</v>
      </c>
      <c r="R190" s="12" t="str">
        <f>IF(Raw_Data!AM193="","",Raw_Data!AM193)</f>
        <v/>
      </c>
      <c r="S190" s="12" t="str">
        <f t="shared" si="21"/>
        <v/>
      </c>
      <c r="T190" s="12" t="str">
        <f>IF(Raw_Data!AN193="","",Raw_Data!AN193)</f>
        <v/>
      </c>
      <c r="U190" s="12" t="str">
        <f t="shared" si="22"/>
        <v/>
      </c>
      <c r="V190" s="12" t="str">
        <f>IF(Raw_Data!AP193="","",IF(Raw_Data!AP193="oui",1,0))</f>
        <v/>
      </c>
      <c r="W190" s="12" t="str">
        <f>IF(Raw_Data!AQ193="","",IF(Raw_Data!AQ193="oui",1,0))</f>
        <v/>
      </c>
      <c r="X190" s="12" t="str">
        <f>IF(Raw_Data!AR193="","",IF(Raw_Data!AR193="oui",1,0))</f>
        <v/>
      </c>
      <c r="Y190" s="12" t="str">
        <f>IF(Raw_Data!AS193="","",IF(Raw_Data!AS193="oui",1,0))</f>
        <v/>
      </c>
      <c r="Z190" s="12" t="str">
        <f>IF(Raw_Data!V193="","",IF(Raw_Data!V193="oui",1,0))</f>
        <v/>
      </c>
      <c r="AA190" s="12" t="str">
        <f>IF(Raw_Data!W193="","",IF(Raw_Data!W193="oui",1,0))</f>
        <v/>
      </c>
      <c r="AB190" s="12" t="str">
        <f>IF(Raw_Data!Q193="","",IF(Raw_Data!Q193="oui",1,0))</f>
        <v/>
      </c>
      <c r="AC190" s="12">
        <f>Raw_Data!AF193</f>
        <v>0</v>
      </c>
      <c r="AD190" s="12" t="str">
        <f t="shared" si="23"/>
        <v/>
      </c>
      <c r="AE190" s="12" t="str">
        <f t="shared" si="24"/>
        <v/>
      </c>
      <c r="AF190" s="12" t="str">
        <f t="shared" si="25"/>
        <v/>
      </c>
      <c r="AG190" s="12">
        <f t="shared" si="26"/>
        <v>0</v>
      </c>
    </row>
    <row r="191" spans="1:33" ht="15" customHeight="1" x14ac:dyDescent="0.25">
      <c r="A191" s="12" t="str">
        <f>IF(Raw_Data!B194="","",Raw_Data!B194)</f>
        <v/>
      </c>
      <c r="B191" s="12">
        <f>IF(Raw_Data!X194&lt;&gt;"",Raw_Data!X194,Raw_Data!C194)</f>
        <v>0</v>
      </c>
      <c r="C191" s="12" t="str">
        <f>IF(Raw_Data!G194="","",Raw_Data!G194)</f>
        <v/>
      </c>
      <c r="D191" s="12" t="str">
        <f>IF(Raw_Data!H194="","",Raw_Data!H194)</f>
        <v/>
      </c>
      <c r="E191" s="12" t="str">
        <f>IF(Raw_Data!I194="","",Raw_Data!I194)</f>
        <v/>
      </c>
      <c r="F191" s="12" t="str">
        <f>IF(Raw_Data!J194="","",Raw_Data!J194)</f>
        <v/>
      </c>
      <c r="G191" s="12" t="str">
        <f>IF(Raw_Data!AH194&lt;&gt;"",Raw_Data!AH194,IF(Raw_Data!K194&lt;&gt;"",Raw_Data!K194,""))</f>
        <v/>
      </c>
      <c r="H191" s="12" t="str">
        <f>IF(Raw_Data!AI194&lt;&gt;"",Raw_Data!AI194,IF(Raw_Data!L194&lt;&gt;"",Raw_Data!L194,""))</f>
        <v/>
      </c>
      <c r="I191" s="12" t="str">
        <f t="shared" si="18"/>
        <v/>
      </c>
      <c r="J191" s="12" t="str">
        <f>IF(Raw_Data!M194="","",Raw_Data!M194)</f>
        <v/>
      </c>
      <c r="K191" s="12">
        <f>IF(Raw_Data!AJ194&lt;&gt;"",Raw_Data!AJ194,Raw_Data!N194)</f>
        <v>0</v>
      </c>
      <c r="L191" s="12">
        <f t="shared" si="19"/>
        <v>1</v>
      </c>
      <c r="M191" s="12" t="str">
        <f>IF(Raw_Data!AK194="","",Raw_Data!AK194)</f>
        <v/>
      </c>
      <c r="N191" s="12" t="str">
        <f>IF(Raw_Data!T194="","",Raw_Data!T194)</f>
        <v/>
      </c>
      <c r="O191" s="12" t="str">
        <f>IF(Raw_Data!AB194&lt;&gt;"",Raw_Data!AB194,IF(N191="tres_insatisfait",1,IF(N191="insatisfait",2,IF(N191="neutre",3,IF(N191="satisfait",4,IF(N191="tres_satisfait",5,""))))))</f>
        <v/>
      </c>
      <c r="P191" s="12">
        <f>IF(Raw_Data!AL194&lt;&gt;"",Raw_Data!AL194,Raw_Data!R194)</f>
        <v>0</v>
      </c>
      <c r="Q191" s="12">
        <f t="shared" si="20"/>
        <v>0</v>
      </c>
      <c r="R191" s="12" t="str">
        <f>IF(Raw_Data!AM194="","",Raw_Data!AM194)</f>
        <v/>
      </c>
      <c r="S191" s="12" t="str">
        <f t="shared" si="21"/>
        <v/>
      </c>
      <c r="T191" s="12" t="str">
        <f>IF(Raw_Data!AN194="","",Raw_Data!AN194)</f>
        <v/>
      </c>
      <c r="U191" s="12" t="str">
        <f t="shared" si="22"/>
        <v/>
      </c>
      <c r="V191" s="12" t="str">
        <f>IF(Raw_Data!AP194="","",IF(Raw_Data!AP194="oui",1,0))</f>
        <v/>
      </c>
      <c r="W191" s="12" t="str">
        <f>IF(Raw_Data!AQ194="","",IF(Raw_Data!AQ194="oui",1,0))</f>
        <v/>
      </c>
      <c r="X191" s="12" t="str">
        <f>IF(Raw_Data!AR194="","",IF(Raw_Data!AR194="oui",1,0))</f>
        <v/>
      </c>
      <c r="Y191" s="12" t="str">
        <f>IF(Raw_Data!AS194="","",IF(Raw_Data!AS194="oui",1,0))</f>
        <v/>
      </c>
      <c r="Z191" s="12" t="str">
        <f>IF(Raw_Data!V194="","",IF(Raw_Data!V194="oui",1,0))</f>
        <v/>
      </c>
      <c r="AA191" s="12" t="str">
        <f>IF(Raw_Data!W194="","",IF(Raw_Data!W194="oui",1,0))</f>
        <v/>
      </c>
      <c r="AB191" s="12" t="str">
        <f>IF(Raw_Data!Q194="","",IF(Raw_Data!Q194="oui",1,0))</f>
        <v/>
      </c>
      <c r="AC191" s="12">
        <f>Raw_Data!AF194</f>
        <v>0</v>
      </c>
      <c r="AD191" s="12" t="str">
        <f t="shared" si="23"/>
        <v/>
      </c>
      <c r="AE191" s="12" t="str">
        <f t="shared" si="24"/>
        <v/>
      </c>
      <c r="AF191" s="12" t="str">
        <f t="shared" si="25"/>
        <v/>
      </c>
      <c r="AG191" s="12">
        <f t="shared" si="26"/>
        <v>0</v>
      </c>
    </row>
    <row r="192" spans="1:33" ht="15" customHeight="1" x14ac:dyDescent="0.25">
      <c r="A192" s="12" t="str">
        <f>IF(Raw_Data!B195="","",Raw_Data!B195)</f>
        <v/>
      </c>
      <c r="B192" s="12">
        <f>IF(Raw_Data!X195&lt;&gt;"",Raw_Data!X195,Raw_Data!C195)</f>
        <v>0</v>
      </c>
      <c r="C192" s="12" t="str">
        <f>IF(Raw_Data!G195="","",Raw_Data!G195)</f>
        <v/>
      </c>
      <c r="D192" s="12" t="str">
        <f>IF(Raw_Data!H195="","",Raw_Data!H195)</f>
        <v/>
      </c>
      <c r="E192" s="12" t="str">
        <f>IF(Raw_Data!I195="","",Raw_Data!I195)</f>
        <v/>
      </c>
      <c r="F192" s="12" t="str">
        <f>IF(Raw_Data!J195="","",Raw_Data!J195)</f>
        <v/>
      </c>
      <c r="G192" s="12" t="str">
        <f>IF(Raw_Data!AH195&lt;&gt;"",Raw_Data!AH195,IF(Raw_Data!K195&lt;&gt;"",Raw_Data!K195,""))</f>
        <v/>
      </c>
      <c r="H192" s="12" t="str">
        <f>IF(Raw_Data!AI195&lt;&gt;"",Raw_Data!AI195,IF(Raw_Data!L195&lt;&gt;"",Raw_Data!L195,""))</f>
        <v/>
      </c>
      <c r="I192" s="12" t="str">
        <f t="shared" si="18"/>
        <v/>
      </c>
      <c r="J192" s="12" t="str">
        <f>IF(Raw_Data!M195="","",Raw_Data!M195)</f>
        <v/>
      </c>
      <c r="K192" s="12">
        <f>IF(Raw_Data!AJ195&lt;&gt;"",Raw_Data!AJ195,Raw_Data!N195)</f>
        <v>0</v>
      </c>
      <c r="L192" s="12">
        <f t="shared" si="19"/>
        <v>1</v>
      </c>
      <c r="M192" s="12" t="str">
        <f>IF(Raw_Data!AK195="","",Raw_Data!AK195)</f>
        <v/>
      </c>
      <c r="N192" s="12" t="str">
        <f>IF(Raw_Data!T195="","",Raw_Data!T195)</f>
        <v/>
      </c>
      <c r="O192" s="12" t="str">
        <f>IF(Raw_Data!AB195&lt;&gt;"",Raw_Data!AB195,IF(N192="tres_insatisfait",1,IF(N192="insatisfait",2,IF(N192="neutre",3,IF(N192="satisfait",4,IF(N192="tres_satisfait",5,""))))))</f>
        <v/>
      </c>
      <c r="P192" s="12">
        <f>IF(Raw_Data!AL195&lt;&gt;"",Raw_Data!AL195,Raw_Data!R195)</f>
        <v>0</v>
      </c>
      <c r="Q192" s="12">
        <f t="shared" si="20"/>
        <v>0</v>
      </c>
      <c r="R192" s="12" t="str">
        <f>IF(Raw_Data!AM195="","",Raw_Data!AM195)</f>
        <v/>
      </c>
      <c r="S192" s="12" t="str">
        <f t="shared" si="21"/>
        <v/>
      </c>
      <c r="T192" s="12" t="str">
        <f>IF(Raw_Data!AN195="","",Raw_Data!AN195)</f>
        <v/>
      </c>
      <c r="U192" s="12" t="str">
        <f t="shared" si="22"/>
        <v/>
      </c>
      <c r="V192" s="12" t="str">
        <f>IF(Raw_Data!AP195="","",IF(Raw_Data!AP195="oui",1,0))</f>
        <v/>
      </c>
      <c r="W192" s="12" t="str">
        <f>IF(Raw_Data!AQ195="","",IF(Raw_Data!AQ195="oui",1,0))</f>
        <v/>
      </c>
      <c r="X192" s="12" t="str">
        <f>IF(Raw_Data!AR195="","",IF(Raw_Data!AR195="oui",1,0))</f>
        <v/>
      </c>
      <c r="Y192" s="12" t="str">
        <f>IF(Raw_Data!AS195="","",IF(Raw_Data!AS195="oui",1,0))</f>
        <v/>
      </c>
      <c r="Z192" s="12" t="str">
        <f>IF(Raw_Data!V195="","",IF(Raw_Data!V195="oui",1,0))</f>
        <v/>
      </c>
      <c r="AA192" s="12" t="str">
        <f>IF(Raw_Data!W195="","",IF(Raw_Data!W195="oui",1,0))</f>
        <v/>
      </c>
      <c r="AB192" s="12" t="str">
        <f>IF(Raw_Data!Q195="","",IF(Raw_Data!Q195="oui",1,0))</f>
        <v/>
      </c>
      <c r="AC192" s="12">
        <f>Raw_Data!AF195</f>
        <v>0</v>
      </c>
      <c r="AD192" s="12" t="str">
        <f t="shared" si="23"/>
        <v/>
      </c>
      <c r="AE192" s="12" t="str">
        <f t="shared" si="24"/>
        <v/>
      </c>
      <c r="AF192" s="12" t="str">
        <f t="shared" si="25"/>
        <v/>
      </c>
      <c r="AG192" s="12">
        <f t="shared" si="26"/>
        <v>0</v>
      </c>
    </row>
    <row r="193" spans="1:33" ht="15" customHeight="1" x14ac:dyDescent="0.25">
      <c r="A193" s="12" t="str">
        <f>IF(Raw_Data!B196="","",Raw_Data!B196)</f>
        <v/>
      </c>
      <c r="B193" s="12">
        <f>IF(Raw_Data!X196&lt;&gt;"",Raw_Data!X196,Raw_Data!C196)</f>
        <v>0</v>
      </c>
      <c r="C193" s="12" t="str">
        <f>IF(Raw_Data!G196="","",Raw_Data!G196)</f>
        <v/>
      </c>
      <c r="D193" s="12" t="str">
        <f>IF(Raw_Data!H196="","",Raw_Data!H196)</f>
        <v/>
      </c>
      <c r="E193" s="12" t="str">
        <f>IF(Raw_Data!I196="","",Raw_Data!I196)</f>
        <v/>
      </c>
      <c r="F193" s="12" t="str">
        <f>IF(Raw_Data!J196="","",Raw_Data!J196)</f>
        <v/>
      </c>
      <c r="G193" s="12" t="str">
        <f>IF(Raw_Data!AH196&lt;&gt;"",Raw_Data!AH196,IF(Raw_Data!K196&lt;&gt;"",Raw_Data!K196,""))</f>
        <v/>
      </c>
      <c r="H193" s="12" t="str">
        <f>IF(Raw_Data!AI196&lt;&gt;"",Raw_Data!AI196,IF(Raw_Data!L196&lt;&gt;"",Raw_Data!L196,""))</f>
        <v/>
      </c>
      <c r="I193" s="12" t="str">
        <f t="shared" si="18"/>
        <v/>
      </c>
      <c r="J193" s="12" t="str">
        <f>IF(Raw_Data!M196="","",Raw_Data!M196)</f>
        <v/>
      </c>
      <c r="K193" s="12">
        <f>IF(Raw_Data!AJ196&lt;&gt;"",Raw_Data!AJ196,Raw_Data!N196)</f>
        <v>0</v>
      </c>
      <c r="L193" s="12">
        <f t="shared" si="19"/>
        <v>1</v>
      </c>
      <c r="M193" s="12" t="str">
        <f>IF(Raw_Data!AK196="","",Raw_Data!AK196)</f>
        <v/>
      </c>
      <c r="N193" s="12" t="str">
        <f>IF(Raw_Data!T196="","",Raw_Data!T196)</f>
        <v/>
      </c>
      <c r="O193" s="12" t="str">
        <f>IF(Raw_Data!AB196&lt;&gt;"",Raw_Data!AB196,IF(N193="tres_insatisfait",1,IF(N193="insatisfait",2,IF(N193="neutre",3,IF(N193="satisfait",4,IF(N193="tres_satisfait",5,""))))))</f>
        <v/>
      </c>
      <c r="P193" s="12">
        <f>IF(Raw_Data!AL196&lt;&gt;"",Raw_Data!AL196,Raw_Data!R196)</f>
        <v>0</v>
      </c>
      <c r="Q193" s="12">
        <f t="shared" si="20"/>
        <v>0</v>
      </c>
      <c r="R193" s="12" t="str">
        <f>IF(Raw_Data!AM196="","",Raw_Data!AM196)</f>
        <v/>
      </c>
      <c r="S193" s="12" t="str">
        <f t="shared" si="21"/>
        <v/>
      </c>
      <c r="T193" s="12" t="str">
        <f>IF(Raw_Data!AN196="","",Raw_Data!AN196)</f>
        <v/>
      </c>
      <c r="U193" s="12" t="str">
        <f t="shared" si="22"/>
        <v/>
      </c>
      <c r="V193" s="12" t="str">
        <f>IF(Raw_Data!AP196="","",IF(Raw_Data!AP196="oui",1,0))</f>
        <v/>
      </c>
      <c r="W193" s="12" t="str">
        <f>IF(Raw_Data!AQ196="","",IF(Raw_Data!AQ196="oui",1,0))</f>
        <v/>
      </c>
      <c r="X193" s="12" t="str">
        <f>IF(Raw_Data!AR196="","",IF(Raw_Data!AR196="oui",1,0))</f>
        <v/>
      </c>
      <c r="Y193" s="12" t="str">
        <f>IF(Raw_Data!AS196="","",IF(Raw_Data!AS196="oui",1,0))</f>
        <v/>
      </c>
      <c r="Z193" s="12" t="str">
        <f>IF(Raw_Data!V196="","",IF(Raw_Data!V196="oui",1,0))</f>
        <v/>
      </c>
      <c r="AA193" s="12" t="str">
        <f>IF(Raw_Data!W196="","",IF(Raw_Data!W196="oui",1,0))</f>
        <v/>
      </c>
      <c r="AB193" s="12" t="str">
        <f>IF(Raw_Data!Q196="","",IF(Raw_Data!Q196="oui",1,0))</f>
        <v/>
      </c>
      <c r="AC193" s="12">
        <f>Raw_Data!AF196</f>
        <v>0</v>
      </c>
      <c r="AD193" s="12" t="str">
        <f t="shared" si="23"/>
        <v/>
      </c>
      <c r="AE193" s="12" t="str">
        <f t="shared" si="24"/>
        <v/>
      </c>
      <c r="AF193" s="12" t="str">
        <f t="shared" si="25"/>
        <v/>
      </c>
      <c r="AG193" s="12">
        <f t="shared" si="26"/>
        <v>0</v>
      </c>
    </row>
    <row r="194" spans="1:33" ht="15" customHeight="1" x14ac:dyDescent="0.25">
      <c r="A194" s="12" t="str">
        <f>IF(Raw_Data!B197="","",Raw_Data!B197)</f>
        <v/>
      </c>
      <c r="B194" s="12">
        <f>IF(Raw_Data!X197&lt;&gt;"",Raw_Data!X197,Raw_Data!C197)</f>
        <v>0</v>
      </c>
      <c r="C194" s="12" t="str">
        <f>IF(Raw_Data!G197="","",Raw_Data!G197)</f>
        <v/>
      </c>
      <c r="D194" s="12" t="str">
        <f>IF(Raw_Data!H197="","",Raw_Data!H197)</f>
        <v/>
      </c>
      <c r="E194" s="12" t="str">
        <f>IF(Raw_Data!I197="","",Raw_Data!I197)</f>
        <v/>
      </c>
      <c r="F194" s="12" t="str">
        <f>IF(Raw_Data!J197="","",Raw_Data!J197)</f>
        <v/>
      </c>
      <c r="G194" s="12" t="str">
        <f>IF(Raw_Data!AH197&lt;&gt;"",Raw_Data!AH197,IF(Raw_Data!K197&lt;&gt;"",Raw_Data!K197,""))</f>
        <v/>
      </c>
      <c r="H194" s="12" t="str">
        <f>IF(Raw_Data!AI197&lt;&gt;"",Raw_Data!AI197,IF(Raw_Data!L197&lt;&gt;"",Raw_Data!L197,""))</f>
        <v/>
      </c>
      <c r="I194" s="12" t="str">
        <f t="shared" ref="I194:I257" si="27">IF(H194="","",IF(H194&lt;18,"&lt;18 ans",IF(H194&lt;60,"18-59 ans","60 ans et +")))</f>
        <v/>
      </c>
      <c r="J194" s="12" t="str">
        <f>IF(Raw_Data!M197="","",Raw_Data!M197)</f>
        <v/>
      </c>
      <c r="K194" s="12">
        <f>IF(Raw_Data!AJ197&lt;&gt;"",Raw_Data!AJ197,Raw_Data!N197)</f>
        <v>0</v>
      </c>
      <c r="L194" s="12">
        <f t="shared" ref="L194:L257" si="28">IF(K194="",0,1)</f>
        <v>1</v>
      </c>
      <c r="M194" s="12" t="str">
        <f>IF(Raw_Data!AK197="","",Raw_Data!AK197)</f>
        <v/>
      </c>
      <c r="N194" s="12" t="str">
        <f>IF(Raw_Data!T197="","",Raw_Data!T197)</f>
        <v/>
      </c>
      <c r="O194" s="12" t="str">
        <f>IF(Raw_Data!AB197&lt;&gt;"",Raw_Data!AB197,IF(N194="tres_insatisfait",1,IF(N194="insatisfait",2,IF(N194="neutre",3,IF(N194="satisfait",4,IF(N194="tres_satisfait",5,""))))))</f>
        <v/>
      </c>
      <c r="P194" s="12">
        <f>IF(Raw_Data!AL197&lt;&gt;"",Raw_Data!AL197,Raw_Data!R197)</f>
        <v>0</v>
      </c>
      <c r="Q194" s="12">
        <f t="shared" ref="Q194:Q257" si="29">IF(P194="","",IF(P194="oui",1,0))</f>
        <v>0</v>
      </c>
      <c r="R194" s="12" t="str">
        <f>IF(Raw_Data!AM197="","",Raw_Data!AM197)</f>
        <v/>
      </c>
      <c r="S194" s="12" t="str">
        <f t="shared" ref="S194:S257" si="30">IF(R194="","",IF(R194="oui",1,0))</f>
        <v/>
      </c>
      <c r="T194" s="12" t="str">
        <f>IF(Raw_Data!AN197="","",Raw_Data!AN197)</f>
        <v/>
      </c>
      <c r="U194" s="12" t="str">
        <f t="shared" ref="U194:U257" si="31">IF(T194="","",IF(T194="oui",1,0))</f>
        <v/>
      </c>
      <c r="V194" s="12" t="str">
        <f>IF(Raw_Data!AP197="","",IF(Raw_Data!AP197="oui",1,0))</f>
        <v/>
      </c>
      <c r="W194" s="12" t="str">
        <f>IF(Raw_Data!AQ197="","",IF(Raw_Data!AQ197="oui",1,0))</f>
        <v/>
      </c>
      <c r="X194" s="12" t="str">
        <f>IF(Raw_Data!AR197="","",IF(Raw_Data!AR197="oui",1,0))</f>
        <v/>
      </c>
      <c r="Y194" s="12" t="str">
        <f>IF(Raw_Data!AS197="","",IF(Raw_Data!AS197="oui",1,0))</f>
        <v/>
      </c>
      <c r="Z194" s="12" t="str">
        <f>IF(Raw_Data!V197="","",IF(Raw_Data!V197="oui",1,0))</f>
        <v/>
      </c>
      <c r="AA194" s="12" t="str">
        <f>IF(Raw_Data!W197="","",IF(Raw_Data!W197="oui",1,0))</f>
        <v/>
      </c>
      <c r="AB194" s="12" t="str">
        <f>IF(Raw_Data!Q197="","",IF(Raw_Data!Q197="oui",1,0))</f>
        <v/>
      </c>
      <c r="AC194" s="12">
        <f>Raw_Data!AF197</f>
        <v>0</v>
      </c>
      <c r="AD194" s="12" t="str">
        <f t="shared" ref="AD194:AD257" si="32">IF(A194="","",F194&amp;"|"&amp;E194&amp;"|"&amp;TEXT(B194,"YYYY-MM-DD"))</f>
        <v/>
      </c>
      <c r="AE194" s="12" t="str">
        <f t="shared" ref="AE194:AE257" si="33">IF(AD194="","",IF(COUNTIF($AD$2:$AD$1000,AD194)&gt;1,1,0))</f>
        <v/>
      </c>
      <c r="AF194" s="12" t="str">
        <f t="shared" ref="AF194:AF257" si="34">IF(A194="","",IF(OR(C194="",D194="",G194="",H194="",N194=""),1,0))</f>
        <v/>
      </c>
      <c r="AG194" s="12">
        <f t="shared" ref="AG194:AG257" si="35">IF(A194="",0,1)</f>
        <v>0</v>
      </c>
    </row>
    <row r="195" spans="1:33" ht="15" customHeight="1" x14ac:dyDescent="0.25">
      <c r="A195" s="12" t="str">
        <f>IF(Raw_Data!B198="","",Raw_Data!B198)</f>
        <v/>
      </c>
      <c r="B195" s="12">
        <f>IF(Raw_Data!X198&lt;&gt;"",Raw_Data!X198,Raw_Data!C198)</f>
        <v>0</v>
      </c>
      <c r="C195" s="12" t="str">
        <f>IF(Raw_Data!G198="","",Raw_Data!G198)</f>
        <v/>
      </c>
      <c r="D195" s="12" t="str">
        <f>IF(Raw_Data!H198="","",Raw_Data!H198)</f>
        <v/>
      </c>
      <c r="E195" s="12" t="str">
        <f>IF(Raw_Data!I198="","",Raw_Data!I198)</f>
        <v/>
      </c>
      <c r="F195" s="12" t="str">
        <f>IF(Raw_Data!J198="","",Raw_Data!J198)</f>
        <v/>
      </c>
      <c r="G195" s="12" t="str">
        <f>IF(Raw_Data!AH198&lt;&gt;"",Raw_Data!AH198,IF(Raw_Data!K198&lt;&gt;"",Raw_Data!K198,""))</f>
        <v/>
      </c>
      <c r="H195" s="12" t="str">
        <f>IF(Raw_Data!AI198&lt;&gt;"",Raw_Data!AI198,IF(Raw_Data!L198&lt;&gt;"",Raw_Data!L198,""))</f>
        <v/>
      </c>
      <c r="I195" s="12" t="str">
        <f t="shared" si="27"/>
        <v/>
      </c>
      <c r="J195" s="12" t="str">
        <f>IF(Raw_Data!M198="","",Raw_Data!M198)</f>
        <v/>
      </c>
      <c r="K195" s="12">
        <f>IF(Raw_Data!AJ198&lt;&gt;"",Raw_Data!AJ198,Raw_Data!N198)</f>
        <v>0</v>
      </c>
      <c r="L195" s="12">
        <f t="shared" si="28"/>
        <v>1</v>
      </c>
      <c r="M195" s="12" t="str">
        <f>IF(Raw_Data!AK198="","",Raw_Data!AK198)</f>
        <v/>
      </c>
      <c r="N195" s="12" t="str">
        <f>IF(Raw_Data!T198="","",Raw_Data!T198)</f>
        <v/>
      </c>
      <c r="O195" s="12" t="str">
        <f>IF(Raw_Data!AB198&lt;&gt;"",Raw_Data!AB198,IF(N195="tres_insatisfait",1,IF(N195="insatisfait",2,IF(N195="neutre",3,IF(N195="satisfait",4,IF(N195="tres_satisfait",5,""))))))</f>
        <v/>
      </c>
      <c r="P195" s="12">
        <f>IF(Raw_Data!AL198&lt;&gt;"",Raw_Data!AL198,Raw_Data!R198)</f>
        <v>0</v>
      </c>
      <c r="Q195" s="12">
        <f t="shared" si="29"/>
        <v>0</v>
      </c>
      <c r="R195" s="12" t="str">
        <f>IF(Raw_Data!AM198="","",Raw_Data!AM198)</f>
        <v/>
      </c>
      <c r="S195" s="12" t="str">
        <f t="shared" si="30"/>
        <v/>
      </c>
      <c r="T195" s="12" t="str">
        <f>IF(Raw_Data!AN198="","",Raw_Data!AN198)</f>
        <v/>
      </c>
      <c r="U195" s="12" t="str">
        <f t="shared" si="31"/>
        <v/>
      </c>
      <c r="V195" s="12" t="str">
        <f>IF(Raw_Data!AP198="","",IF(Raw_Data!AP198="oui",1,0))</f>
        <v/>
      </c>
      <c r="W195" s="12" t="str">
        <f>IF(Raw_Data!AQ198="","",IF(Raw_Data!AQ198="oui",1,0))</f>
        <v/>
      </c>
      <c r="X195" s="12" t="str">
        <f>IF(Raw_Data!AR198="","",IF(Raw_Data!AR198="oui",1,0))</f>
        <v/>
      </c>
      <c r="Y195" s="12" t="str">
        <f>IF(Raw_Data!AS198="","",IF(Raw_Data!AS198="oui",1,0))</f>
        <v/>
      </c>
      <c r="Z195" s="12" t="str">
        <f>IF(Raw_Data!V198="","",IF(Raw_Data!V198="oui",1,0))</f>
        <v/>
      </c>
      <c r="AA195" s="12" t="str">
        <f>IF(Raw_Data!W198="","",IF(Raw_Data!W198="oui",1,0))</f>
        <v/>
      </c>
      <c r="AB195" s="12" t="str">
        <f>IF(Raw_Data!Q198="","",IF(Raw_Data!Q198="oui",1,0))</f>
        <v/>
      </c>
      <c r="AC195" s="12">
        <f>Raw_Data!AF198</f>
        <v>0</v>
      </c>
      <c r="AD195" s="12" t="str">
        <f t="shared" si="32"/>
        <v/>
      </c>
      <c r="AE195" s="12" t="str">
        <f t="shared" si="33"/>
        <v/>
      </c>
      <c r="AF195" s="12" t="str">
        <f t="shared" si="34"/>
        <v/>
      </c>
      <c r="AG195" s="12">
        <f t="shared" si="35"/>
        <v>0</v>
      </c>
    </row>
    <row r="196" spans="1:33" ht="15" customHeight="1" x14ac:dyDescent="0.25">
      <c r="A196" s="12" t="str">
        <f>IF(Raw_Data!B199="","",Raw_Data!B199)</f>
        <v/>
      </c>
      <c r="B196" s="12">
        <f>IF(Raw_Data!X199&lt;&gt;"",Raw_Data!X199,Raw_Data!C199)</f>
        <v>0</v>
      </c>
      <c r="C196" s="12" t="str">
        <f>IF(Raw_Data!G199="","",Raw_Data!G199)</f>
        <v/>
      </c>
      <c r="D196" s="12" t="str">
        <f>IF(Raw_Data!H199="","",Raw_Data!H199)</f>
        <v/>
      </c>
      <c r="E196" s="12" t="str">
        <f>IF(Raw_Data!I199="","",Raw_Data!I199)</f>
        <v/>
      </c>
      <c r="F196" s="12" t="str">
        <f>IF(Raw_Data!J199="","",Raw_Data!J199)</f>
        <v/>
      </c>
      <c r="G196" s="12" t="str">
        <f>IF(Raw_Data!AH199&lt;&gt;"",Raw_Data!AH199,IF(Raw_Data!K199&lt;&gt;"",Raw_Data!K199,""))</f>
        <v/>
      </c>
      <c r="H196" s="12" t="str">
        <f>IF(Raw_Data!AI199&lt;&gt;"",Raw_Data!AI199,IF(Raw_Data!L199&lt;&gt;"",Raw_Data!L199,""))</f>
        <v/>
      </c>
      <c r="I196" s="12" t="str">
        <f t="shared" si="27"/>
        <v/>
      </c>
      <c r="J196" s="12" t="str">
        <f>IF(Raw_Data!M199="","",Raw_Data!M199)</f>
        <v/>
      </c>
      <c r="K196" s="12">
        <f>IF(Raw_Data!AJ199&lt;&gt;"",Raw_Data!AJ199,Raw_Data!N199)</f>
        <v>0</v>
      </c>
      <c r="L196" s="12">
        <f t="shared" si="28"/>
        <v>1</v>
      </c>
      <c r="M196" s="12" t="str">
        <f>IF(Raw_Data!AK199="","",Raw_Data!AK199)</f>
        <v/>
      </c>
      <c r="N196" s="12" t="str">
        <f>IF(Raw_Data!T199="","",Raw_Data!T199)</f>
        <v/>
      </c>
      <c r="O196" s="12" t="str">
        <f>IF(Raw_Data!AB199&lt;&gt;"",Raw_Data!AB199,IF(N196="tres_insatisfait",1,IF(N196="insatisfait",2,IF(N196="neutre",3,IF(N196="satisfait",4,IF(N196="tres_satisfait",5,""))))))</f>
        <v/>
      </c>
      <c r="P196" s="12">
        <f>IF(Raw_Data!AL199&lt;&gt;"",Raw_Data!AL199,Raw_Data!R199)</f>
        <v>0</v>
      </c>
      <c r="Q196" s="12">
        <f t="shared" si="29"/>
        <v>0</v>
      </c>
      <c r="R196" s="12" t="str">
        <f>IF(Raw_Data!AM199="","",Raw_Data!AM199)</f>
        <v/>
      </c>
      <c r="S196" s="12" t="str">
        <f t="shared" si="30"/>
        <v/>
      </c>
      <c r="T196" s="12" t="str">
        <f>IF(Raw_Data!AN199="","",Raw_Data!AN199)</f>
        <v/>
      </c>
      <c r="U196" s="12" t="str">
        <f t="shared" si="31"/>
        <v/>
      </c>
      <c r="V196" s="12" t="str">
        <f>IF(Raw_Data!AP199="","",IF(Raw_Data!AP199="oui",1,0))</f>
        <v/>
      </c>
      <c r="W196" s="12" t="str">
        <f>IF(Raw_Data!AQ199="","",IF(Raw_Data!AQ199="oui",1,0))</f>
        <v/>
      </c>
      <c r="X196" s="12" t="str">
        <f>IF(Raw_Data!AR199="","",IF(Raw_Data!AR199="oui",1,0))</f>
        <v/>
      </c>
      <c r="Y196" s="12" t="str">
        <f>IF(Raw_Data!AS199="","",IF(Raw_Data!AS199="oui",1,0))</f>
        <v/>
      </c>
      <c r="Z196" s="12" t="str">
        <f>IF(Raw_Data!V199="","",IF(Raw_Data!V199="oui",1,0))</f>
        <v/>
      </c>
      <c r="AA196" s="12" t="str">
        <f>IF(Raw_Data!W199="","",IF(Raw_Data!W199="oui",1,0))</f>
        <v/>
      </c>
      <c r="AB196" s="12" t="str">
        <f>IF(Raw_Data!Q199="","",IF(Raw_Data!Q199="oui",1,0))</f>
        <v/>
      </c>
      <c r="AC196" s="12">
        <f>Raw_Data!AF199</f>
        <v>0</v>
      </c>
      <c r="AD196" s="12" t="str">
        <f t="shared" si="32"/>
        <v/>
      </c>
      <c r="AE196" s="12" t="str">
        <f t="shared" si="33"/>
        <v/>
      </c>
      <c r="AF196" s="12" t="str">
        <f t="shared" si="34"/>
        <v/>
      </c>
      <c r="AG196" s="12">
        <f t="shared" si="35"/>
        <v>0</v>
      </c>
    </row>
    <row r="197" spans="1:33" ht="15" customHeight="1" x14ac:dyDescent="0.25">
      <c r="A197" s="12" t="str">
        <f>IF(Raw_Data!B200="","",Raw_Data!B200)</f>
        <v/>
      </c>
      <c r="B197" s="12">
        <f>IF(Raw_Data!X200&lt;&gt;"",Raw_Data!X200,Raw_Data!C200)</f>
        <v>0</v>
      </c>
      <c r="C197" s="12" t="str">
        <f>IF(Raw_Data!G200="","",Raw_Data!G200)</f>
        <v/>
      </c>
      <c r="D197" s="12" t="str">
        <f>IF(Raw_Data!H200="","",Raw_Data!H200)</f>
        <v/>
      </c>
      <c r="E197" s="12" t="str">
        <f>IF(Raw_Data!I200="","",Raw_Data!I200)</f>
        <v/>
      </c>
      <c r="F197" s="12" t="str">
        <f>IF(Raw_Data!J200="","",Raw_Data!J200)</f>
        <v/>
      </c>
      <c r="G197" s="12" t="str">
        <f>IF(Raw_Data!AH200&lt;&gt;"",Raw_Data!AH200,IF(Raw_Data!K200&lt;&gt;"",Raw_Data!K200,""))</f>
        <v/>
      </c>
      <c r="H197" s="12" t="str">
        <f>IF(Raw_Data!AI200&lt;&gt;"",Raw_Data!AI200,IF(Raw_Data!L200&lt;&gt;"",Raw_Data!L200,""))</f>
        <v/>
      </c>
      <c r="I197" s="12" t="str">
        <f t="shared" si="27"/>
        <v/>
      </c>
      <c r="J197" s="12" t="str">
        <f>IF(Raw_Data!M200="","",Raw_Data!M200)</f>
        <v/>
      </c>
      <c r="K197" s="12">
        <f>IF(Raw_Data!AJ200&lt;&gt;"",Raw_Data!AJ200,Raw_Data!N200)</f>
        <v>0</v>
      </c>
      <c r="L197" s="12">
        <f t="shared" si="28"/>
        <v>1</v>
      </c>
      <c r="M197" s="12" t="str">
        <f>IF(Raw_Data!AK200="","",Raw_Data!AK200)</f>
        <v/>
      </c>
      <c r="N197" s="12" t="str">
        <f>IF(Raw_Data!T200="","",Raw_Data!T200)</f>
        <v/>
      </c>
      <c r="O197" s="12" t="str">
        <f>IF(Raw_Data!AB200&lt;&gt;"",Raw_Data!AB200,IF(N197="tres_insatisfait",1,IF(N197="insatisfait",2,IF(N197="neutre",3,IF(N197="satisfait",4,IF(N197="tres_satisfait",5,""))))))</f>
        <v/>
      </c>
      <c r="P197" s="12">
        <f>IF(Raw_Data!AL200&lt;&gt;"",Raw_Data!AL200,Raw_Data!R200)</f>
        <v>0</v>
      </c>
      <c r="Q197" s="12">
        <f t="shared" si="29"/>
        <v>0</v>
      </c>
      <c r="R197" s="12" t="str">
        <f>IF(Raw_Data!AM200="","",Raw_Data!AM200)</f>
        <v/>
      </c>
      <c r="S197" s="12" t="str">
        <f t="shared" si="30"/>
        <v/>
      </c>
      <c r="T197" s="12" t="str">
        <f>IF(Raw_Data!AN200="","",Raw_Data!AN200)</f>
        <v/>
      </c>
      <c r="U197" s="12" t="str">
        <f t="shared" si="31"/>
        <v/>
      </c>
      <c r="V197" s="12" t="str">
        <f>IF(Raw_Data!AP200="","",IF(Raw_Data!AP200="oui",1,0))</f>
        <v/>
      </c>
      <c r="W197" s="12" t="str">
        <f>IF(Raw_Data!AQ200="","",IF(Raw_Data!AQ200="oui",1,0))</f>
        <v/>
      </c>
      <c r="X197" s="12" t="str">
        <f>IF(Raw_Data!AR200="","",IF(Raw_Data!AR200="oui",1,0))</f>
        <v/>
      </c>
      <c r="Y197" s="12" t="str">
        <f>IF(Raw_Data!AS200="","",IF(Raw_Data!AS200="oui",1,0))</f>
        <v/>
      </c>
      <c r="Z197" s="12" t="str">
        <f>IF(Raw_Data!V200="","",IF(Raw_Data!V200="oui",1,0))</f>
        <v/>
      </c>
      <c r="AA197" s="12" t="str">
        <f>IF(Raw_Data!W200="","",IF(Raw_Data!W200="oui",1,0))</f>
        <v/>
      </c>
      <c r="AB197" s="12" t="str">
        <f>IF(Raw_Data!Q200="","",IF(Raw_Data!Q200="oui",1,0))</f>
        <v/>
      </c>
      <c r="AC197" s="12">
        <f>Raw_Data!AF200</f>
        <v>0</v>
      </c>
      <c r="AD197" s="12" t="str">
        <f t="shared" si="32"/>
        <v/>
      </c>
      <c r="AE197" s="12" t="str">
        <f t="shared" si="33"/>
        <v/>
      </c>
      <c r="AF197" s="12" t="str">
        <f t="shared" si="34"/>
        <v/>
      </c>
      <c r="AG197" s="12">
        <f t="shared" si="35"/>
        <v>0</v>
      </c>
    </row>
    <row r="198" spans="1:33" ht="15" customHeight="1" x14ac:dyDescent="0.25">
      <c r="A198" s="12" t="str">
        <f>IF(Raw_Data!B201="","",Raw_Data!B201)</f>
        <v/>
      </c>
      <c r="B198" s="12">
        <f>IF(Raw_Data!X201&lt;&gt;"",Raw_Data!X201,Raw_Data!C201)</f>
        <v>0</v>
      </c>
      <c r="C198" s="12" t="str">
        <f>IF(Raw_Data!G201="","",Raw_Data!G201)</f>
        <v/>
      </c>
      <c r="D198" s="12" t="str">
        <f>IF(Raw_Data!H201="","",Raw_Data!H201)</f>
        <v/>
      </c>
      <c r="E198" s="12" t="str">
        <f>IF(Raw_Data!I201="","",Raw_Data!I201)</f>
        <v/>
      </c>
      <c r="F198" s="12" t="str">
        <f>IF(Raw_Data!J201="","",Raw_Data!J201)</f>
        <v/>
      </c>
      <c r="G198" s="12" t="str">
        <f>IF(Raw_Data!AH201&lt;&gt;"",Raw_Data!AH201,IF(Raw_Data!K201&lt;&gt;"",Raw_Data!K201,""))</f>
        <v/>
      </c>
      <c r="H198" s="12" t="str">
        <f>IF(Raw_Data!AI201&lt;&gt;"",Raw_Data!AI201,IF(Raw_Data!L201&lt;&gt;"",Raw_Data!L201,""))</f>
        <v/>
      </c>
      <c r="I198" s="12" t="str">
        <f t="shared" si="27"/>
        <v/>
      </c>
      <c r="J198" s="12" t="str">
        <f>IF(Raw_Data!M201="","",Raw_Data!M201)</f>
        <v/>
      </c>
      <c r="K198" s="12">
        <f>IF(Raw_Data!AJ201&lt;&gt;"",Raw_Data!AJ201,Raw_Data!N201)</f>
        <v>0</v>
      </c>
      <c r="L198" s="12">
        <f t="shared" si="28"/>
        <v>1</v>
      </c>
      <c r="M198" s="12" t="str">
        <f>IF(Raw_Data!AK201="","",Raw_Data!AK201)</f>
        <v/>
      </c>
      <c r="N198" s="12" t="str">
        <f>IF(Raw_Data!T201="","",Raw_Data!T201)</f>
        <v/>
      </c>
      <c r="O198" s="12" t="str">
        <f>IF(Raw_Data!AB201&lt;&gt;"",Raw_Data!AB201,IF(N198="tres_insatisfait",1,IF(N198="insatisfait",2,IF(N198="neutre",3,IF(N198="satisfait",4,IF(N198="tres_satisfait",5,""))))))</f>
        <v/>
      </c>
      <c r="P198" s="12">
        <f>IF(Raw_Data!AL201&lt;&gt;"",Raw_Data!AL201,Raw_Data!R201)</f>
        <v>0</v>
      </c>
      <c r="Q198" s="12">
        <f t="shared" si="29"/>
        <v>0</v>
      </c>
      <c r="R198" s="12" t="str">
        <f>IF(Raw_Data!AM201="","",Raw_Data!AM201)</f>
        <v/>
      </c>
      <c r="S198" s="12" t="str">
        <f t="shared" si="30"/>
        <v/>
      </c>
      <c r="T198" s="12" t="str">
        <f>IF(Raw_Data!AN201="","",Raw_Data!AN201)</f>
        <v/>
      </c>
      <c r="U198" s="12" t="str">
        <f t="shared" si="31"/>
        <v/>
      </c>
      <c r="V198" s="12" t="str">
        <f>IF(Raw_Data!AP201="","",IF(Raw_Data!AP201="oui",1,0))</f>
        <v/>
      </c>
      <c r="W198" s="12" t="str">
        <f>IF(Raw_Data!AQ201="","",IF(Raw_Data!AQ201="oui",1,0))</f>
        <v/>
      </c>
      <c r="X198" s="12" t="str">
        <f>IF(Raw_Data!AR201="","",IF(Raw_Data!AR201="oui",1,0))</f>
        <v/>
      </c>
      <c r="Y198" s="12" t="str">
        <f>IF(Raw_Data!AS201="","",IF(Raw_Data!AS201="oui",1,0))</f>
        <v/>
      </c>
      <c r="Z198" s="12" t="str">
        <f>IF(Raw_Data!V201="","",IF(Raw_Data!V201="oui",1,0))</f>
        <v/>
      </c>
      <c r="AA198" s="12" t="str">
        <f>IF(Raw_Data!W201="","",IF(Raw_Data!W201="oui",1,0))</f>
        <v/>
      </c>
      <c r="AB198" s="12" t="str">
        <f>IF(Raw_Data!Q201="","",IF(Raw_Data!Q201="oui",1,0))</f>
        <v/>
      </c>
      <c r="AC198" s="12">
        <f>Raw_Data!AF201</f>
        <v>0</v>
      </c>
      <c r="AD198" s="12" t="str">
        <f t="shared" si="32"/>
        <v/>
      </c>
      <c r="AE198" s="12" t="str">
        <f t="shared" si="33"/>
        <v/>
      </c>
      <c r="AF198" s="12" t="str">
        <f t="shared" si="34"/>
        <v/>
      </c>
      <c r="AG198" s="12">
        <f t="shared" si="35"/>
        <v>0</v>
      </c>
    </row>
    <row r="199" spans="1:33" ht="15" customHeight="1" x14ac:dyDescent="0.25">
      <c r="A199" s="12" t="str">
        <f>IF(Raw_Data!B202="","",Raw_Data!B202)</f>
        <v/>
      </c>
      <c r="B199" s="12">
        <f>IF(Raw_Data!X202&lt;&gt;"",Raw_Data!X202,Raw_Data!C202)</f>
        <v>0</v>
      </c>
      <c r="C199" s="12" t="str">
        <f>IF(Raw_Data!G202="","",Raw_Data!G202)</f>
        <v/>
      </c>
      <c r="D199" s="12" t="str">
        <f>IF(Raw_Data!H202="","",Raw_Data!H202)</f>
        <v/>
      </c>
      <c r="E199" s="12" t="str">
        <f>IF(Raw_Data!I202="","",Raw_Data!I202)</f>
        <v/>
      </c>
      <c r="F199" s="12" t="str">
        <f>IF(Raw_Data!J202="","",Raw_Data!J202)</f>
        <v/>
      </c>
      <c r="G199" s="12" t="str">
        <f>IF(Raw_Data!AH202&lt;&gt;"",Raw_Data!AH202,IF(Raw_Data!K202&lt;&gt;"",Raw_Data!K202,""))</f>
        <v/>
      </c>
      <c r="H199" s="12" t="str">
        <f>IF(Raw_Data!AI202&lt;&gt;"",Raw_Data!AI202,IF(Raw_Data!L202&lt;&gt;"",Raw_Data!L202,""))</f>
        <v/>
      </c>
      <c r="I199" s="12" t="str">
        <f t="shared" si="27"/>
        <v/>
      </c>
      <c r="J199" s="12" t="str">
        <f>IF(Raw_Data!M202="","",Raw_Data!M202)</f>
        <v/>
      </c>
      <c r="K199" s="12">
        <f>IF(Raw_Data!AJ202&lt;&gt;"",Raw_Data!AJ202,Raw_Data!N202)</f>
        <v>0</v>
      </c>
      <c r="L199" s="12">
        <f t="shared" si="28"/>
        <v>1</v>
      </c>
      <c r="M199" s="12" t="str">
        <f>IF(Raw_Data!AK202="","",Raw_Data!AK202)</f>
        <v/>
      </c>
      <c r="N199" s="12" t="str">
        <f>IF(Raw_Data!T202="","",Raw_Data!T202)</f>
        <v/>
      </c>
      <c r="O199" s="12" t="str">
        <f>IF(Raw_Data!AB202&lt;&gt;"",Raw_Data!AB202,IF(N199="tres_insatisfait",1,IF(N199="insatisfait",2,IF(N199="neutre",3,IF(N199="satisfait",4,IF(N199="tres_satisfait",5,""))))))</f>
        <v/>
      </c>
      <c r="P199" s="12">
        <f>IF(Raw_Data!AL202&lt;&gt;"",Raw_Data!AL202,Raw_Data!R202)</f>
        <v>0</v>
      </c>
      <c r="Q199" s="12">
        <f t="shared" si="29"/>
        <v>0</v>
      </c>
      <c r="R199" s="12" t="str">
        <f>IF(Raw_Data!AM202="","",Raw_Data!AM202)</f>
        <v/>
      </c>
      <c r="S199" s="12" t="str">
        <f t="shared" si="30"/>
        <v/>
      </c>
      <c r="T199" s="12" t="str">
        <f>IF(Raw_Data!AN202="","",Raw_Data!AN202)</f>
        <v/>
      </c>
      <c r="U199" s="12" t="str">
        <f t="shared" si="31"/>
        <v/>
      </c>
      <c r="V199" s="12" t="str">
        <f>IF(Raw_Data!AP202="","",IF(Raw_Data!AP202="oui",1,0))</f>
        <v/>
      </c>
      <c r="W199" s="12" t="str">
        <f>IF(Raw_Data!AQ202="","",IF(Raw_Data!AQ202="oui",1,0))</f>
        <v/>
      </c>
      <c r="X199" s="12" t="str">
        <f>IF(Raw_Data!AR202="","",IF(Raw_Data!AR202="oui",1,0))</f>
        <v/>
      </c>
      <c r="Y199" s="12" t="str">
        <f>IF(Raw_Data!AS202="","",IF(Raw_Data!AS202="oui",1,0))</f>
        <v/>
      </c>
      <c r="Z199" s="12" t="str">
        <f>IF(Raw_Data!V202="","",IF(Raw_Data!V202="oui",1,0))</f>
        <v/>
      </c>
      <c r="AA199" s="12" t="str">
        <f>IF(Raw_Data!W202="","",IF(Raw_Data!W202="oui",1,0))</f>
        <v/>
      </c>
      <c r="AB199" s="12" t="str">
        <f>IF(Raw_Data!Q202="","",IF(Raw_Data!Q202="oui",1,0))</f>
        <v/>
      </c>
      <c r="AC199" s="12">
        <f>Raw_Data!AF202</f>
        <v>0</v>
      </c>
      <c r="AD199" s="12" t="str">
        <f t="shared" si="32"/>
        <v/>
      </c>
      <c r="AE199" s="12" t="str">
        <f t="shared" si="33"/>
        <v/>
      </c>
      <c r="AF199" s="12" t="str">
        <f t="shared" si="34"/>
        <v/>
      </c>
      <c r="AG199" s="12">
        <f t="shared" si="35"/>
        <v>0</v>
      </c>
    </row>
    <row r="200" spans="1:33" ht="15" customHeight="1" x14ac:dyDescent="0.25">
      <c r="A200" s="12" t="str">
        <f>IF(Raw_Data!B203="","",Raw_Data!B203)</f>
        <v/>
      </c>
      <c r="B200" s="12">
        <f>IF(Raw_Data!X203&lt;&gt;"",Raw_Data!X203,Raw_Data!C203)</f>
        <v>0</v>
      </c>
      <c r="C200" s="12" t="str">
        <f>IF(Raw_Data!G203="","",Raw_Data!G203)</f>
        <v/>
      </c>
      <c r="D200" s="12" t="str">
        <f>IF(Raw_Data!H203="","",Raw_Data!H203)</f>
        <v/>
      </c>
      <c r="E200" s="12" t="str">
        <f>IF(Raw_Data!I203="","",Raw_Data!I203)</f>
        <v/>
      </c>
      <c r="F200" s="12" t="str">
        <f>IF(Raw_Data!J203="","",Raw_Data!J203)</f>
        <v/>
      </c>
      <c r="G200" s="12" t="str">
        <f>IF(Raw_Data!AH203&lt;&gt;"",Raw_Data!AH203,IF(Raw_Data!K203&lt;&gt;"",Raw_Data!K203,""))</f>
        <v/>
      </c>
      <c r="H200" s="12" t="str">
        <f>IF(Raw_Data!AI203&lt;&gt;"",Raw_Data!AI203,IF(Raw_Data!L203&lt;&gt;"",Raw_Data!L203,""))</f>
        <v/>
      </c>
      <c r="I200" s="12" t="str">
        <f t="shared" si="27"/>
        <v/>
      </c>
      <c r="J200" s="12" t="str">
        <f>IF(Raw_Data!M203="","",Raw_Data!M203)</f>
        <v/>
      </c>
      <c r="K200" s="12">
        <f>IF(Raw_Data!AJ203&lt;&gt;"",Raw_Data!AJ203,Raw_Data!N203)</f>
        <v>0</v>
      </c>
      <c r="L200" s="12">
        <f t="shared" si="28"/>
        <v>1</v>
      </c>
      <c r="M200" s="12" t="str">
        <f>IF(Raw_Data!AK203="","",Raw_Data!AK203)</f>
        <v/>
      </c>
      <c r="N200" s="12" t="str">
        <f>IF(Raw_Data!T203="","",Raw_Data!T203)</f>
        <v/>
      </c>
      <c r="O200" s="12" t="str">
        <f>IF(Raw_Data!AB203&lt;&gt;"",Raw_Data!AB203,IF(N200="tres_insatisfait",1,IF(N200="insatisfait",2,IF(N200="neutre",3,IF(N200="satisfait",4,IF(N200="tres_satisfait",5,""))))))</f>
        <v/>
      </c>
      <c r="P200" s="12">
        <f>IF(Raw_Data!AL203&lt;&gt;"",Raw_Data!AL203,Raw_Data!R203)</f>
        <v>0</v>
      </c>
      <c r="Q200" s="12">
        <f t="shared" si="29"/>
        <v>0</v>
      </c>
      <c r="R200" s="12" t="str">
        <f>IF(Raw_Data!AM203="","",Raw_Data!AM203)</f>
        <v/>
      </c>
      <c r="S200" s="12" t="str">
        <f t="shared" si="30"/>
        <v/>
      </c>
      <c r="T200" s="12" t="str">
        <f>IF(Raw_Data!AN203="","",Raw_Data!AN203)</f>
        <v/>
      </c>
      <c r="U200" s="12" t="str">
        <f t="shared" si="31"/>
        <v/>
      </c>
      <c r="V200" s="12" t="str">
        <f>IF(Raw_Data!AP203="","",IF(Raw_Data!AP203="oui",1,0))</f>
        <v/>
      </c>
      <c r="W200" s="12" t="str">
        <f>IF(Raw_Data!AQ203="","",IF(Raw_Data!AQ203="oui",1,0))</f>
        <v/>
      </c>
      <c r="X200" s="12" t="str">
        <f>IF(Raw_Data!AR203="","",IF(Raw_Data!AR203="oui",1,0))</f>
        <v/>
      </c>
      <c r="Y200" s="12" t="str">
        <f>IF(Raw_Data!AS203="","",IF(Raw_Data!AS203="oui",1,0))</f>
        <v/>
      </c>
      <c r="Z200" s="12" t="str">
        <f>IF(Raw_Data!V203="","",IF(Raw_Data!V203="oui",1,0))</f>
        <v/>
      </c>
      <c r="AA200" s="12" t="str">
        <f>IF(Raw_Data!W203="","",IF(Raw_Data!W203="oui",1,0))</f>
        <v/>
      </c>
      <c r="AB200" s="12" t="str">
        <f>IF(Raw_Data!Q203="","",IF(Raw_Data!Q203="oui",1,0))</f>
        <v/>
      </c>
      <c r="AC200" s="12">
        <f>Raw_Data!AF203</f>
        <v>0</v>
      </c>
      <c r="AD200" s="12" t="str">
        <f t="shared" si="32"/>
        <v/>
      </c>
      <c r="AE200" s="12" t="str">
        <f t="shared" si="33"/>
        <v/>
      </c>
      <c r="AF200" s="12" t="str">
        <f t="shared" si="34"/>
        <v/>
      </c>
      <c r="AG200" s="12">
        <f t="shared" si="35"/>
        <v>0</v>
      </c>
    </row>
    <row r="201" spans="1:33" ht="15" customHeight="1" x14ac:dyDescent="0.25">
      <c r="A201" s="12" t="str">
        <f>IF(Raw_Data!B204="","",Raw_Data!B204)</f>
        <v/>
      </c>
      <c r="B201" s="12">
        <f>IF(Raw_Data!X204&lt;&gt;"",Raw_Data!X204,Raw_Data!C204)</f>
        <v>0</v>
      </c>
      <c r="C201" s="12" t="str">
        <f>IF(Raw_Data!G204="","",Raw_Data!G204)</f>
        <v/>
      </c>
      <c r="D201" s="12" t="str">
        <f>IF(Raw_Data!H204="","",Raw_Data!H204)</f>
        <v/>
      </c>
      <c r="E201" s="12" t="str">
        <f>IF(Raw_Data!I204="","",Raw_Data!I204)</f>
        <v/>
      </c>
      <c r="F201" s="12" t="str">
        <f>IF(Raw_Data!J204="","",Raw_Data!J204)</f>
        <v/>
      </c>
      <c r="G201" s="12" t="str">
        <f>IF(Raw_Data!AH204&lt;&gt;"",Raw_Data!AH204,IF(Raw_Data!K204&lt;&gt;"",Raw_Data!K204,""))</f>
        <v/>
      </c>
      <c r="H201" s="12" t="str">
        <f>IF(Raw_Data!AI204&lt;&gt;"",Raw_Data!AI204,IF(Raw_Data!L204&lt;&gt;"",Raw_Data!L204,""))</f>
        <v/>
      </c>
      <c r="I201" s="12" t="str">
        <f t="shared" si="27"/>
        <v/>
      </c>
      <c r="J201" s="12" t="str">
        <f>IF(Raw_Data!M204="","",Raw_Data!M204)</f>
        <v/>
      </c>
      <c r="K201" s="12">
        <f>IF(Raw_Data!AJ204&lt;&gt;"",Raw_Data!AJ204,Raw_Data!N204)</f>
        <v>0</v>
      </c>
      <c r="L201" s="12">
        <f t="shared" si="28"/>
        <v>1</v>
      </c>
      <c r="M201" s="12" t="str">
        <f>IF(Raw_Data!AK204="","",Raw_Data!AK204)</f>
        <v/>
      </c>
      <c r="N201" s="12" t="str">
        <f>IF(Raw_Data!T204="","",Raw_Data!T204)</f>
        <v/>
      </c>
      <c r="O201" s="12" t="str">
        <f>IF(Raw_Data!AB204&lt;&gt;"",Raw_Data!AB204,IF(N201="tres_insatisfait",1,IF(N201="insatisfait",2,IF(N201="neutre",3,IF(N201="satisfait",4,IF(N201="tres_satisfait",5,""))))))</f>
        <v/>
      </c>
      <c r="P201" s="12">
        <f>IF(Raw_Data!AL204&lt;&gt;"",Raw_Data!AL204,Raw_Data!R204)</f>
        <v>0</v>
      </c>
      <c r="Q201" s="12">
        <f t="shared" si="29"/>
        <v>0</v>
      </c>
      <c r="R201" s="12" t="str">
        <f>IF(Raw_Data!AM204="","",Raw_Data!AM204)</f>
        <v/>
      </c>
      <c r="S201" s="12" t="str">
        <f t="shared" si="30"/>
        <v/>
      </c>
      <c r="T201" s="12" t="str">
        <f>IF(Raw_Data!AN204="","",Raw_Data!AN204)</f>
        <v/>
      </c>
      <c r="U201" s="12" t="str">
        <f t="shared" si="31"/>
        <v/>
      </c>
      <c r="V201" s="12" t="str">
        <f>IF(Raw_Data!AP204="","",IF(Raw_Data!AP204="oui",1,0))</f>
        <v/>
      </c>
      <c r="W201" s="12" t="str">
        <f>IF(Raw_Data!AQ204="","",IF(Raw_Data!AQ204="oui",1,0))</f>
        <v/>
      </c>
      <c r="X201" s="12" t="str">
        <f>IF(Raw_Data!AR204="","",IF(Raw_Data!AR204="oui",1,0))</f>
        <v/>
      </c>
      <c r="Y201" s="12" t="str">
        <f>IF(Raw_Data!AS204="","",IF(Raw_Data!AS204="oui",1,0))</f>
        <v/>
      </c>
      <c r="Z201" s="12" t="str">
        <f>IF(Raw_Data!V204="","",IF(Raw_Data!V204="oui",1,0))</f>
        <v/>
      </c>
      <c r="AA201" s="12" t="str">
        <f>IF(Raw_Data!W204="","",IF(Raw_Data!W204="oui",1,0))</f>
        <v/>
      </c>
      <c r="AB201" s="12" t="str">
        <f>IF(Raw_Data!Q204="","",IF(Raw_Data!Q204="oui",1,0))</f>
        <v/>
      </c>
      <c r="AC201" s="12">
        <f>Raw_Data!AF204</f>
        <v>0</v>
      </c>
      <c r="AD201" s="12" t="str">
        <f t="shared" si="32"/>
        <v/>
      </c>
      <c r="AE201" s="12" t="str">
        <f t="shared" si="33"/>
        <v/>
      </c>
      <c r="AF201" s="12" t="str">
        <f t="shared" si="34"/>
        <v/>
      </c>
      <c r="AG201" s="12">
        <f t="shared" si="35"/>
        <v>0</v>
      </c>
    </row>
    <row r="202" spans="1:33" ht="15" customHeight="1" x14ac:dyDescent="0.25">
      <c r="A202" s="12" t="str">
        <f>IF(Raw_Data!B205="","",Raw_Data!B205)</f>
        <v/>
      </c>
      <c r="B202" s="12">
        <f>IF(Raw_Data!X205&lt;&gt;"",Raw_Data!X205,Raw_Data!C205)</f>
        <v>0</v>
      </c>
      <c r="C202" s="12" t="str">
        <f>IF(Raw_Data!G205="","",Raw_Data!G205)</f>
        <v/>
      </c>
      <c r="D202" s="12" t="str">
        <f>IF(Raw_Data!H205="","",Raw_Data!H205)</f>
        <v/>
      </c>
      <c r="E202" s="12" t="str">
        <f>IF(Raw_Data!I205="","",Raw_Data!I205)</f>
        <v/>
      </c>
      <c r="F202" s="12" t="str">
        <f>IF(Raw_Data!J205="","",Raw_Data!J205)</f>
        <v/>
      </c>
      <c r="G202" s="12" t="str">
        <f>IF(Raw_Data!AH205&lt;&gt;"",Raw_Data!AH205,IF(Raw_Data!K205&lt;&gt;"",Raw_Data!K205,""))</f>
        <v/>
      </c>
      <c r="H202" s="12" t="str">
        <f>IF(Raw_Data!AI205&lt;&gt;"",Raw_Data!AI205,IF(Raw_Data!L205&lt;&gt;"",Raw_Data!L205,""))</f>
        <v/>
      </c>
      <c r="I202" s="12" t="str">
        <f t="shared" si="27"/>
        <v/>
      </c>
      <c r="J202" s="12" t="str">
        <f>IF(Raw_Data!M205="","",Raw_Data!M205)</f>
        <v/>
      </c>
      <c r="K202" s="12">
        <f>IF(Raw_Data!AJ205&lt;&gt;"",Raw_Data!AJ205,Raw_Data!N205)</f>
        <v>0</v>
      </c>
      <c r="L202" s="12">
        <f t="shared" si="28"/>
        <v>1</v>
      </c>
      <c r="M202" s="12" t="str">
        <f>IF(Raw_Data!AK205="","",Raw_Data!AK205)</f>
        <v/>
      </c>
      <c r="N202" s="12" t="str">
        <f>IF(Raw_Data!T205="","",Raw_Data!T205)</f>
        <v/>
      </c>
      <c r="O202" s="12" t="str">
        <f>IF(Raw_Data!AB205&lt;&gt;"",Raw_Data!AB205,IF(N202="tres_insatisfait",1,IF(N202="insatisfait",2,IF(N202="neutre",3,IF(N202="satisfait",4,IF(N202="tres_satisfait",5,""))))))</f>
        <v/>
      </c>
      <c r="P202" s="12">
        <f>IF(Raw_Data!AL205&lt;&gt;"",Raw_Data!AL205,Raw_Data!R205)</f>
        <v>0</v>
      </c>
      <c r="Q202" s="12">
        <f t="shared" si="29"/>
        <v>0</v>
      </c>
      <c r="R202" s="12" t="str">
        <f>IF(Raw_Data!AM205="","",Raw_Data!AM205)</f>
        <v/>
      </c>
      <c r="S202" s="12" t="str">
        <f t="shared" si="30"/>
        <v/>
      </c>
      <c r="T202" s="12" t="str">
        <f>IF(Raw_Data!AN205="","",Raw_Data!AN205)</f>
        <v/>
      </c>
      <c r="U202" s="12" t="str">
        <f t="shared" si="31"/>
        <v/>
      </c>
      <c r="V202" s="12" t="str">
        <f>IF(Raw_Data!AP205="","",IF(Raw_Data!AP205="oui",1,0))</f>
        <v/>
      </c>
      <c r="W202" s="12" t="str">
        <f>IF(Raw_Data!AQ205="","",IF(Raw_Data!AQ205="oui",1,0))</f>
        <v/>
      </c>
      <c r="X202" s="12" t="str">
        <f>IF(Raw_Data!AR205="","",IF(Raw_Data!AR205="oui",1,0))</f>
        <v/>
      </c>
      <c r="Y202" s="12" t="str">
        <f>IF(Raw_Data!AS205="","",IF(Raw_Data!AS205="oui",1,0))</f>
        <v/>
      </c>
      <c r="Z202" s="12" t="str">
        <f>IF(Raw_Data!V205="","",IF(Raw_Data!V205="oui",1,0))</f>
        <v/>
      </c>
      <c r="AA202" s="12" t="str">
        <f>IF(Raw_Data!W205="","",IF(Raw_Data!W205="oui",1,0))</f>
        <v/>
      </c>
      <c r="AB202" s="12" t="str">
        <f>IF(Raw_Data!Q205="","",IF(Raw_Data!Q205="oui",1,0))</f>
        <v/>
      </c>
      <c r="AC202" s="12">
        <f>Raw_Data!AF205</f>
        <v>0</v>
      </c>
      <c r="AD202" s="12" t="str">
        <f t="shared" si="32"/>
        <v/>
      </c>
      <c r="AE202" s="12" t="str">
        <f t="shared" si="33"/>
        <v/>
      </c>
      <c r="AF202" s="12" t="str">
        <f t="shared" si="34"/>
        <v/>
      </c>
      <c r="AG202" s="12">
        <f t="shared" si="35"/>
        <v>0</v>
      </c>
    </row>
    <row r="203" spans="1:33" ht="15" customHeight="1" x14ac:dyDescent="0.25">
      <c r="A203" s="12" t="str">
        <f>IF(Raw_Data!B206="","",Raw_Data!B206)</f>
        <v/>
      </c>
      <c r="B203" s="12">
        <f>IF(Raw_Data!X206&lt;&gt;"",Raw_Data!X206,Raw_Data!C206)</f>
        <v>0</v>
      </c>
      <c r="C203" s="12" t="str">
        <f>IF(Raw_Data!G206="","",Raw_Data!G206)</f>
        <v/>
      </c>
      <c r="D203" s="12" t="str">
        <f>IF(Raw_Data!H206="","",Raw_Data!H206)</f>
        <v/>
      </c>
      <c r="E203" s="12" t="str">
        <f>IF(Raw_Data!I206="","",Raw_Data!I206)</f>
        <v/>
      </c>
      <c r="F203" s="12" t="str">
        <f>IF(Raw_Data!J206="","",Raw_Data!J206)</f>
        <v/>
      </c>
      <c r="G203" s="12" t="str">
        <f>IF(Raw_Data!AH206&lt;&gt;"",Raw_Data!AH206,IF(Raw_Data!K206&lt;&gt;"",Raw_Data!K206,""))</f>
        <v/>
      </c>
      <c r="H203" s="12" t="str">
        <f>IF(Raw_Data!AI206&lt;&gt;"",Raw_Data!AI206,IF(Raw_Data!L206&lt;&gt;"",Raw_Data!L206,""))</f>
        <v/>
      </c>
      <c r="I203" s="12" t="str">
        <f t="shared" si="27"/>
        <v/>
      </c>
      <c r="J203" s="12" t="str">
        <f>IF(Raw_Data!M206="","",Raw_Data!M206)</f>
        <v/>
      </c>
      <c r="K203" s="12">
        <f>IF(Raw_Data!AJ206&lt;&gt;"",Raw_Data!AJ206,Raw_Data!N206)</f>
        <v>0</v>
      </c>
      <c r="L203" s="12">
        <f t="shared" si="28"/>
        <v>1</v>
      </c>
      <c r="M203" s="12" t="str">
        <f>IF(Raw_Data!AK206="","",Raw_Data!AK206)</f>
        <v/>
      </c>
      <c r="N203" s="12" t="str">
        <f>IF(Raw_Data!T206="","",Raw_Data!T206)</f>
        <v/>
      </c>
      <c r="O203" s="12" t="str">
        <f>IF(Raw_Data!AB206&lt;&gt;"",Raw_Data!AB206,IF(N203="tres_insatisfait",1,IF(N203="insatisfait",2,IF(N203="neutre",3,IF(N203="satisfait",4,IF(N203="tres_satisfait",5,""))))))</f>
        <v/>
      </c>
      <c r="P203" s="12">
        <f>IF(Raw_Data!AL206&lt;&gt;"",Raw_Data!AL206,Raw_Data!R206)</f>
        <v>0</v>
      </c>
      <c r="Q203" s="12">
        <f t="shared" si="29"/>
        <v>0</v>
      </c>
      <c r="R203" s="12" t="str">
        <f>IF(Raw_Data!AM206="","",Raw_Data!AM206)</f>
        <v/>
      </c>
      <c r="S203" s="12" t="str">
        <f t="shared" si="30"/>
        <v/>
      </c>
      <c r="T203" s="12" t="str">
        <f>IF(Raw_Data!AN206="","",Raw_Data!AN206)</f>
        <v/>
      </c>
      <c r="U203" s="12" t="str">
        <f t="shared" si="31"/>
        <v/>
      </c>
      <c r="V203" s="12" t="str">
        <f>IF(Raw_Data!AP206="","",IF(Raw_Data!AP206="oui",1,0))</f>
        <v/>
      </c>
      <c r="W203" s="12" t="str">
        <f>IF(Raw_Data!AQ206="","",IF(Raw_Data!AQ206="oui",1,0))</f>
        <v/>
      </c>
      <c r="X203" s="12" t="str">
        <f>IF(Raw_Data!AR206="","",IF(Raw_Data!AR206="oui",1,0))</f>
        <v/>
      </c>
      <c r="Y203" s="12" t="str">
        <f>IF(Raw_Data!AS206="","",IF(Raw_Data!AS206="oui",1,0))</f>
        <v/>
      </c>
      <c r="Z203" s="12" t="str">
        <f>IF(Raw_Data!V206="","",IF(Raw_Data!V206="oui",1,0))</f>
        <v/>
      </c>
      <c r="AA203" s="12" t="str">
        <f>IF(Raw_Data!W206="","",IF(Raw_Data!W206="oui",1,0))</f>
        <v/>
      </c>
      <c r="AB203" s="12" t="str">
        <f>IF(Raw_Data!Q206="","",IF(Raw_Data!Q206="oui",1,0))</f>
        <v/>
      </c>
      <c r="AC203" s="12">
        <f>Raw_Data!AF206</f>
        <v>0</v>
      </c>
      <c r="AD203" s="12" t="str">
        <f t="shared" si="32"/>
        <v/>
      </c>
      <c r="AE203" s="12" t="str">
        <f t="shared" si="33"/>
        <v/>
      </c>
      <c r="AF203" s="12" t="str">
        <f t="shared" si="34"/>
        <v/>
      </c>
      <c r="AG203" s="12">
        <f t="shared" si="35"/>
        <v>0</v>
      </c>
    </row>
    <row r="204" spans="1:33" ht="15" customHeight="1" x14ac:dyDescent="0.25">
      <c r="A204" s="12" t="str">
        <f>IF(Raw_Data!B207="","",Raw_Data!B207)</f>
        <v/>
      </c>
      <c r="B204" s="12">
        <f>IF(Raw_Data!X207&lt;&gt;"",Raw_Data!X207,Raw_Data!C207)</f>
        <v>0</v>
      </c>
      <c r="C204" s="12" t="str">
        <f>IF(Raw_Data!G207="","",Raw_Data!G207)</f>
        <v/>
      </c>
      <c r="D204" s="12" t="str">
        <f>IF(Raw_Data!H207="","",Raw_Data!H207)</f>
        <v/>
      </c>
      <c r="E204" s="12" t="str">
        <f>IF(Raw_Data!I207="","",Raw_Data!I207)</f>
        <v/>
      </c>
      <c r="F204" s="12" t="str">
        <f>IF(Raw_Data!J207="","",Raw_Data!J207)</f>
        <v/>
      </c>
      <c r="G204" s="12" t="str">
        <f>IF(Raw_Data!AH207&lt;&gt;"",Raw_Data!AH207,IF(Raw_Data!K207&lt;&gt;"",Raw_Data!K207,""))</f>
        <v/>
      </c>
      <c r="H204" s="12" t="str">
        <f>IF(Raw_Data!AI207&lt;&gt;"",Raw_Data!AI207,IF(Raw_Data!L207&lt;&gt;"",Raw_Data!L207,""))</f>
        <v/>
      </c>
      <c r="I204" s="12" t="str">
        <f t="shared" si="27"/>
        <v/>
      </c>
      <c r="J204" s="12" t="str">
        <f>IF(Raw_Data!M207="","",Raw_Data!M207)</f>
        <v/>
      </c>
      <c r="K204" s="12">
        <f>IF(Raw_Data!AJ207&lt;&gt;"",Raw_Data!AJ207,Raw_Data!N207)</f>
        <v>0</v>
      </c>
      <c r="L204" s="12">
        <f t="shared" si="28"/>
        <v>1</v>
      </c>
      <c r="M204" s="12" t="str">
        <f>IF(Raw_Data!AK207="","",Raw_Data!AK207)</f>
        <v/>
      </c>
      <c r="N204" s="12" t="str">
        <f>IF(Raw_Data!T207="","",Raw_Data!T207)</f>
        <v/>
      </c>
      <c r="O204" s="12" t="str">
        <f>IF(Raw_Data!AB207&lt;&gt;"",Raw_Data!AB207,IF(N204="tres_insatisfait",1,IF(N204="insatisfait",2,IF(N204="neutre",3,IF(N204="satisfait",4,IF(N204="tres_satisfait",5,""))))))</f>
        <v/>
      </c>
      <c r="P204" s="12">
        <f>IF(Raw_Data!AL207&lt;&gt;"",Raw_Data!AL207,Raw_Data!R207)</f>
        <v>0</v>
      </c>
      <c r="Q204" s="12">
        <f t="shared" si="29"/>
        <v>0</v>
      </c>
      <c r="R204" s="12" t="str">
        <f>IF(Raw_Data!AM207="","",Raw_Data!AM207)</f>
        <v/>
      </c>
      <c r="S204" s="12" t="str">
        <f t="shared" si="30"/>
        <v/>
      </c>
      <c r="T204" s="12" t="str">
        <f>IF(Raw_Data!AN207="","",Raw_Data!AN207)</f>
        <v/>
      </c>
      <c r="U204" s="12" t="str">
        <f t="shared" si="31"/>
        <v/>
      </c>
      <c r="V204" s="12" t="str">
        <f>IF(Raw_Data!AP207="","",IF(Raw_Data!AP207="oui",1,0))</f>
        <v/>
      </c>
      <c r="W204" s="12" t="str">
        <f>IF(Raw_Data!AQ207="","",IF(Raw_Data!AQ207="oui",1,0))</f>
        <v/>
      </c>
      <c r="X204" s="12" t="str">
        <f>IF(Raw_Data!AR207="","",IF(Raw_Data!AR207="oui",1,0))</f>
        <v/>
      </c>
      <c r="Y204" s="12" t="str">
        <f>IF(Raw_Data!AS207="","",IF(Raw_Data!AS207="oui",1,0))</f>
        <v/>
      </c>
      <c r="Z204" s="12" t="str">
        <f>IF(Raw_Data!V207="","",IF(Raw_Data!V207="oui",1,0))</f>
        <v/>
      </c>
      <c r="AA204" s="12" t="str">
        <f>IF(Raw_Data!W207="","",IF(Raw_Data!W207="oui",1,0))</f>
        <v/>
      </c>
      <c r="AB204" s="12" t="str">
        <f>IF(Raw_Data!Q207="","",IF(Raw_Data!Q207="oui",1,0))</f>
        <v/>
      </c>
      <c r="AC204" s="12">
        <f>Raw_Data!AF207</f>
        <v>0</v>
      </c>
      <c r="AD204" s="12" t="str">
        <f t="shared" si="32"/>
        <v/>
      </c>
      <c r="AE204" s="12" t="str">
        <f t="shared" si="33"/>
        <v/>
      </c>
      <c r="AF204" s="12" t="str">
        <f t="shared" si="34"/>
        <v/>
      </c>
      <c r="AG204" s="12">
        <f t="shared" si="35"/>
        <v>0</v>
      </c>
    </row>
    <row r="205" spans="1:33" ht="15" customHeight="1" x14ac:dyDescent="0.25">
      <c r="A205" s="12" t="str">
        <f>IF(Raw_Data!B208="","",Raw_Data!B208)</f>
        <v/>
      </c>
      <c r="B205" s="12">
        <f>IF(Raw_Data!X208&lt;&gt;"",Raw_Data!X208,Raw_Data!C208)</f>
        <v>0</v>
      </c>
      <c r="C205" s="12" t="str">
        <f>IF(Raw_Data!G208="","",Raw_Data!G208)</f>
        <v/>
      </c>
      <c r="D205" s="12" t="str">
        <f>IF(Raw_Data!H208="","",Raw_Data!H208)</f>
        <v/>
      </c>
      <c r="E205" s="12" t="str">
        <f>IF(Raw_Data!I208="","",Raw_Data!I208)</f>
        <v/>
      </c>
      <c r="F205" s="12" t="str">
        <f>IF(Raw_Data!J208="","",Raw_Data!J208)</f>
        <v/>
      </c>
      <c r="G205" s="12" t="str">
        <f>IF(Raw_Data!AH208&lt;&gt;"",Raw_Data!AH208,IF(Raw_Data!K208&lt;&gt;"",Raw_Data!K208,""))</f>
        <v/>
      </c>
      <c r="H205" s="12" t="str">
        <f>IF(Raw_Data!AI208&lt;&gt;"",Raw_Data!AI208,IF(Raw_Data!L208&lt;&gt;"",Raw_Data!L208,""))</f>
        <v/>
      </c>
      <c r="I205" s="12" t="str">
        <f t="shared" si="27"/>
        <v/>
      </c>
      <c r="J205" s="12" t="str">
        <f>IF(Raw_Data!M208="","",Raw_Data!M208)</f>
        <v/>
      </c>
      <c r="K205" s="12">
        <f>IF(Raw_Data!AJ208&lt;&gt;"",Raw_Data!AJ208,Raw_Data!N208)</f>
        <v>0</v>
      </c>
      <c r="L205" s="12">
        <f t="shared" si="28"/>
        <v>1</v>
      </c>
      <c r="M205" s="12" t="str">
        <f>IF(Raw_Data!AK208="","",Raw_Data!AK208)</f>
        <v/>
      </c>
      <c r="N205" s="12" t="str">
        <f>IF(Raw_Data!T208="","",Raw_Data!T208)</f>
        <v/>
      </c>
      <c r="O205" s="12" t="str">
        <f>IF(Raw_Data!AB208&lt;&gt;"",Raw_Data!AB208,IF(N205="tres_insatisfait",1,IF(N205="insatisfait",2,IF(N205="neutre",3,IF(N205="satisfait",4,IF(N205="tres_satisfait",5,""))))))</f>
        <v/>
      </c>
      <c r="P205" s="12">
        <f>IF(Raw_Data!AL208&lt;&gt;"",Raw_Data!AL208,Raw_Data!R208)</f>
        <v>0</v>
      </c>
      <c r="Q205" s="12">
        <f t="shared" si="29"/>
        <v>0</v>
      </c>
      <c r="R205" s="12" t="str">
        <f>IF(Raw_Data!AM208="","",Raw_Data!AM208)</f>
        <v/>
      </c>
      <c r="S205" s="12" t="str">
        <f t="shared" si="30"/>
        <v/>
      </c>
      <c r="T205" s="12" t="str">
        <f>IF(Raw_Data!AN208="","",Raw_Data!AN208)</f>
        <v/>
      </c>
      <c r="U205" s="12" t="str">
        <f t="shared" si="31"/>
        <v/>
      </c>
      <c r="V205" s="12" t="str">
        <f>IF(Raw_Data!AP208="","",IF(Raw_Data!AP208="oui",1,0))</f>
        <v/>
      </c>
      <c r="W205" s="12" t="str">
        <f>IF(Raw_Data!AQ208="","",IF(Raw_Data!AQ208="oui",1,0))</f>
        <v/>
      </c>
      <c r="X205" s="12" t="str">
        <f>IF(Raw_Data!AR208="","",IF(Raw_Data!AR208="oui",1,0))</f>
        <v/>
      </c>
      <c r="Y205" s="12" t="str">
        <f>IF(Raw_Data!AS208="","",IF(Raw_Data!AS208="oui",1,0))</f>
        <v/>
      </c>
      <c r="Z205" s="12" t="str">
        <f>IF(Raw_Data!V208="","",IF(Raw_Data!V208="oui",1,0))</f>
        <v/>
      </c>
      <c r="AA205" s="12" t="str">
        <f>IF(Raw_Data!W208="","",IF(Raw_Data!W208="oui",1,0))</f>
        <v/>
      </c>
      <c r="AB205" s="12" t="str">
        <f>IF(Raw_Data!Q208="","",IF(Raw_Data!Q208="oui",1,0))</f>
        <v/>
      </c>
      <c r="AC205" s="12">
        <f>Raw_Data!AF208</f>
        <v>0</v>
      </c>
      <c r="AD205" s="12" t="str">
        <f t="shared" si="32"/>
        <v/>
      </c>
      <c r="AE205" s="12" t="str">
        <f t="shared" si="33"/>
        <v/>
      </c>
      <c r="AF205" s="12" t="str">
        <f t="shared" si="34"/>
        <v/>
      </c>
      <c r="AG205" s="12">
        <f t="shared" si="35"/>
        <v>0</v>
      </c>
    </row>
    <row r="206" spans="1:33" ht="15" customHeight="1" x14ac:dyDescent="0.25">
      <c r="A206" s="12" t="str">
        <f>IF(Raw_Data!B209="","",Raw_Data!B209)</f>
        <v/>
      </c>
      <c r="B206" s="12">
        <f>IF(Raw_Data!X209&lt;&gt;"",Raw_Data!X209,Raw_Data!C209)</f>
        <v>0</v>
      </c>
      <c r="C206" s="12" t="str">
        <f>IF(Raw_Data!G209="","",Raw_Data!G209)</f>
        <v/>
      </c>
      <c r="D206" s="12" t="str">
        <f>IF(Raw_Data!H209="","",Raw_Data!H209)</f>
        <v/>
      </c>
      <c r="E206" s="12" t="str">
        <f>IF(Raw_Data!I209="","",Raw_Data!I209)</f>
        <v/>
      </c>
      <c r="F206" s="12" t="str">
        <f>IF(Raw_Data!J209="","",Raw_Data!J209)</f>
        <v/>
      </c>
      <c r="G206" s="12" t="str">
        <f>IF(Raw_Data!AH209&lt;&gt;"",Raw_Data!AH209,IF(Raw_Data!K209&lt;&gt;"",Raw_Data!K209,""))</f>
        <v/>
      </c>
      <c r="H206" s="12" t="str">
        <f>IF(Raw_Data!AI209&lt;&gt;"",Raw_Data!AI209,IF(Raw_Data!L209&lt;&gt;"",Raw_Data!L209,""))</f>
        <v/>
      </c>
      <c r="I206" s="12" t="str">
        <f t="shared" si="27"/>
        <v/>
      </c>
      <c r="J206" s="12" t="str">
        <f>IF(Raw_Data!M209="","",Raw_Data!M209)</f>
        <v/>
      </c>
      <c r="K206" s="12">
        <f>IF(Raw_Data!AJ209&lt;&gt;"",Raw_Data!AJ209,Raw_Data!N209)</f>
        <v>0</v>
      </c>
      <c r="L206" s="12">
        <f t="shared" si="28"/>
        <v>1</v>
      </c>
      <c r="M206" s="12" t="str">
        <f>IF(Raw_Data!AK209="","",Raw_Data!AK209)</f>
        <v/>
      </c>
      <c r="N206" s="12" t="str">
        <f>IF(Raw_Data!T209="","",Raw_Data!T209)</f>
        <v/>
      </c>
      <c r="O206" s="12" t="str">
        <f>IF(Raw_Data!AB209&lt;&gt;"",Raw_Data!AB209,IF(N206="tres_insatisfait",1,IF(N206="insatisfait",2,IF(N206="neutre",3,IF(N206="satisfait",4,IF(N206="tres_satisfait",5,""))))))</f>
        <v/>
      </c>
      <c r="P206" s="12">
        <f>IF(Raw_Data!AL209&lt;&gt;"",Raw_Data!AL209,Raw_Data!R209)</f>
        <v>0</v>
      </c>
      <c r="Q206" s="12">
        <f t="shared" si="29"/>
        <v>0</v>
      </c>
      <c r="R206" s="12" t="str">
        <f>IF(Raw_Data!AM209="","",Raw_Data!AM209)</f>
        <v/>
      </c>
      <c r="S206" s="12" t="str">
        <f t="shared" si="30"/>
        <v/>
      </c>
      <c r="T206" s="12" t="str">
        <f>IF(Raw_Data!AN209="","",Raw_Data!AN209)</f>
        <v/>
      </c>
      <c r="U206" s="12" t="str">
        <f t="shared" si="31"/>
        <v/>
      </c>
      <c r="V206" s="12" t="str">
        <f>IF(Raw_Data!AP209="","",IF(Raw_Data!AP209="oui",1,0))</f>
        <v/>
      </c>
      <c r="W206" s="12" t="str">
        <f>IF(Raw_Data!AQ209="","",IF(Raw_Data!AQ209="oui",1,0))</f>
        <v/>
      </c>
      <c r="X206" s="12" t="str">
        <f>IF(Raw_Data!AR209="","",IF(Raw_Data!AR209="oui",1,0))</f>
        <v/>
      </c>
      <c r="Y206" s="12" t="str">
        <f>IF(Raw_Data!AS209="","",IF(Raw_Data!AS209="oui",1,0))</f>
        <v/>
      </c>
      <c r="Z206" s="12" t="str">
        <f>IF(Raw_Data!V209="","",IF(Raw_Data!V209="oui",1,0))</f>
        <v/>
      </c>
      <c r="AA206" s="12" t="str">
        <f>IF(Raw_Data!W209="","",IF(Raw_Data!W209="oui",1,0))</f>
        <v/>
      </c>
      <c r="AB206" s="12" t="str">
        <f>IF(Raw_Data!Q209="","",IF(Raw_Data!Q209="oui",1,0))</f>
        <v/>
      </c>
      <c r="AC206" s="12">
        <f>Raw_Data!AF209</f>
        <v>0</v>
      </c>
      <c r="AD206" s="12" t="str">
        <f t="shared" si="32"/>
        <v/>
      </c>
      <c r="AE206" s="12" t="str">
        <f t="shared" si="33"/>
        <v/>
      </c>
      <c r="AF206" s="12" t="str">
        <f t="shared" si="34"/>
        <v/>
      </c>
      <c r="AG206" s="12">
        <f t="shared" si="35"/>
        <v>0</v>
      </c>
    </row>
    <row r="207" spans="1:33" ht="15" customHeight="1" x14ac:dyDescent="0.25">
      <c r="A207" s="12" t="str">
        <f>IF(Raw_Data!B210="","",Raw_Data!B210)</f>
        <v/>
      </c>
      <c r="B207" s="12">
        <f>IF(Raw_Data!X210&lt;&gt;"",Raw_Data!X210,Raw_Data!C210)</f>
        <v>0</v>
      </c>
      <c r="C207" s="12" t="str">
        <f>IF(Raw_Data!G210="","",Raw_Data!G210)</f>
        <v/>
      </c>
      <c r="D207" s="12" t="str">
        <f>IF(Raw_Data!H210="","",Raw_Data!H210)</f>
        <v/>
      </c>
      <c r="E207" s="12" t="str">
        <f>IF(Raw_Data!I210="","",Raw_Data!I210)</f>
        <v/>
      </c>
      <c r="F207" s="12" t="str">
        <f>IF(Raw_Data!J210="","",Raw_Data!J210)</f>
        <v/>
      </c>
      <c r="G207" s="12" t="str">
        <f>IF(Raw_Data!AH210&lt;&gt;"",Raw_Data!AH210,IF(Raw_Data!K210&lt;&gt;"",Raw_Data!K210,""))</f>
        <v/>
      </c>
      <c r="H207" s="12" t="str">
        <f>IF(Raw_Data!AI210&lt;&gt;"",Raw_Data!AI210,IF(Raw_Data!L210&lt;&gt;"",Raw_Data!L210,""))</f>
        <v/>
      </c>
      <c r="I207" s="12" t="str">
        <f t="shared" si="27"/>
        <v/>
      </c>
      <c r="J207" s="12" t="str">
        <f>IF(Raw_Data!M210="","",Raw_Data!M210)</f>
        <v/>
      </c>
      <c r="K207" s="12">
        <f>IF(Raw_Data!AJ210&lt;&gt;"",Raw_Data!AJ210,Raw_Data!N210)</f>
        <v>0</v>
      </c>
      <c r="L207" s="12">
        <f t="shared" si="28"/>
        <v>1</v>
      </c>
      <c r="M207" s="12" t="str">
        <f>IF(Raw_Data!AK210="","",Raw_Data!AK210)</f>
        <v/>
      </c>
      <c r="N207" s="12" t="str">
        <f>IF(Raw_Data!T210="","",Raw_Data!T210)</f>
        <v/>
      </c>
      <c r="O207" s="12" t="str">
        <f>IF(Raw_Data!AB210&lt;&gt;"",Raw_Data!AB210,IF(N207="tres_insatisfait",1,IF(N207="insatisfait",2,IF(N207="neutre",3,IF(N207="satisfait",4,IF(N207="tres_satisfait",5,""))))))</f>
        <v/>
      </c>
      <c r="P207" s="12">
        <f>IF(Raw_Data!AL210&lt;&gt;"",Raw_Data!AL210,Raw_Data!R210)</f>
        <v>0</v>
      </c>
      <c r="Q207" s="12">
        <f t="shared" si="29"/>
        <v>0</v>
      </c>
      <c r="R207" s="12" t="str">
        <f>IF(Raw_Data!AM210="","",Raw_Data!AM210)</f>
        <v/>
      </c>
      <c r="S207" s="12" t="str">
        <f t="shared" si="30"/>
        <v/>
      </c>
      <c r="T207" s="12" t="str">
        <f>IF(Raw_Data!AN210="","",Raw_Data!AN210)</f>
        <v/>
      </c>
      <c r="U207" s="12" t="str">
        <f t="shared" si="31"/>
        <v/>
      </c>
      <c r="V207" s="12" t="str">
        <f>IF(Raw_Data!AP210="","",IF(Raw_Data!AP210="oui",1,0))</f>
        <v/>
      </c>
      <c r="W207" s="12" t="str">
        <f>IF(Raw_Data!AQ210="","",IF(Raw_Data!AQ210="oui",1,0))</f>
        <v/>
      </c>
      <c r="X207" s="12" t="str">
        <f>IF(Raw_Data!AR210="","",IF(Raw_Data!AR210="oui",1,0))</f>
        <v/>
      </c>
      <c r="Y207" s="12" t="str">
        <f>IF(Raw_Data!AS210="","",IF(Raw_Data!AS210="oui",1,0))</f>
        <v/>
      </c>
      <c r="Z207" s="12" t="str">
        <f>IF(Raw_Data!V210="","",IF(Raw_Data!V210="oui",1,0))</f>
        <v/>
      </c>
      <c r="AA207" s="12" t="str">
        <f>IF(Raw_Data!W210="","",IF(Raw_Data!W210="oui",1,0))</f>
        <v/>
      </c>
      <c r="AB207" s="12" t="str">
        <f>IF(Raw_Data!Q210="","",IF(Raw_Data!Q210="oui",1,0))</f>
        <v/>
      </c>
      <c r="AC207" s="12">
        <f>Raw_Data!AF210</f>
        <v>0</v>
      </c>
      <c r="AD207" s="12" t="str">
        <f t="shared" si="32"/>
        <v/>
      </c>
      <c r="AE207" s="12" t="str">
        <f t="shared" si="33"/>
        <v/>
      </c>
      <c r="AF207" s="12" t="str">
        <f t="shared" si="34"/>
        <v/>
      </c>
      <c r="AG207" s="12">
        <f t="shared" si="35"/>
        <v>0</v>
      </c>
    </row>
    <row r="208" spans="1:33" ht="15" customHeight="1" x14ac:dyDescent="0.25">
      <c r="A208" s="12" t="str">
        <f>IF(Raw_Data!B211="","",Raw_Data!B211)</f>
        <v/>
      </c>
      <c r="B208" s="12">
        <f>IF(Raw_Data!X211&lt;&gt;"",Raw_Data!X211,Raw_Data!C211)</f>
        <v>0</v>
      </c>
      <c r="C208" s="12" t="str">
        <f>IF(Raw_Data!G211="","",Raw_Data!G211)</f>
        <v/>
      </c>
      <c r="D208" s="12" t="str">
        <f>IF(Raw_Data!H211="","",Raw_Data!H211)</f>
        <v/>
      </c>
      <c r="E208" s="12" t="str">
        <f>IF(Raw_Data!I211="","",Raw_Data!I211)</f>
        <v/>
      </c>
      <c r="F208" s="12" t="str">
        <f>IF(Raw_Data!J211="","",Raw_Data!J211)</f>
        <v/>
      </c>
      <c r="G208" s="12" t="str">
        <f>IF(Raw_Data!AH211&lt;&gt;"",Raw_Data!AH211,IF(Raw_Data!K211&lt;&gt;"",Raw_Data!K211,""))</f>
        <v/>
      </c>
      <c r="H208" s="12" t="str">
        <f>IF(Raw_Data!AI211&lt;&gt;"",Raw_Data!AI211,IF(Raw_Data!L211&lt;&gt;"",Raw_Data!L211,""))</f>
        <v/>
      </c>
      <c r="I208" s="12" t="str">
        <f t="shared" si="27"/>
        <v/>
      </c>
      <c r="J208" s="12" t="str">
        <f>IF(Raw_Data!M211="","",Raw_Data!M211)</f>
        <v/>
      </c>
      <c r="K208" s="12">
        <f>IF(Raw_Data!AJ211&lt;&gt;"",Raw_Data!AJ211,Raw_Data!N211)</f>
        <v>0</v>
      </c>
      <c r="L208" s="12">
        <f t="shared" si="28"/>
        <v>1</v>
      </c>
      <c r="M208" s="12" t="str">
        <f>IF(Raw_Data!AK211="","",Raw_Data!AK211)</f>
        <v/>
      </c>
      <c r="N208" s="12" t="str">
        <f>IF(Raw_Data!T211="","",Raw_Data!T211)</f>
        <v/>
      </c>
      <c r="O208" s="12" t="str">
        <f>IF(Raw_Data!AB211&lt;&gt;"",Raw_Data!AB211,IF(N208="tres_insatisfait",1,IF(N208="insatisfait",2,IF(N208="neutre",3,IF(N208="satisfait",4,IF(N208="tres_satisfait",5,""))))))</f>
        <v/>
      </c>
      <c r="P208" s="12">
        <f>IF(Raw_Data!AL211&lt;&gt;"",Raw_Data!AL211,Raw_Data!R211)</f>
        <v>0</v>
      </c>
      <c r="Q208" s="12">
        <f t="shared" si="29"/>
        <v>0</v>
      </c>
      <c r="R208" s="12" t="str">
        <f>IF(Raw_Data!AM211="","",Raw_Data!AM211)</f>
        <v/>
      </c>
      <c r="S208" s="12" t="str">
        <f t="shared" si="30"/>
        <v/>
      </c>
      <c r="T208" s="12" t="str">
        <f>IF(Raw_Data!AN211="","",Raw_Data!AN211)</f>
        <v/>
      </c>
      <c r="U208" s="12" t="str">
        <f t="shared" si="31"/>
        <v/>
      </c>
      <c r="V208" s="12" t="str">
        <f>IF(Raw_Data!AP211="","",IF(Raw_Data!AP211="oui",1,0))</f>
        <v/>
      </c>
      <c r="W208" s="12" t="str">
        <f>IF(Raw_Data!AQ211="","",IF(Raw_Data!AQ211="oui",1,0))</f>
        <v/>
      </c>
      <c r="X208" s="12" t="str">
        <f>IF(Raw_Data!AR211="","",IF(Raw_Data!AR211="oui",1,0))</f>
        <v/>
      </c>
      <c r="Y208" s="12" t="str">
        <f>IF(Raw_Data!AS211="","",IF(Raw_Data!AS211="oui",1,0))</f>
        <v/>
      </c>
      <c r="Z208" s="12" t="str">
        <f>IF(Raw_Data!V211="","",IF(Raw_Data!V211="oui",1,0))</f>
        <v/>
      </c>
      <c r="AA208" s="12" t="str">
        <f>IF(Raw_Data!W211="","",IF(Raw_Data!W211="oui",1,0))</f>
        <v/>
      </c>
      <c r="AB208" s="12" t="str">
        <f>IF(Raw_Data!Q211="","",IF(Raw_Data!Q211="oui",1,0))</f>
        <v/>
      </c>
      <c r="AC208" s="12">
        <f>Raw_Data!AF211</f>
        <v>0</v>
      </c>
      <c r="AD208" s="12" t="str">
        <f t="shared" si="32"/>
        <v/>
      </c>
      <c r="AE208" s="12" t="str">
        <f t="shared" si="33"/>
        <v/>
      </c>
      <c r="AF208" s="12" t="str">
        <f t="shared" si="34"/>
        <v/>
      </c>
      <c r="AG208" s="12">
        <f t="shared" si="35"/>
        <v>0</v>
      </c>
    </row>
    <row r="209" spans="1:33" ht="15" customHeight="1" x14ac:dyDescent="0.25">
      <c r="A209" s="12" t="str">
        <f>IF(Raw_Data!B212="","",Raw_Data!B212)</f>
        <v/>
      </c>
      <c r="B209" s="12">
        <f>IF(Raw_Data!X212&lt;&gt;"",Raw_Data!X212,Raw_Data!C212)</f>
        <v>0</v>
      </c>
      <c r="C209" s="12" t="str">
        <f>IF(Raw_Data!G212="","",Raw_Data!G212)</f>
        <v/>
      </c>
      <c r="D209" s="12" t="str">
        <f>IF(Raw_Data!H212="","",Raw_Data!H212)</f>
        <v/>
      </c>
      <c r="E209" s="12" t="str">
        <f>IF(Raw_Data!I212="","",Raw_Data!I212)</f>
        <v/>
      </c>
      <c r="F209" s="12" t="str">
        <f>IF(Raw_Data!J212="","",Raw_Data!J212)</f>
        <v/>
      </c>
      <c r="G209" s="12" t="str">
        <f>IF(Raw_Data!AH212&lt;&gt;"",Raw_Data!AH212,IF(Raw_Data!K212&lt;&gt;"",Raw_Data!K212,""))</f>
        <v/>
      </c>
      <c r="H209" s="12" t="str">
        <f>IF(Raw_Data!AI212&lt;&gt;"",Raw_Data!AI212,IF(Raw_Data!L212&lt;&gt;"",Raw_Data!L212,""))</f>
        <v/>
      </c>
      <c r="I209" s="12" t="str">
        <f t="shared" si="27"/>
        <v/>
      </c>
      <c r="J209" s="12" t="str">
        <f>IF(Raw_Data!M212="","",Raw_Data!M212)</f>
        <v/>
      </c>
      <c r="K209" s="12">
        <f>IF(Raw_Data!AJ212&lt;&gt;"",Raw_Data!AJ212,Raw_Data!N212)</f>
        <v>0</v>
      </c>
      <c r="L209" s="12">
        <f t="shared" si="28"/>
        <v>1</v>
      </c>
      <c r="M209" s="12" t="str">
        <f>IF(Raw_Data!AK212="","",Raw_Data!AK212)</f>
        <v/>
      </c>
      <c r="N209" s="12" t="str">
        <f>IF(Raw_Data!T212="","",Raw_Data!T212)</f>
        <v/>
      </c>
      <c r="O209" s="12" t="str">
        <f>IF(Raw_Data!AB212&lt;&gt;"",Raw_Data!AB212,IF(N209="tres_insatisfait",1,IF(N209="insatisfait",2,IF(N209="neutre",3,IF(N209="satisfait",4,IF(N209="tres_satisfait",5,""))))))</f>
        <v/>
      </c>
      <c r="P209" s="12">
        <f>IF(Raw_Data!AL212&lt;&gt;"",Raw_Data!AL212,Raw_Data!R212)</f>
        <v>0</v>
      </c>
      <c r="Q209" s="12">
        <f t="shared" si="29"/>
        <v>0</v>
      </c>
      <c r="R209" s="12" t="str">
        <f>IF(Raw_Data!AM212="","",Raw_Data!AM212)</f>
        <v/>
      </c>
      <c r="S209" s="12" t="str">
        <f t="shared" si="30"/>
        <v/>
      </c>
      <c r="T209" s="12" t="str">
        <f>IF(Raw_Data!AN212="","",Raw_Data!AN212)</f>
        <v/>
      </c>
      <c r="U209" s="12" t="str">
        <f t="shared" si="31"/>
        <v/>
      </c>
      <c r="V209" s="12" t="str">
        <f>IF(Raw_Data!AP212="","",IF(Raw_Data!AP212="oui",1,0))</f>
        <v/>
      </c>
      <c r="W209" s="12" t="str">
        <f>IF(Raw_Data!AQ212="","",IF(Raw_Data!AQ212="oui",1,0))</f>
        <v/>
      </c>
      <c r="X209" s="12" t="str">
        <f>IF(Raw_Data!AR212="","",IF(Raw_Data!AR212="oui",1,0))</f>
        <v/>
      </c>
      <c r="Y209" s="12" t="str">
        <f>IF(Raw_Data!AS212="","",IF(Raw_Data!AS212="oui",1,0))</f>
        <v/>
      </c>
      <c r="Z209" s="12" t="str">
        <f>IF(Raw_Data!V212="","",IF(Raw_Data!V212="oui",1,0))</f>
        <v/>
      </c>
      <c r="AA209" s="12" t="str">
        <f>IF(Raw_Data!W212="","",IF(Raw_Data!W212="oui",1,0))</f>
        <v/>
      </c>
      <c r="AB209" s="12" t="str">
        <f>IF(Raw_Data!Q212="","",IF(Raw_Data!Q212="oui",1,0))</f>
        <v/>
      </c>
      <c r="AC209" s="12">
        <f>Raw_Data!AF212</f>
        <v>0</v>
      </c>
      <c r="AD209" s="12" t="str">
        <f t="shared" si="32"/>
        <v/>
      </c>
      <c r="AE209" s="12" t="str">
        <f t="shared" si="33"/>
        <v/>
      </c>
      <c r="AF209" s="12" t="str">
        <f t="shared" si="34"/>
        <v/>
      </c>
      <c r="AG209" s="12">
        <f t="shared" si="35"/>
        <v>0</v>
      </c>
    </row>
    <row r="210" spans="1:33" ht="15" customHeight="1" x14ac:dyDescent="0.25">
      <c r="A210" s="12" t="str">
        <f>IF(Raw_Data!B213="","",Raw_Data!B213)</f>
        <v/>
      </c>
      <c r="B210" s="12">
        <f>IF(Raw_Data!X213&lt;&gt;"",Raw_Data!X213,Raw_Data!C213)</f>
        <v>0</v>
      </c>
      <c r="C210" s="12" t="str">
        <f>IF(Raw_Data!G213="","",Raw_Data!G213)</f>
        <v/>
      </c>
      <c r="D210" s="12" t="str">
        <f>IF(Raw_Data!H213="","",Raw_Data!H213)</f>
        <v/>
      </c>
      <c r="E210" s="12" t="str">
        <f>IF(Raw_Data!I213="","",Raw_Data!I213)</f>
        <v/>
      </c>
      <c r="F210" s="12" t="str">
        <f>IF(Raw_Data!J213="","",Raw_Data!J213)</f>
        <v/>
      </c>
      <c r="G210" s="12" t="str">
        <f>IF(Raw_Data!AH213&lt;&gt;"",Raw_Data!AH213,IF(Raw_Data!K213&lt;&gt;"",Raw_Data!K213,""))</f>
        <v/>
      </c>
      <c r="H210" s="12" t="str">
        <f>IF(Raw_Data!AI213&lt;&gt;"",Raw_Data!AI213,IF(Raw_Data!L213&lt;&gt;"",Raw_Data!L213,""))</f>
        <v/>
      </c>
      <c r="I210" s="12" t="str">
        <f t="shared" si="27"/>
        <v/>
      </c>
      <c r="J210" s="12" t="str">
        <f>IF(Raw_Data!M213="","",Raw_Data!M213)</f>
        <v/>
      </c>
      <c r="K210" s="12">
        <f>IF(Raw_Data!AJ213&lt;&gt;"",Raw_Data!AJ213,Raw_Data!N213)</f>
        <v>0</v>
      </c>
      <c r="L210" s="12">
        <f t="shared" si="28"/>
        <v>1</v>
      </c>
      <c r="M210" s="12" t="str">
        <f>IF(Raw_Data!AK213="","",Raw_Data!AK213)</f>
        <v/>
      </c>
      <c r="N210" s="12" t="str">
        <f>IF(Raw_Data!T213="","",Raw_Data!T213)</f>
        <v/>
      </c>
      <c r="O210" s="12" t="str">
        <f>IF(Raw_Data!AB213&lt;&gt;"",Raw_Data!AB213,IF(N210="tres_insatisfait",1,IF(N210="insatisfait",2,IF(N210="neutre",3,IF(N210="satisfait",4,IF(N210="tres_satisfait",5,""))))))</f>
        <v/>
      </c>
      <c r="P210" s="12">
        <f>IF(Raw_Data!AL213&lt;&gt;"",Raw_Data!AL213,Raw_Data!R213)</f>
        <v>0</v>
      </c>
      <c r="Q210" s="12">
        <f t="shared" si="29"/>
        <v>0</v>
      </c>
      <c r="R210" s="12" t="str">
        <f>IF(Raw_Data!AM213="","",Raw_Data!AM213)</f>
        <v/>
      </c>
      <c r="S210" s="12" t="str">
        <f t="shared" si="30"/>
        <v/>
      </c>
      <c r="T210" s="12" t="str">
        <f>IF(Raw_Data!AN213="","",Raw_Data!AN213)</f>
        <v/>
      </c>
      <c r="U210" s="12" t="str">
        <f t="shared" si="31"/>
        <v/>
      </c>
      <c r="V210" s="12" t="str">
        <f>IF(Raw_Data!AP213="","",IF(Raw_Data!AP213="oui",1,0))</f>
        <v/>
      </c>
      <c r="W210" s="12" t="str">
        <f>IF(Raw_Data!AQ213="","",IF(Raw_Data!AQ213="oui",1,0))</f>
        <v/>
      </c>
      <c r="X210" s="12" t="str">
        <f>IF(Raw_Data!AR213="","",IF(Raw_Data!AR213="oui",1,0))</f>
        <v/>
      </c>
      <c r="Y210" s="12" t="str">
        <f>IF(Raw_Data!AS213="","",IF(Raw_Data!AS213="oui",1,0))</f>
        <v/>
      </c>
      <c r="Z210" s="12" t="str">
        <f>IF(Raw_Data!V213="","",IF(Raw_Data!V213="oui",1,0))</f>
        <v/>
      </c>
      <c r="AA210" s="12" t="str">
        <f>IF(Raw_Data!W213="","",IF(Raw_Data!W213="oui",1,0))</f>
        <v/>
      </c>
      <c r="AB210" s="12" t="str">
        <f>IF(Raw_Data!Q213="","",IF(Raw_Data!Q213="oui",1,0))</f>
        <v/>
      </c>
      <c r="AC210" s="12">
        <f>Raw_Data!AF213</f>
        <v>0</v>
      </c>
      <c r="AD210" s="12" t="str">
        <f t="shared" si="32"/>
        <v/>
      </c>
      <c r="AE210" s="12" t="str">
        <f t="shared" si="33"/>
        <v/>
      </c>
      <c r="AF210" s="12" t="str">
        <f t="shared" si="34"/>
        <v/>
      </c>
      <c r="AG210" s="12">
        <f t="shared" si="35"/>
        <v>0</v>
      </c>
    </row>
    <row r="211" spans="1:33" ht="15" customHeight="1" x14ac:dyDescent="0.25">
      <c r="A211" s="12" t="str">
        <f>IF(Raw_Data!B214="","",Raw_Data!B214)</f>
        <v/>
      </c>
      <c r="B211" s="12">
        <f>IF(Raw_Data!X214&lt;&gt;"",Raw_Data!X214,Raw_Data!C214)</f>
        <v>0</v>
      </c>
      <c r="C211" s="12" t="str">
        <f>IF(Raw_Data!G214="","",Raw_Data!G214)</f>
        <v/>
      </c>
      <c r="D211" s="12" t="str">
        <f>IF(Raw_Data!H214="","",Raw_Data!H214)</f>
        <v/>
      </c>
      <c r="E211" s="12" t="str">
        <f>IF(Raw_Data!I214="","",Raw_Data!I214)</f>
        <v/>
      </c>
      <c r="F211" s="12" t="str">
        <f>IF(Raw_Data!J214="","",Raw_Data!J214)</f>
        <v/>
      </c>
      <c r="G211" s="12" t="str">
        <f>IF(Raw_Data!AH214&lt;&gt;"",Raw_Data!AH214,IF(Raw_Data!K214&lt;&gt;"",Raw_Data!K214,""))</f>
        <v/>
      </c>
      <c r="H211" s="12" t="str">
        <f>IF(Raw_Data!AI214&lt;&gt;"",Raw_Data!AI214,IF(Raw_Data!L214&lt;&gt;"",Raw_Data!L214,""))</f>
        <v/>
      </c>
      <c r="I211" s="12" t="str">
        <f t="shared" si="27"/>
        <v/>
      </c>
      <c r="J211" s="12" t="str">
        <f>IF(Raw_Data!M214="","",Raw_Data!M214)</f>
        <v/>
      </c>
      <c r="K211" s="12">
        <f>IF(Raw_Data!AJ214&lt;&gt;"",Raw_Data!AJ214,Raw_Data!N214)</f>
        <v>0</v>
      </c>
      <c r="L211" s="12">
        <f t="shared" si="28"/>
        <v>1</v>
      </c>
      <c r="M211" s="12" t="str">
        <f>IF(Raw_Data!AK214="","",Raw_Data!AK214)</f>
        <v/>
      </c>
      <c r="N211" s="12" t="str">
        <f>IF(Raw_Data!T214="","",Raw_Data!T214)</f>
        <v/>
      </c>
      <c r="O211" s="12" t="str">
        <f>IF(Raw_Data!AB214&lt;&gt;"",Raw_Data!AB214,IF(N211="tres_insatisfait",1,IF(N211="insatisfait",2,IF(N211="neutre",3,IF(N211="satisfait",4,IF(N211="tres_satisfait",5,""))))))</f>
        <v/>
      </c>
      <c r="P211" s="12">
        <f>IF(Raw_Data!AL214&lt;&gt;"",Raw_Data!AL214,Raw_Data!R214)</f>
        <v>0</v>
      </c>
      <c r="Q211" s="12">
        <f t="shared" si="29"/>
        <v>0</v>
      </c>
      <c r="R211" s="12" t="str">
        <f>IF(Raw_Data!AM214="","",Raw_Data!AM214)</f>
        <v/>
      </c>
      <c r="S211" s="12" t="str">
        <f t="shared" si="30"/>
        <v/>
      </c>
      <c r="T211" s="12" t="str">
        <f>IF(Raw_Data!AN214="","",Raw_Data!AN214)</f>
        <v/>
      </c>
      <c r="U211" s="12" t="str">
        <f t="shared" si="31"/>
        <v/>
      </c>
      <c r="V211" s="12" t="str">
        <f>IF(Raw_Data!AP214="","",IF(Raw_Data!AP214="oui",1,0))</f>
        <v/>
      </c>
      <c r="W211" s="12" t="str">
        <f>IF(Raw_Data!AQ214="","",IF(Raw_Data!AQ214="oui",1,0))</f>
        <v/>
      </c>
      <c r="X211" s="12" t="str">
        <f>IF(Raw_Data!AR214="","",IF(Raw_Data!AR214="oui",1,0))</f>
        <v/>
      </c>
      <c r="Y211" s="12" t="str">
        <f>IF(Raw_Data!AS214="","",IF(Raw_Data!AS214="oui",1,0))</f>
        <v/>
      </c>
      <c r="Z211" s="12" t="str">
        <f>IF(Raw_Data!V214="","",IF(Raw_Data!V214="oui",1,0))</f>
        <v/>
      </c>
      <c r="AA211" s="12" t="str">
        <f>IF(Raw_Data!W214="","",IF(Raw_Data!W214="oui",1,0))</f>
        <v/>
      </c>
      <c r="AB211" s="12" t="str">
        <f>IF(Raw_Data!Q214="","",IF(Raw_Data!Q214="oui",1,0))</f>
        <v/>
      </c>
      <c r="AC211" s="12">
        <f>Raw_Data!AF214</f>
        <v>0</v>
      </c>
      <c r="AD211" s="12" t="str">
        <f t="shared" si="32"/>
        <v/>
      </c>
      <c r="AE211" s="12" t="str">
        <f t="shared" si="33"/>
        <v/>
      </c>
      <c r="AF211" s="12" t="str">
        <f t="shared" si="34"/>
        <v/>
      </c>
      <c r="AG211" s="12">
        <f t="shared" si="35"/>
        <v>0</v>
      </c>
    </row>
    <row r="212" spans="1:33" ht="15" customHeight="1" x14ac:dyDescent="0.25">
      <c r="A212" s="12" t="str">
        <f>IF(Raw_Data!B215="","",Raw_Data!B215)</f>
        <v/>
      </c>
      <c r="B212" s="12">
        <f>IF(Raw_Data!X215&lt;&gt;"",Raw_Data!X215,Raw_Data!C215)</f>
        <v>0</v>
      </c>
      <c r="C212" s="12" t="str">
        <f>IF(Raw_Data!G215="","",Raw_Data!G215)</f>
        <v/>
      </c>
      <c r="D212" s="12" t="str">
        <f>IF(Raw_Data!H215="","",Raw_Data!H215)</f>
        <v/>
      </c>
      <c r="E212" s="12" t="str">
        <f>IF(Raw_Data!I215="","",Raw_Data!I215)</f>
        <v/>
      </c>
      <c r="F212" s="12" t="str">
        <f>IF(Raw_Data!J215="","",Raw_Data!J215)</f>
        <v/>
      </c>
      <c r="G212" s="12" t="str">
        <f>IF(Raw_Data!AH215&lt;&gt;"",Raw_Data!AH215,IF(Raw_Data!K215&lt;&gt;"",Raw_Data!K215,""))</f>
        <v/>
      </c>
      <c r="H212" s="12" t="str">
        <f>IF(Raw_Data!AI215&lt;&gt;"",Raw_Data!AI215,IF(Raw_Data!L215&lt;&gt;"",Raw_Data!L215,""))</f>
        <v/>
      </c>
      <c r="I212" s="12" t="str">
        <f t="shared" si="27"/>
        <v/>
      </c>
      <c r="J212" s="12" t="str">
        <f>IF(Raw_Data!M215="","",Raw_Data!M215)</f>
        <v/>
      </c>
      <c r="K212" s="12">
        <f>IF(Raw_Data!AJ215&lt;&gt;"",Raw_Data!AJ215,Raw_Data!N215)</f>
        <v>0</v>
      </c>
      <c r="L212" s="12">
        <f t="shared" si="28"/>
        <v>1</v>
      </c>
      <c r="M212" s="12" t="str">
        <f>IF(Raw_Data!AK215="","",Raw_Data!AK215)</f>
        <v/>
      </c>
      <c r="N212" s="12" t="str">
        <f>IF(Raw_Data!T215="","",Raw_Data!T215)</f>
        <v/>
      </c>
      <c r="O212" s="12" t="str">
        <f>IF(Raw_Data!AB215&lt;&gt;"",Raw_Data!AB215,IF(N212="tres_insatisfait",1,IF(N212="insatisfait",2,IF(N212="neutre",3,IF(N212="satisfait",4,IF(N212="tres_satisfait",5,""))))))</f>
        <v/>
      </c>
      <c r="P212" s="12">
        <f>IF(Raw_Data!AL215&lt;&gt;"",Raw_Data!AL215,Raw_Data!R215)</f>
        <v>0</v>
      </c>
      <c r="Q212" s="12">
        <f t="shared" si="29"/>
        <v>0</v>
      </c>
      <c r="R212" s="12" t="str">
        <f>IF(Raw_Data!AM215="","",Raw_Data!AM215)</f>
        <v/>
      </c>
      <c r="S212" s="12" t="str">
        <f t="shared" si="30"/>
        <v/>
      </c>
      <c r="T212" s="12" t="str">
        <f>IF(Raw_Data!AN215="","",Raw_Data!AN215)</f>
        <v/>
      </c>
      <c r="U212" s="12" t="str">
        <f t="shared" si="31"/>
        <v/>
      </c>
      <c r="V212" s="12" t="str">
        <f>IF(Raw_Data!AP215="","",IF(Raw_Data!AP215="oui",1,0))</f>
        <v/>
      </c>
      <c r="W212" s="12" t="str">
        <f>IF(Raw_Data!AQ215="","",IF(Raw_Data!AQ215="oui",1,0))</f>
        <v/>
      </c>
      <c r="X212" s="12" t="str">
        <f>IF(Raw_Data!AR215="","",IF(Raw_Data!AR215="oui",1,0))</f>
        <v/>
      </c>
      <c r="Y212" s="12" t="str">
        <f>IF(Raw_Data!AS215="","",IF(Raw_Data!AS215="oui",1,0))</f>
        <v/>
      </c>
      <c r="Z212" s="12" t="str">
        <f>IF(Raw_Data!V215="","",IF(Raw_Data!V215="oui",1,0))</f>
        <v/>
      </c>
      <c r="AA212" s="12" t="str">
        <f>IF(Raw_Data!W215="","",IF(Raw_Data!W215="oui",1,0))</f>
        <v/>
      </c>
      <c r="AB212" s="12" t="str">
        <f>IF(Raw_Data!Q215="","",IF(Raw_Data!Q215="oui",1,0))</f>
        <v/>
      </c>
      <c r="AC212" s="12">
        <f>Raw_Data!AF215</f>
        <v>0</v>
      </c>
      <c r="AD212" s="12" t="str">
        <f t="shared" si="32"/>
        <v/>
      </c>
      <c r="AE212" s="12" t="str">
        <f t="shared" si="33"/>
        <v/>
      </c>
      <c r="AF212" s="12" t="str">
        <f t="shared" si="34"/>
        <v/>
      </c>
      <c r="AG212" s="12">
        <f t="shared" si="35"/>
        <v>0</v>
      </c>
    </row>
    <row r="213" spans="1:33" ht="15" customHeight="1" x14ac:dyDescent="0.25">
      <c r="A213" s="12" t="str">
        <f>IF(Raw_Data!B216="","",Raw_Data!B216)</f>
        <v/>
      </c>
      <c r="B213" s="12">
        <f>IF(Raw_Data!X216&lt;&gt;"",Raw_Data!X216,Raw_Data!C216)</f>
        <v>0</v>
      </c>
      <c r="C213" s="12" t="str">
        <f>IF(Raw_Data!G216="","",Raw_Data!G216)</f>
        <v/>
      </c>
      <c r="D213" s="12" t="str">
        <f>IF(Raw_Data!H216="","",Raw_Data!H216)</f>
        <v/>
      </c>
      <c r="E213" s="12" t="str">
        <f>IF(Raw_Data!I216="","",Raw_Data!I216)</f>
        <v/>
      </c>
      <c r="F213" s="12" t="str">
        <f>IF(Raw_Data!J216="","",Raw_Data!J216)</f>
        <v/>
      </c>
      <c r="G213" s="12" t="str">
        <f>IF(Raw_Data!AH216&lt;&gt;"",Raw_Data!AH216,IF(Raw_Data!K216&lt;&gt;"",Raw_Data!K216,""))</f>
        <v/>
      </c>
      <c r="H213" s="12" t="str">
        <f>IF(Raw_Data!AI216&lt;&gt;"",Raw_Data!AI216,IF(Raw_Data!L216&lt;&gt;"",Raw_Data!L216,""))</f>
        <v/>
      </c>
      <c r="I213" s="12" t="str">
        <f t="shared" si="27"/>
        <v/>
      </c>
      <c r="J213" s="12" t="str">
        <f>IF(Raw_Data!M216="","",Raw_Data!M216)</f>
        <v/>
      </c>
      <c r="K213" s="12">
        <f>IF(Raw_Data!AJ216&lt;&gt;"",Raw_Data!AJ216,Raw_Data!N216)</f>
        <v>0</v>
      </c>
      <c r="L213" s="12">
        <f t="shared" si="28"/>
        <v>1</v>
      </c>
      <c r="M213" s="12" t="str">
        <f>IF(Raw_Data!AK216="","",Raw_Data!AK216)</f>
        <v/>
      </c>
      <c r="N213" s="12" t="str">
        <f>IF(Raw_Data!T216="","",Raw_Data!T216)</f>
        <v/>
      </c>
      <c r="O213" s="12" t="str">
        <f>IF(Raw_Data!AB216&lt;&gt;"",Raw_Data!AB216,IF(N213="tres_insatisfait",1,IF(N213="insatisfait",2,IF(N213="neutre",3,IF(N213="satisfait",4,IF(N213="tres_satisfait",5,""))))))</f>
        <v/>
      </c>
      <c r="P213" s="12">
        <f>IF(Raw_Data!AL216&lt;&gt;"",Raw_Data!AL216,Raw_Data!R216)</f>
        <v>0</v>
      </c>
      <c r="Q213" s="12">
        <f t="shared" si="29"/>
        <v>0</v>
      </c>
      <c r="R213" s="12" t="str">
        <f>IF(Raw_Data!AM216="","",Raw_Data!AM216)</f>
        <v/>
      </c>
      <c r="S213" s="12" t="str">
        <f t="shared" si="30"/>
        <v/>
      </c>
      <c r="T213" s="12" t="str">
        <f>IF(Raw_Data!AN216="","",Raw_Data!AN216)</f>
        <v/>
      </c>
      <c r="U213" s="12" t="str">
        <f t="shared" si="31"/>
        <v/>
      </c>
      <c r="V213" s="12" t="str">
        <f>IF(Raw_Data!AP216="","",IF(Raw_Data!AP216="oui",1,0))</f>
        <v/>
      </c>
      <c r="W213" s="12" t="str">
        <f>IF(Raw_Data!AQ216="","",IF(Raw_Data!AQ216="oui",1,0))</f>
        <v/>
      </c>
      <c r="X213" s="12" t="str">
        <f>IF(Raw_Data!AR216="","",IF(Raw_Data!AR216="oui",1,0))</f>
        <v/>
      </c>
      <c r="Y213" s="12" t="str">
        <f>IF(Raw_Data!AS216="","",IF(Raw_Data!AS216="oui",1,0))</f>
        <v/>
      </c>
      <c r="Z213" s="12" t="str">
        <f>IF(Raw_Data!V216="","",IF(Raw_Data!V216="oui",1,0))</f>
        <v/>
      </c>
      <c r="AA213" s="12" t="str">
        <f>IF(Raw_Data!W216="","",IF(Raw_Data!W216="oui",1,0))</f>
        <v/>
      </c>
      <c r="AB213" s="12" t="str">
        <f>IF(Raw_Data!Q216="","",IF(Raw_Data!Q216="oui",1,0))</f>
        <v/>
      </c>
      <c r="AC213" s="12">
        <f>Raw_Data!AF216</f>
        <v>0</v>
      </c>
      <c r="AD213" s="12" t="str">
        <f t="shared" si="32"/>
        <v/>
      </c>
      <c r="AE213" s="12" t="str">
        <f t="shared" si="33"/>
        <v/>
      </c>
      <c r="AF213" s="12" t="str">
        <f t="shared" si="34"/>
        <v/>
      </c>
      <c r="AG213" s="12">
        <f t="shared" si="35"/>
        <v>0</v>
      </c>
    </row>
    <row r="214" spans="1:33" ht="15" customHeight="1" x14ac:dyDescent="0.25">
      <c r="A214" s="12" t="str">
        <f>IF(Raw_Data!B217="","",Raw_Data!B217)</f>
        <v/>
      </c>
      <c r="B214" s="12">
        <f>IF(Raw_Data!X217&lt;&gt;"",Raw_Data!X217,Raw_Data!C217)</f>
        <v>0</v>
      </c>
      <c r="C214" s="12" t="str">
        <f>IF(Raw_Data!G217="","",Raw_Data!G217)</f>
        <v/>
      </c>
      <c r="D214" s="12" t="str">
        <f>IF(Raw_Data!H217="","",Raw_Data!H217)</f>
        <v/>
      </c>
      <c r="E214" s="12" t="str">
        <f>IF(Raw_Data!I217="","",Raw_Data!I217)</f>
        <v/>
      </c>
      <c r="F214" s="12" t="str">
        <f>IF(Raw_Data!J217="","",Raw_Data!J217)</f>
        <v/>
      </c>
      <c r="G214" s="12" t="str">
        <f>IF(Raw_Data!AH217&lt;&gt;"",Raw_Data!AH217,IF(Raw_Data!K217&lt;&gt;"",Raw_Data!K217,""))</f>
        <v/>
      </c>
      <c r="H214" s="12" t="str">
        <f>IF(Raw_Data!AI217&lt;&gt;"",Raw_Data!AI217,IF(Raw_Data!L217&lt;&gt;"",Raw_Data!L217,""))</f>
        <v/>
      </c>
      <c r="I214" s="12" t="str">
        <f t="shared" si="27"/>
        <v/>
      </c>
      <c r="J214" s="12" t="str">
        <f>IF(Raw_Data!M217="","",Raw_Data!M217)</f>
        <v/>
      </c>
      <c r="K214" s="12">
        <f>IF(Raw_Data!AJ217&lt;&gt;"",Raw_Data!AJ217,Raw_Data!N217)</f>
        <v>0</v>
      </c>
      <c r="L214" s="12">
        <f t="shared" si="28"/>
        <v>1</v>
      </c>
      <c r="M214" s="12" t="str">
        <f>IF(Raw_Data!AK217="","",Raw_Data!AK217)</f>
        <v/>
      </c>
      <c r="N214" s="12" t="str">
        <f>IF(Raw_Data!T217="","",Raw_Data!T217)</f>
        <v/>
      </c>
      <c r="O214" s="12" t="str">
        <f>IF(Raw_Data!AB217&lt;&gt;"",Raw_Data!AB217,IF(N214="tres_insatisfait",1,IF(N214="insatisfait",2,IF(N214="neutre",3,IF(N214="satisfait",4,IF(N214="tres_satisfait",5,""))))))</f>
        <v/>
      </c>
      <c r="P214" s="12">
        <f>IF(Raw_Data!AL217&lt;&gt;"",Raw_Data!AL217,Raw_Data!R217)</f>
        <v>0</v>
      </c>
      <c r="Q214" s="12">
        <f t="shared" si="29"/>
        <v>0</v>
      </c>
      <c r="R214" s="12" t="str">
        <f>IF(Raw_Data!AM217="","",Raw_Data!AM217)</f>
        <v/>
      </c>
      <c r="S214" s="12" t="str">
        <f t="shared" si="30"/>
        <v/>
      </c>
      <c r="T214" s="12" t="str">
        <f>IF(Raw_Data!AN217="","",Raw_Data!AN217)</f>
        <v/>
      </c>
      <c r="U214" s="12" t="str">
        <f t="shared" si="31"/>
        <v/>
      </c>
      <c r="V214" s="12" t="str">
        <f>IF(Raw_Data!AP217="","",IF(Raw_Data!AP217="oui",1,0))</f>
        <v/>
      </c>
      <c r="W214" s="12" t="str">
        <f>IF(Raw_Data!AQ217="","",IF(Raw_Data!AQ217="oui",1,0))</f>
        <v/>
      </c>
      <c r="X214" s="12" t="str">
        <f>IF(Raw_Data!AR217="","",IF(Raw_Data!AR217="oui",1,0))</f>
        <v/>
      </c>
      <c r="Y214" s="12" t="str">
        <f>IF(Raw_Data!AS217="","",IF(Raw_Data!AS217="oui",1,0))</f>
        <v/>
      </c>
      <c r="Z214" s="12" t="str">
        <f>IF(Raw_Data!V217="","",IF(Raw_Data!V217="oui",1,0))</f>
        <v/>
      </c>
      <c r="AA214" s="12" t="str">
        <f>IF(Raw_Data!W217="","",IF(Raw_Data!W217="oui",1,0))</f>
        <v/>
      </c>
      <c r="AB214" s="12" t="str">
        <f>IF(Raw_Data!Q217="","",IF(Raw_Data!Q217="oui",1,0))</f>
        <v/>
      </c>
      <c r="AC214" s="12">
        <f>Raw_Data!AF217</f>
        <v>0</v>
      </c>
      <c r="AD214" s="12" t="str">
        <f t="shared" si="32"/>
        <v/>
      </c>
      <c r="AE214" s="12" t="str">
        <f t="shared" si="33"/>
        <v/>
      </c>
      <c r="AF214" s="12" t="str">
        <f t="shared" si="34"/>
        <v/>
      </c>
      <c r="AG214" s="12">
        <f t="shared" si="35"/>
        <v>0</v>
      </c>
    </row>
    <row r="215" spans="1:33" ht="15" customHeight="1" x14ac:dyDescent="0.25">
      <c r="A215" s="12" t="str">
        <f>IF(Raw_Data!B218="","",Raw_Data!B218)</f>
        <v/>
      </c>
      <c r="B215" s="12">
        <f>IF(Raw_Data!X218&lt;&gt;"",Raw_Data!X218,Raw_Data!C218)</f>
        <v>0</v>
      </c>
      <c r="C215" s="12" t="str">
        <f>IF(Raw_Data!G218="","",Raw_Data!G218)</f>
        <v/>
      </c>
      <c r="D215" s="12" t="str">
        <f>IF(Raw_Data!H218="","",Raw_Data!H218)</f>
        <v/>
      </c>
      <c r="E215" s="12" t="str">
        <f>IF(Raw_Data!I218="","",Raw_Data!I218)</f>
        <v/>
      </c>
      <c r="F215" s="12" t="str">
        <f>IF(Raw_Data!J218="","",Raw_Data!J218)</f>
        <v/>
      </c>
      <c r="G215" s="12" t="str">
        <f>IF(Raw_Data!AH218&lt;&gt;"",Raw_Data!AH218,IF(Raw_Data!K218&lt;&gt;"",Raw_Data!K218,""))</f>
        <v/>
      </c>
      <c r="H215" s="12" t="str">
        <f>IF(Raw_Data!AI218&lt;&gt;"",Raw_Data!AI218,IF(Raw_Data!L218&lt;&gt;"",Raw_Data!L218,""))</f>
        <v/>
      </c>
      <c r="I215" s="12" t="str">
        <f t="shared" si="27"/>
        <v/>
      </c>
      <c r="J215" s="12" t="str">
        <f>IF(Raw_Data!M218="","",Raw_Data!M218)</f>
        <v/>
      </c>
      <c r="K215" s="12">
        <f>IF(Raw_Data!AJ218&lt;&gt;"",Raw_Data!AJ218,Raw_Data!N218)</f>
        <v>0</v>
      </c>
      <c r="L215" s="12">
        <f t="shared" si="28"/>
        <v>1</v>
      </c>
      <c r="M215" s="12" t="str">
        <f>IF(Raw_Data!AK218="","",Raw_Data!AK218)</f>
        <v/>
      </c>
      <c r="N215" s="12" t="str">
        <f>IF(Raw_Data!T218="","",Raw_Data!T218)</f>
        <v/>
      </c>
      <c r="O215" s="12" t="str">
        <f>IF(Raw_Data!AB218&lt;&gt;"",Raw_Data!AB218,IF(N215="tres_insatisfait",1,IF(N215="insatisfait",2,IF(N215="neutre",3,IF(N215="satisfait",4,IF(N215="tres_satisfait",5,""))))))</f>
        <v/>
      </c>
      <c r="P215" s="12">
        <f>IF(Raw_Data!AL218&lt;&gt;"",Raw_Data!AL218,Raw_Data!R218)</f>
        <v>0</v>
      </c>
      <c r="Q215" s="12">
        <f t="shared" si="29"/>
        <v>0</v>
      </c>
      <c r="R215" s="12" t="str">
        <f>IF(Raw_Data!AM218="","",Raw_Data!AM218)</f>
        <v/>
      </c>
      <c r="S215" s="12" t="str">
        <f t="shared" si="30"/>
        <v/>
      </c>
      <c r="T215" s="12" t="str">
        <f>IF(Raw_Data!AN218="","",Raw_Data!AN218)</f>
        <v/>
      </c>
      <c r="U215" s="12" t="str">
        <f t="shared" si="31"/>
        <v/>
      </c>
      <c r="V215" s="12" t="str">
        <f>IF(Raw_Data!AP218="","",IF(Raw_Data!AP218="oui",1,0))</f>
        <v/>
      </c>
      <c r="W215" s="12" t="str">
        <f>IF(Raw_Data!AQ218="","",IF(Raw_Data!AQ218="oui",1,0))</f>
        <v/>
      </c>
      <c r="X215" s="12" t="str">
        <f>IF(Raw_Data!AR218="","",IF(Raw_Data!AR218="oui",1,0))</f>
        <v/>
      </c>
      <c r="Y215" s="12" t="str">
        <f>IF(Raw_Data!AS218="","",IF(Raw_Data!AS218="oui",1,0))</f>
        <v/>
      </c>
      <c r="Z215" s="12" t="str">
        <f>IF(Raw_Data!V218="","",IF(Raw_Data!V218="oui",1,0))</f>
        <v/>
      </c>
      <c r="AA215" s="12" t="str">
        <f>IF(Raw_Data!W218="","",IF(Raw_Data!W218="oui",1,0))</f>
        <v/>
      </c>
      <c r="AB215" s="12" t="str">
        <f>IF(Raw_Data!Q218="","",IF(Raw_Data!Q218="oui",1,0))</f>
        <v/>
      </c>
      <c r="AC215" s="12">
        <f>Raw_Data!AF218</f>
        <v>0</v>
      </c>
      <c r="AD215" s="12" t="str">
        <f t="shared" si="32"/>
        <v/>
      </c>
      <c r="AE215" s="12" t="str">
        <f t="shared" si="33"/>
        <v/>
      </c>
      <c r="AF215" s="12" t="str">
        <f t="shared" si="34"/>
        <v/>
      </c>
      <c r="AG215" s="12">
        <f t="shared" si="35"/>
        <v>0</v>
      </c>
    </row>
    <row r="216" spans="1:33" ht="15" customHeight="1" x14ac:dyDescent="0.25">
      <c r="A216" s="12" t="str">
        <f>IF(Raw_Data!B219="","",Raw_Data!B219)</f>
        <v/>
      </c>
      <c r="B216" s="12">
        <f>IF(Raw_Data!X219&lt;&gt;"",Raw_Data!X219,Raw_Data!C219)</f>
        <v>0</v>
      </c>
      <c r="C216" s="12" t="str">
        <f>IF(Raw_Data!G219="","",Raw_Data!G219)</f>
        <v/>
      </c>
      <c r="D216" s="12" t="str">
        <f>IF(Raw_Data!H219="","",Raw_Data!H219)</f>
        <v/>
      </c>
      <c r="E216" s="12" t="str">
        <f>IF(Raw_Data!I219="","",Raw_Data!I219)</f>
        <v/>
      </c>
      <c r="F216" s="12" t="str">
        <f>IF(Raw_Data!J219="","",Raw_Data!J219)</f>
        <v/>
      </c>
      <c r="G216" s="12" t="str">
        <f>IF(Raw_Data!AH219&lt;&gt;"",Raw_Data!AH219,IF(Raw_Data!K219&lt;&gt;"",Raw_Data!K219,""))</f>
        <v/>
      </c>
      <c r="H216" s="12" t="str">
        <f>IF(Raw_Data!AI219&lt;&gt;"",Raw_Data!AI219,IF(Raw_Data!L219&lt;&gt;"",Raw_Data!L219,""))</f>
        <v/>
      </c>
      <c r="I216" s="12" t="str">
        <f t="shared" si="27"/>
        <v/>
      </c>
      <c r="J216" s="12" t="str">
        <f>IF(Raw_Data!M219="","",Raw_Data!M219)</f>
        <v/>
      </c>
      <c r="K216" s="12">
        <f>IF(Raw_Data!AJ219&lt;&gt;"",Raw_Data!AJ219,Raw_Data!N219)</f>
        <v>0</v>
      </c>
      <c r="L216" s="12">
        <f t="shared" si="28"/>
        <v>1</v>
      </c>
      <c r="M216" s="12" t="str">
        <f>IF(Raw_Data!AK219="","",Raw_Data!AK219)</f>
        <v/>
      </c>
      <c r="N216" s="12" t="str">
        <f>IF(Raw_Data!T219="","",Raw_Data!T219)</f>
        <v/>
      </c>
      <c r="O216" s="12" t="str">
        <f>IF(Raw_Data!AB219&lt;&gt;"",Raw_Data!AB219,IF(N216="tres_insatisfait",1,IF(N216="insatisfait",2,IF(N216="neutre",3,IF(N216="satisfait",4,IF(N216="tres_satisfait",5,""))))))</f>
        <v/>
      </c>
      <c r="P216" s="12">
        <f>IF(Raw_Data!AL219&lt;&gt;"",Raw_Data!AL219,Raw_Data!R219)</f>
        <v>0</v>
      </c>
      <c r="Q216" s="12">
        <f t="shared" si="29"/>
        <v>0</v>
      </c>
      <c r="R216" s="12" t="str">
        <f>IF(Raw_Data!AM219="","",Raw_Data!AM219)</f>
        <v/>
      </c>
      <c r="S216" s="12" t="str">
        <f t="shared" si="30"/>
        <v/>
      </c>
      <c r="T216" s="12" t="str">
        <f>IF(Raw_Data!AN219="","",Raw_Data!AN219)</f>
        <v/>
      </c>
      <c r="U216" s="12" t="str">
        <f t="shared" si="31"/>
        <v/>
      </c>
      <c r="V216" s="12" t="str">
        <f>IF(Raw_Data!AP219="","",IF(Raw_Data!AP219="oui",1,0))</f>
        <v/>
      </c>
      <c r="W216" s="12" t="str">
        <f>IF(Raw_Data!AQ219="","",IF(Raw_Data!AQ219="oui",1,0))</f>
        <v/>
      </c>
      <c r="X216" s="12" t="str">
        <f>IF(Raw_Data!AR219="","",IF(Raw_Data!AR219="oui",1,0))</f>
        <v/>
      </c>
      <c r="Y216" s="12" t="str">
        <f>IF(Raw_Data!AS219="","",IF(Raw_Data!AS219="oui",1,0))</f>
        <v/>
      </c>
      <c r="Z216" s="12" t="str">
        <f>IF(Raw_Data!V219="","",IF(Raw_Data!V219="oui",1,0))</f>
        <v/>
      </c>
      <c r="AA216" s="12" t="str">
        <f>IF(Raw_Data!W219="","",IF(Raw_Data!W219="oui",1,0))</f>
        <v/>
      </c>
      <c r="AB216" s="12" t="str">
        <f>IF(Raw_Data!Q219="","",IF(Raw_Data!Q219="oui",1,0))</f>
        <v/>
      </c>
      <c r="AC216" s="12">
        <f>Raw_Data!AF219</f>
        <v>0</v>
      </c>
      <c r="AD216" s="12" t="str">
        <f t="shared" si="32"/>
        <v/>
      </c>
      <c r="AE216" s="12" t="str">
        <f t="shared" si="33"/>
        <v/>
      </c>
      <c r="AF216" s="12" t="str">
        <f t="shared" si="34"/>
        <v/>
      </c>
      <c r="AG216" s="12">
        <f t="shared" si="35"/>
        <v>0</v>
      </c>
    </row>
    <row r="217" spans="1:33" ht="15" customHeight="1" x14ac:dyDescent="0.25">
      <c r="A217" s="12" t="str">
        <f>IF(Raw_Data!B220="","",Raw_Data!B220)</f>
        <v/>
      </c>
      <c r="B217" s="12">
        <f>IF(Raw_Data!X220&lt;&gt;"",Raw_Data!X220,Raw_Data!C220)</f>
        <v>0</v>
      </c>
      <c r="C217" s="12" t="str">
        <f>IF(Raw_Data!G220="","",Raw_Data!G220)</f>
        <v/>
      </c>
      <c r="D217" s="12" t="str">
        <f>IF(Raw_Data!H220="","",Raw_Data!H220)</f>
        <v/>
      </c>
      <c r="E217" s="12" t="str">
        <f>IF(Raw_Data!I220="","",Raw_Data!I220)</f>
        <v/>
      </c>
      <c r="F217" s="12" t="str">
        <f>IF(Raw_Data!J220="","",Raw_Data!J220)</f>
        <v/>
      </c>
      <c r="G217" s="12" t="str">
        <f>IF(Raw_Data!AH220&lt;&gt;"",Raw_Data!AH220,IF(Raw_Data!K220&lt;&gt;"",Raw_Data!K220,""))</f>
        <v/>
      </c>
      <c r="H217" s="12" t="str">
        <f>IF(Raw_Data!AI220&lt;&gt;"",Raw_Data!AI220,IF(Raw_Data!L220&lt;&gt;"",Raw_Data!L220,""))</f>
        <v/>
      </c>
      <c r="I217" s="12" t="str">
        <f t="shared" si="27"/>
        <v/>
      </c>
      <c r="J217" s="12" t="str">
        <f>IF(Raw_Data!M220="","",Raw_Data!M220)</f>
        <v/>
      </c>
      <c r="K217" s="12">
        <f>IF(Raw_Data!AJ220&lt;&gt;"",Raw_Data!AJ220,Raw_Data!N220)</f>
        <v>0</v>
      </c>
      <c r="L217" s="12">
        <f t="shared" si="28"/>
        <v>1</v>
      </c>
      <c r="M217" s="12" t="str">
        <f>IF(Raw_Data!AK220="","",Raw_Data!AK220)</f>
        <v/>
      </c>
      <c r="N217" s="12" t="str">
        <f>IF(Raw_Data!T220="","",Raw_Data!T220)</f>
        <v/>
      </c>
      <c r="O217" s="12" t="str">
        <f>IF(Raw_Data!AB220&lt;&gt;"",Raw_Data!AB220,IF(N217="tres_insatisfait",1,IF(N217="insatisfait",2,IF(N217="neutre",3,IF(N217="satisfait",4,IF(N217="tres_satisfait",5,""))))))</f>
        <v/>
      </c>
      <c r="P217" s="12">
        <f>IF(Raw_Data!AL220&lt;&gt;"",Raw_Data!AL220,Raw_Data!R220)</f>
        <v>0</v>
      </c>
      <c r="Q217" s="12">
        <f t="shared" si="29"/>
        <v>0</v>
      </c>
      <c r="R217" s="12" t="str">
        <f>IF(Raw_Data!AM220="","",Raw_Data!AM220)</f>
        <v/>
      </c>
      <c r="S217" s="12" t="str">
        <f t="shared" si="30"/>
        <v/>
      </c>
      <c r="T217" s="12" t="str">
        <f>IF(Raw_Data!AN220="","",Raw_Data!AN220)</f>
        <v/>
      </c>
      <c r="U217" s="12" t="str">
        <f t="shared" si="31"/>
        <v/>
      </c>
      <c r="V217" s="12" t="str">
        <f>IF(Raw_Data!AP220="","",IF(Raw_Data!AP220="oui",1,0))</f>
        <v/>
      </c>
      <c r="W217" s="12" t="str">
        <f>IF(Raw_Data!AQ220="","",IF(Raw_Data!AQ220="oui",1,0))</f>
        <v/>
      </c>
      <c r="X217" s="12" t="str">
        <f>IF(Raw_Data!AR220="","",IF(Raw_Data!AR220="oui",1,0))</f>
        <v/>
      </c>
      <c r="Y217" s="12" t="str">
        <f>IF(Raw_Data!AS220="","",IF(Raw_Data!AS220="oui",1,0))</f>
        <v/>
      </c>
      <c r="Z217" s="12" t="str">
        <f>IF(Raw_Data!V220="","",IF(Raw_Data!V220="oui",1,0))</f>
        <v/>
      </c>
      <c r="AA217" s="12" t="str">
        <f>IF(Raw_Data!W220="","",IF(Raw_Data!W220="oui",1,0))</f>
        <v/>
      </c>
      <c r="AB217" s="12" t="str">
        <f>IF(Raw_Data!Q220="","",IF(Raw_Data!Q220="oui",1,0))</f>
        <v/>
      </c>
      <c r="AC217" s="12">
        <f>Raw_Data!AF220</f>
        <v>0</v>
      </c>
      <c r="AD217" s="12" t="str">
        <f t="shared" si="32"/>
        <v/>
      </c>
      <c r="AE217" s="12" t="str">
        <f t="shared" si="33"/>
        <v/>
      </c>
      <c r="AF217" s="12" t="str">
        <f t="shared" si="34"/>
        <v/>
      </c>
      <c r="AG217" s="12">
        <f t="shared" si="35"/>
        <v>0</v>
      </c>
    </row>
    <row r="218" spans="1:33" ht="15" customHeight="1" x14ac:dyDescent="0.25">
      <c r="A218" s="12" t="str">
        <f>IF(Raw_Data!B221="","",Raw_Data!B221)</f>
        <v/>
      </c>
      <c r="B218" s="12">
        <f>IF(Raw_Data!X221&lt;&gt;"",Raw_Data!X221,Raw_Data!C221)</f>
        <v>0</v>
      </c>
      <c r="C218" s="12" t="str">
        <f>IF(Raw_Data!G221="","",Raw_Data!G221)</f>
        <v/>
      </c>
      <c r="D218" s="12" t="str">
        <f>IF(Raw_Data!H221="","",Raw_Data!H221)</f>
        <v/>
      </c>
      <c r="E218" s="12" t="str">
        <f>IF(Raw_Data!I221="","",Raw_Data!I221)</f>
        <v/>
      </c>
      <c r="F218" s="12" t="str">
        <f>IF(Raw_Data!J221="","",Raw_Data!J221)</f>
        <v/>
      </c>
      <c r="G218" s="12" t="str">
        <f>IF(Raw_Data!AH221&lt;&gt;"",Raw_Data!AH221,IF(Raw_Data!K221&lt;&gt;"",Raw_Data!K221,""))</f>
        <v/>
      </c>
      <c r="H218" s="12" t="str">
        <f>IF(Raw_Data!AI221&lt;&gt;"",Raw_Data!AI221,IF(Raw_Data!L221&lt;&gt;"",Raw_Data!L221,""))</f>
        <v/>
      </c>
      <c r="I218" s="12" t="str">
        <f t="shared" si="27"/>
        <v/>
      </c>
      <c r="J218" s="12" t="str">
        <f>IF(Raw_Data!M221="","",Raw_Data!M221)</f>
        <v/>
      </c>
      <c r="K218" s="12">
        <f>IF(Raw_Data!AJ221&lt;&gt;"",Raw_Data!AJ221,Raw_Data!N221)</f>
        <v>0</v>
      </c>
      <c r="L218" s="12">
        <f t="shared" si="28"/>
        <v>1</v>
      </c>
      <c r="M218" s="12" t="str">
        <f>IF(Raw_Data!AK221="","",Raw_Data!AK221)</f>
        <v/>
      </c>
      <c r="N218" s="12" t="str">
        <f>IF(Raw_Data!T221="","",Raw_Data!T221)</f>
        <v/>
      </c>
      <c r="O218" s="12" t="str">
        <f>IF(Raw_Data!AB221&lt;&gt;"",Raw_Data!AB221,IF(N218="tres_insatisfait",1,IF(N218="insatisfait",2,IF(N218="neutre",3,IF(N218="satisfait",4,IF(N218="tres_satisfait",5,""))))))</f>
        <v/>
      </c>
      <c r="P218" s="12">
        <f>IF(Raw_Data!AL221&lt;&gt;"",Raw_Data!AL221,Raw_Data!R221)</f>
        <v>0</v>
      </c>
      <c r="Q218" s="12">
        <f t="shared" si="29"/>
        <v>0</v>
      </c>
      <c r="R218" s="12" t="str">
        <f>IF(Raw_Data!AM221="","",Raw_Data!AM221)</f>
        <v/>
      </c>
      <c r="S218" s="12" t="str">
        <f t="shared" si="30"/>
        <v/>
      </c>
      <c r="T218" s="12" t="str">
        <f>IF(Raw_Data!AN221="","",Raw_Data!AN221)</f>
        <v/>
      </c>
      <c r="U218" s="12" t="str">
        <f t="shared" si="31"/>
        <v/>
      </c>
      <c r="V218" s="12" t="str">
        <f>IF(Raw_Data!AP221="","",IF(Raw_Data!AP221="oui",1,0))</f>
        <v/>
      </c>
      <c r="W218" s="12" t="str">
        <f>IF(Raw_Data!AQ221="","",IF(Raw_Data!AQ221="oui",1,0))</f>
        <v/>
      </c>
      <c r="X218" s="12" t="str">
        <f>IF(Raw_Data!AR221="","",IF(Raw_Data!AR221="oui",1,0))</f>
        <v/>
      </c>
      <c r="Y218" s="12" t="str">
        <f>IF(Raw_Data!AS221="","",IF(Raw_Data!AS221="oui",1,0))</f>
        <v/>
      </c>
      <c r="Z218" s="12" t="str">
        <f>IF(Raw_Data!V221="","",IF(Raw_Data!V221="oui",1,0))</f>
        <v/>
      </c>
      <c r="AA218" s="12" t="str">
        <f>IF(Raw_Data!W221="","",IF(Raw_Data!W221="oui",1,0))</f>
        <v/>
      </c>
      <c r="AB218" s="12" t="str">
        <f>IF(Raw_Data!Q221="","",IF(Raw_Data!Q221="oui",1,0))</f>
        <v/>
      </c>
      <c r="AC218" s="12">
        <f>Raw_Data!AF221</f>
        <v>0</v>
      </c>
      <c r="AD218" s="12" t="str">
        <f t="shared" si="32"/>
        <v/>
      </c>
      <c r="AE218" s="12" t="str">
        <f t="shared" si="33"/>
        <v/>
      </c>
      <c r="AF218" s="12" t="str">
        <f t="shared" si="34"/>
        <v/>
      </c>
      <c r="AG218" s="12">
        <f t="shared" si="35"/>
        <v>0</v>
      </c>
    </row>
    <row r="219" spans="1:33" ht="15" customHeight="1" x14ac:dyDescent="0.25">
      <c r="A219" s="12" t="str">
        <f>IF(Raw_Data!B222="","",Raw_Data!B222)</f>
        <v/>
      </c>
      <c r="B219" s="12">
        <f>IF(Raw_Data!X222&lt;&gt;"",Raw_Data!X222,Raw_Data!C222)</f>
        <v>0</v>
      </c>
      <c r="C219" s="12" t="str">
        <f>IF(Raw_Data!G222="","",Raw_Data!G222)</f>
        <v/>
      </c>
      <c r="D219" s="12" t="str">
        <f>IF(Raw_Data!H222="","",Raw_Data!H222)</f>
        <v/>
      </c>
      <c r="E219" s="12" t="str">
        <f>IF(Raw_Data!I222="","",Raw_Data!I222)</f>
        <v/>
      </c>
      <c r="F219" s="12" t="str">
        <f>IF(Raw_Data!J222="","",Raw_Data!J222)</f>
        <v/>
      </c>
      <c r="G219" s="12" t="str">
        <f>IF(Raw_Data!AH222&lt;&gt;"",Raw_Data!AH222,IF(Raw_Data!K222&lt;&gt;"",Raw_Data!K222,""))</f>
        <v/>
      </c>
      <c r="H219" s="12" t="str">
        <f>IF(Raw_Data!AI222&lt;&gt;"",Raw_Data!AI222,IF(Raw_Data!L222&lt;&gt;"",Raw_Data!L222,""))</f>
        <v/>
      </c>
      <c r="I219" s="12" t="str">
        <f t="shared" si="27"/>
        <v/>
      </c>
      <c r="J219" s="12" t="str">
        <f>IF(Raw_Data!M222="","",Raw_Data!M222)</f>
        <v/>
      </c>
      <c r="K219" s="12">
        <f>IF(Raw_Data!AJ222&lt;&gt;"",Raw_Data!AJ222,Raw_Data!N222)</f>
        <v>0</v>
      </c>
      <c r="L219" s="12">
        <f t="shared" si="28"/>
        <v>1</v>
      </c>
      <c r="M219" s="12" t="str">
        <f>IF(Raw_Data!AK222="","",Raw_Data!AK222)</f>
        <v/>
      </c>
      <c r="N219" s="12" t="str">
        <f>IF(Raw_Data!T222="","",Raw_Data!T222)</f>
        <v/>
      </c>
      <c r="O219" s="12" t="str">
        <f>IF(Raw_Data!AB222&lt;&gt;"",Raw_Data!AB222,IF(N219="tres_insatisfait",1,IF(N219="insatisfait",2,IF(N219="neutre",3,IF(N219="satisfait",4,IF(N219="tres_satisfait",5,""))))))</f>
        <v/>
      </c>
      <c r="P219" s="12">
        <f>IF(Raw_Data!AL222&lt;&gt;"",Raw_Data!AL222,Raw_Data!R222)</f>
        <v>0</v>
      </c>
      <c r="Q219" s="12">
        <f t="shared" si="29"/>
        <v>0</v>
      </c>
      <c r="R219" s="12" t="str">
        <f>IF(Raw_Data!AM222="","",Raw_Data!AM222)</f>
        <v/>
      </c>
      <c r="S219" s="12" t="str">
        <f t="shared" si="30"/>
        <v/>
      </c>
      <c r="T219" s="12" t="str">
        <f>IF(Raw_Data!AN222="","",Raw_Data!AN222)</f>
        <v/>
      </c>
      <c r="U219" s="12" t="str">
        <f t="shared" si="31"/>
        <v/>
      </c>
      <c r="V219" s="12" t="str">
        <f>IF(Raw_Data!AP222="","",IF(Raw_Data!AP222="oui",1,0))</f>
        <v/>
      </c>
      <c r="W219" s="12" t="str">
        <f>IF(Raw_Data!AQ222="","",IF(Raw_Data!AQ222="oui",1,0))</f>
        <v/>
      </c>
      <c r="X219" s="12" t="str">
        <f>IF(Raw_Data!AR222="","",IF(Raw_Data!AR222="oui",1,0))</f>
        <v/>
      </c>
      <c r="Y219" s="12" t="str">
        <f>IF(Raw_Data!AS222="","",IF(Raw_Data!AS222="oui",1,0))</f>
        <v/>
      </c>
      <c r="Z219" s="12" t="str">
        <f>IF(Raw_Data!V222="","",IF(Raw_Data!V222="oui",1,0))</f>
        <v/>
      </c>
      <c r="AA219" s="12" t="str">
        <f>IF(Raw_Data!W222="","",IF(Raw_Data!W222="oui",1,0))</f>
        <v/>
      </c>
      <c r="AB219" s="12" t="str">
        <f>IF(Raw_Data!Q222="","",IF(Raw_Data!Q222="oui",1,0))</f>
        <v/>
      </c>
      <c r="AC219" s="12">
        <f>Raw_Data!AF222</f>
        <v>0</v>
      </c>
      <c r="AD219" s="12" t="str">
        <f t="shared" si="32"/>
        <v/>
      </c>
      <c r="AE219" s="12" t="str">
        <f t="shared" si="33"/>
        <v/>
      </c>
      <c r="AF219" s="12" t="str">
        <f t="shared" si="34"/>
        <v/>
      </c>
      <c r="AG219" s="12">
        <f t="shared" si="35"/>
        <v>0</v>
      </c>
    </row>
    <row r="220" spans="1:33" ht="15" customHeight="1" x14ac:dyDescent="0.25">
      <c r="A220" s="12" t="str">
        <f>IF(Raw_Data!B223="","",Raw_Data!B223)</f>
        <v/>
      </c>
      <c r="B220" s="12">
        <f>IF(Raw_Data!X223&lt;&gt;"",Raw_Data!X223,Raw_Data!C223)</f>
        <v>0</v>
      </c>
      <c r="C220" s="12" t="str">
        <f>IF(Raw_Data!G223="","",Raw_Data!G223)</f>
        <v/>
      </c>
      <c r="D220" s="12" t="str">
        <f>IF(Raw_Data!H223="","",Raw_Data!H223)</f>
        <v/>
      </c>
      <c r="E220" s="12" t="str">
        <f>IF(Raw_Data!I223="","",Raw_Data!I223)</f>
        <v/>
      </c>
      <c r="F220" s="12" t="str">
        <f>IF(Raw_Data!J223="","",Raw_Data!J223)</f>
        <v/>
      </c>
      <c r="G220" s="12" t="str">
        <f>IF(Raw_Data!AH223&lt;&gt;"",Raw_Data!AH223,IF(Raw_Data!K223&lt;&gt;"",Raw_Data!K223,""))</f>
        <v/>
      </c>
      <c r="H220" s="12" t="str">
        <f>IF(Raw_Data!AI223&lt;&gt;"",Raw_Data!AI223,IF(Raw_Data!L223&lt;&gt;"",Raw_Data!L223,""))</f>
        <v/>
      </c>
      <c r="I220" s="12" t="str">
        <f t="shared" si="27"/>
        <v/>
      </c>
      <c r="J220" s="12" t="str">
        <f>IF(Raw_Data!M223="","",Raw_Data!M223)</f>
        <v/>
      </c>
      <c r="K220" s="12">
        <f>IF(Raw_Data!AJ223&lt;&gt;"",Raw_Data!AJ223,Raw_Data!N223)</f>
        <v>0</v>
      </c>
      <c r="L220" s="12">
        <f t="shared" si="28"/>
        <v>1</v>
      </c>
      <c r="M220" s="12" t="str">
        <f>IF(Raw_Data!AK223="","",Raw_Data!AK223)</f>
        <v/>
      </c>
      <c r="N220" s="12" t="str">
        <f>IF(Raw_Data!T223="","",Raw_Data!T223)</f>
        <v/>
      </c>
      <c r="O220" s="12" t="str">
        <f>IF(Raw_Data!AB223&lt;&gt;"",Raw_Data!AB223,IF(N220="tres_insatisfait",1,IF(N220="insatisfait",2,IF(N220="neutre",3,IF(N220="satisfait",4,IF(N220="tres_satisfait",5,""))))))</f>
        <v/>
      </c>
      <c r="P220" s="12">
        <f>IF(Raw_Data!AL223&lt;&gt;"",Raw_Data!AL223,Raw_Data!R223)</f>
        <v>0</v>
      </c>
      <c r="Q220" s="12">
        <f t="shared" si="29"/>
        <v>0</v>
      </c>
      <c r="R220" s="12" t="str">
        <f>IF(Raw_Data!AM223="","",Raw_Data!AM223)</f>
        <v/>
      </c>
      <c r="S220" s="12" t="str">
        <f t="shared" si="30"/>
        <v/>
      </c>
      <c r="T220" s="12" t="str">
        <f>IF(Raw_Data!AN223="","",Raw_Data!AN223)</f>
        <v/>
      </c>
      <c r="U220" s="12" t="str">
        <f t="shared" si="31"/>
        <v/>
      </c>
      <c r="V220" s="12" t="str">
        <f>IF(Raw_Data!AP223="","",IF(Raw_Data!AP223="oui",1,0))</f>
        <v/>
      </c>
      <c r="W220" s="12" t="str">
        <f>IF(Raw_Data!AQ223="","",IF(Raw_Data!AQ223="oui",1,0))</f>
        <v/>
      </c>
      <c r="X220" s="12" t="str">
        <f>IF(Raw_Data!AR223="","",IF(Raw_Data!AR223="oui",1,0))</f>
        <v/>
      </c>
      <c r="Y220" s="12" t="str">
        <f>IF(Raw_Data!AS223="","",IF(Raw_Data!AS223="oui",1,0))</f>
        <v/>
      </c>
      <c r="Z220" s="12" t="str">
        <f>IF(Raw_Data!V223="","",IF(Raw_Data!V223="oui",1,0))</f>
        <v/>
      </c>
      <c r="AA220" s="12" t="str">
        <f>IF(Raw_Data!W223="","",IF(Raw_Data!W223="oui",1,0))</f>
        <v/>
      </c>
      <c r="AB220" s="12" t="str">
        <f>IF(Raw_Data!Q223="","",IF(Raw_Data!Q223="oui",1,0))</f>
        <v/>
      </c>
      <c r="AC220" s="12">
        <f>Raw_Data!AF223</f>
        <v>0</v>
      </c>
      <c r="AD220" s="12" t="str">
        <f t="shared" si="32"/>
        <v/>
      </c>
      <c r="AE220" s="12" t="str">
        <f t="shared" si="33"/>
        <v/>
      </c>
      <c r="AF220" s="12" t="str">
        <f t="shared" si="34"/>
        <v/>
      </c>
      <c r="AG220" s="12">
        <f t="shared" si="35"/>
        <v>0</v>
      </c>
    </row>
    <row r="221" spans="1:33" ht="15" customHeight="1" x14ac:dyDescent="0.25">
      <c r="A221" s="12" t="str">
        <f>IF(Raw_Data!B224="","",Raw_Data!B224)</f>
        <v/>
      </c>
      <c r="B221" s="12">
        <f>IF(Raw_Data!X224&lt;&gt;"",Raw_Data!X224,Raw_Data!C224)</f>
        <v>0</v>
      </c>
      <c r="C221" s="12" t="str">
        <f>IF(Raw_Data!G224="","",Raw_Data!G224)</f>
        <v/>
      </c>
      <c r="D221" s="12" t="str">
        <f>IF(Raw_Data!H224="","",Raw_Data!H224)</f>
        <v/>
      </c>
      <c r="E221" s="12" t="str">
        <f>IF(Raw_Data!I224="","",Raw_Data!I224)</f>
        <v/>
      </c>
      <c r="F221" s="12" t="str">
        <f>IF(Raw_Data!J224="","",Raw_Data!J224)</f>
        <v/>
      </c>
      <c r="G221" s="12" t="str">
        <f>IF(Raw_Data!AH224&lt;&gt;"",Raw_Data!AH224,IF(Raw_Data!K224&lt;&gt;"",Raw_Data!K224,""))</f>
        <v/>
      </c>
      <c r="H221" s="12" t="str">
        <f>IF(Raw_Data!AI224&lt;&gt;"",Raw_Data!AI224,IF(Raw_Data!L224&lt;&gt;"",Raw_Data!L224,""))</f>
        <v/>
      </c>
      <c r="I221" s="12" t="str">
        <f t="shared" si="27"/>
        <v/>
      </c>
      <c r="J221" s="12" t="str">
        <f>IF(Raw_Data!M224="","",Raw_Data!M224)</f>
        <v/>
      </c>
      <c r="K221" s="12">
        <f>IF(Raw_Data!AJ224&lt;&gt;"",Raw_Data!AJ224,Raw_Data!N224)</f>
        <v>0</v>
      </c>
      <c r="L221" s="12">
        <f t="shared" si="28"/>
        <v>1</v>
      </c>
      <c r="M221" s="12" t="str">
        <f>IF(Raw_Data!AK224="","",Raw_Data!AK224)</f>
        <v/>
      </c>
      <c r="N221" s="12" t="str">
        <f>IF(Raw_Data!T224="","",Raw_Data!T224)</f>
        <v/>
      </c>
      <c r="O221" s="12" t="str">
        <f>IF(Raw_Data!AB224&lt;&gt;"",Raw_Data!AB224,IF(N221="tres_insatisfait",1,IF(N221="insatisfait",2,IF(N221="neutre",3,IF(N221="satisfait",4,IF(N221="tres_satisfait",5,""))))))</f>
        <v/>
      </c>
      <c r="P221" s="12">
        <f>IF(Raw_Data!AL224&lt;&gt;"",Raw_Data!AL224,Raw_Data!R224)</f>
        <v>0</v>
      </c>
      <c r="Q221" s="12">
        <f t="shared" si="29"/>
        <v>0</v>
      </c>
      <c r="R221" s="12" t="str">
        <f>IF(Raw_Data!AM224="","",Raw_Data!AM224)</f>
        <v/>
      </c>
      <c r="S221" s="12" t="str">
        <f t="shared" si="30"/>
        <v/>
      </c>
      <c r="T221" s="12" t="str">
        <f>IF(Raw_Data!AN224="","",Raw_Data!AN224)</f>
        <v/>
      </c>
      <c r="U221" s="12" t="str">
        <f t="shared" si="31"/>
        <v/>
      </c>
      <c r="V221" s="12" t="str">
        <f>IF(Raw_Data!AP224="","",IF(Raw_Data!AP224="oui",1,0))</f>
        <v/>
      </c>
      <c r="W221" s="12" t="str">
        <f>IF(Raw_Data!AQ224="","",IF(Raw_Data!AQ224="oui",1,0))</f>
        <v/>
      </c>
      <c r="X221" s="12" t="str">
        <f>IF(Raw_Data!AR224="","",IF(Raw_Data!AR224="oui",1,0))</f>
        <v/>
      </c>
      <c r="Y221" s="12" t="str">
        <f>IF(Raw_Data!AS224="","",IF(Raw_Data!AS224="oui",1,0))</f>
        <v/>
      </c>
      <c r="Z221" s="12" t="str">
        <f>IF(Raw_Data!V224="","",IF(Raw_Data!V224="oui",1,0))</f>
        <v/>
      </c>
      <c r="AA221" s="12" t="str">
        <f>IF(Raw_Data!W224="","",IF(Raw_Data!W224="oui",1,0))</f>
        <v/>
      </c>
      <c r="AB221" s="12" t="str">
        <f>IF(Raw_Data!Q224="","",IF(Raw_Data!Q224="oui",1,0))</f>
        <v/>
      </c>
      <c r="AC221" s="12">
        <f>Raw_Data!AF224</f>
        <v>0</v>
      </c>
      <c r="AD221" s="12" t="str">
        <f t="shared" si="32"/>
        <v/>
      </c>
      <c r="AE221" s="12" t="str">
        <f t="shared" si="33"/>
        <v/>
      </c>
      <c r="AF221" s="12" t="str">
        <f t="shared" si="34"/>
        <v/>
      </c>
      <c r="AG221" s="12">
        <f t="shared" si="35"/>
        <v>0</v>
      </c>
    </row>
    <row r="222" spans="1:33" ht="15" customHeight="1" x14ac:dyDescent="0.25">
      <c r="A222" s="12" t="str">
        <f>IF(Raw_Data!B225="","",Raw_Data!B225)</f>
        <v/>
      </c>
      <c r="B222" s="12">
        <f>IF(Raw_Data!X225&lt;&gt;"",Raw_Data!X225,Raw_Data!C225)</f>
        <v>0</v>
      </c>
      <c r="C222" s="12" t="str">
        <f>IF(Raw_Data!G225="","",Raw_Data!G225)</f>
        <v/>
      </c>
      <c r="D222" s="12" t="str">
        <f>IF(Raw_Data!H225="","",Raw_Data!H225)</f>
        <v/>
      </c>
      <c r="E222" s="12" t="str">
        <f>IF(Raw_Data!I225="","",Raw_Data!I225)</f>
        <v/>
      </c>
      <c r="F222" s="12" t="str">
        <f>IF(Raw_Data!J225="","",Raw_Data!J225)</f>
        <v/>
      </c>
      <c r="G222" s="12" t="str">
        <f>IF(Raw_Data!AH225&lt;&gt;"",Raw_Data!AH225,IF(Raw_Data!K225&lt;&gt;"",Raw_Data!K225,""))</f>
        <v/>
      </c>
      <c r="H222" s="12" t="str">
        <f>IF(Raw_Data!AI225&lt;&gt;"",Raw_Data!AI225,IF(Raw_Data!L225&lt;&gt;"",Raw_Data!L225,""))</f>
        <v/>
      </c>
      <c r="I222" s="12" t="str">
        <f t="shared" si="27"/>
        <v/>
      </c>
      <c r="J222" s="12" t="str">
        <f>IF(Raw_Data!M225="","",Raw_Data!M225)</f>
        <v/>
      </c>
      <c r="K222" s="12">
        <f>IF(Raw_Data!AJ225&lt;&gt;"",Raw_Data!AJ225,Raw_Data!N225)</f>
        <v>0</v>
      </c>
      <c r="L222" s="12">
        <f t="shared" si="28"/>
        <v>1</v>
      </c>
      <c r="M222" s="12" t="str">
        <f>IF(Raw_Data!AK225="","",Raw_Data!AK225)</f>
        <v/>
      </c>
      <c r="N222" s="12" t="str">
        <f>IF(Raw_Data!T225="","",Raw_Data!T225)</f>
        <v/>
      </c>
      <c r="O222" s="12" t="str">
        <f>IF(Raw_Data!AB225&lt;&gt;"",Raw_Data!AB225,IF(N222="tres_insatisfait",1,IF(N222="insatisfait",2,IF(N222="neutre",3,IF(N222="satisfait",4,IF(N222="tres_satisfait",5,""))))))</f>
        <v/>
      </c>
      <c r="P222" s="12">
        <f>IF(Raw_Data!AL225&lt;&gt;"",Raw_Data!AL225,Raw_Data!R225)</f>
        <v>0</v>
      </c>
      <c r="Q222" s="12">
        <f t="shared" si="29"/>
        <v>0</v>
      </c>
      <c r="R222" s="12" t="str">
        <f>IF(Raw_Data!AM225="","",Raw_Data!AM225)</f>
        <v/>
      </c>
      <c r="S222" s="12" t="str">
        <f t="shared" si="30"/>
        <v/>
      </c>
      <c r="T222" s="12" t="str">
        <f>IF(Raw_Data!AN225="","",Raw_Data!AN225)</f>
        <v/>
      </c>
      <c r="U222" s="12" t="str">
        <f t="shared" si="31"/>
        <v/>
      </c>
      <c r="V222" s="12" t="str">
        <f>IF(Raw_Data!AP225="","",IF(Raw_Data!AP225="oui",1,0))</f>
        <v/>
      </c>
      <c r="W222" s="12" t="str">
        <f>IF(Raw_Data!AQ225="","",IF(Raw_Data!AQ225="oui",1,0))</f>
        <v/>
      </c>
      <c r="X222" s="12" t="str">
        <f>IF(Raw_Data!AR225="","",IF(Raw_Data!AR225="oui",1,0))</f>
        <v/>
      </c>
      <c r="Y222" s="12" t="str">
        <f>IF(Raw_Data!AS225="","",IF(Raw_Data!AS225="oui",1,0))</f>
        <v/>
      </c>
      <c r="Z222" s="12" t="str">
        <f>IF(Raw_Data!V225="","",IF(Raw_Data!V225="oui",1,0))</f>
        <v/>
      </c>
      <c r="AA222" s="12" t="str">
        <f>IF(Raw_Data!W225="","",IF(Raw_Data!W225="oui",1,0))</f>
        <v/>
      </c>
      <c r="AB222" s="12" t="str">
        <f>IF(Raw_Data!Q225="","",IF(Raw_Data!Q225="oui",1,0))</f>
        <v/>
      </c>
      <c r="AC222" s="12">
        <f>Raw_Data!AF225</f>
        <v>0</v>
      </c>
      <c r="AD222" s="12" t="str">
        <f t="shared" si="32"/>
        <v/>
      </c>
      <c r="AE222" s="12" t="str">
        <f t="shared" si="33"/>
        <v/>
      </c>
      <c r="AF222" s="12" t="str">
        <f t="shared" si="34"/>
        <v/>
      </c>
      <c r="AG222" s="12">
        <f t="shared" si="35"/>
        <v>0</v>
      </c>
    </row>
    <row r="223" spans="1:33" ht="15" customHeight="1" x14ac:dyDescent="0.25">
      <c r="A223" s="12" t="str">
        <f>IF(Raw_Data!B226="","",Raw_Data!B226)</f>
        <v/>
      </c>
      <c r="B223" s="12">
        <f>IF(Raw_Data!X226&lt;&gt;"",Raw_Data!X226,Raw_Data!C226)</f>
        <v>0</v>
      </c>
      <c r="C223" s="12" t="str">
        <f>IF(Raw_Data!G226="","",Raw_Data!G226)</f>
        <v/>
      </c>
      <c r="D223" s="12" t="str">
        <f>IF(Raw_Data!H226="","",Raw_Data!H226)</f>
        <v/>
      </c>
      <c r="E223" s="12" t="str">
        <f>IF(Raw_Data!I226="","",Raw_Data!I226)</f>
        <v/>
      </c>
      <c r="F223" s="12" t="str">
        <f>IF(Raw_Data!J226="","",Raw_Data!J226)</f>
        <v/>
      </c>
      <c r="G223" s="12" t="str">
        <f>IF(Raw_Data!AH226&lt;&gt;"",Raw_Data!AH226,IF(Raw_Data!K226&lt;&gt;"",Raw_Data!K226,""))</f>
        <v/>
      </c>
      <c r="H223" s="12" t="str">
        <f>IF(Raw_Data!AI226&lt;&gt;"",Raw_Data!AI226,IF(Raw_Data!L226&lt;&gt;"",Raw_Data!L226,""))</f>
        <v/>
      </c>
      <c r="I223" s="12" t="str">
        <f t="shared" si="27"/>
        <v/>
      </c>
      <c r="J223" s="12" t="str">
        <f>IF(Raw_Data!M226="","",Raw_Data!M226)</f>
        <v/>
      </c>
      <c r="K223" s="12">
        <f>IF(Raw_Data!AJ226&lt;&gt;"",Raw_Data!AJ226,Raw_Data!N226)</f>
        <v>0</v>
      </c>
      <c r="L223" s="12">
        <f t="shared" si="28"/>
        <v>1</v>
      </c>
      <c r="M223" s="12" t="str">
        <f>IF(Raw_Data!AK226="","",Raw_Data!AK226)</f>
        <v/>
      </c>
      <c r="N223" s="12" t="str">
        <f>IF(Raw_Data!T226="","",Raw_Data!T226)</f>
        <v/>
      </c>
      <c r="O223" s="12" t="str">
        <f>IF(Raw_Data!AB226&lt;&gt;"",Raw_Data!AB226,IF(N223="tres_insatisfait",1,IF(N223="insatisfait",2,IF(N223="neutre",3,IF(N223="satisfait",4,IF(N223="tres_satisfait",5,""))))))</f>
        <v/>
      </c>
      <c r="P223" s="12">
        <f>IF(Raw_Data!AL226&lt;&gt;"",Raw_Data!AL226,Raw_Data!R226)</f>
        <v>0</v>
      </c>
      <c r="Q223" s="12">
        <f t="shared" si="29"/>
        <v>0</v>
      </c>
      <c r="R223" s="12" t="str">
        <f>IF(Raw_Data!AM226="","",Raw_Data!AM226)</f>
        <v/>
      </c>
      <c r="S223" s="12" t="str">
        <f t="shared" si="30"/>
        <v/>
      </c>
      <c r="T223" s="12" t="str">
        <f>IF(Raw_Data!AN226="","",Raw_Data!AN226)</f>
        <v/>
      </c>
      <c r="U223" s="12" t="str">
        <f t="shared" si="31"/>
        <v/>
      </c>
      <c r="V223" s="12" t="str">
        <f>IF(Raw_Data!AP226="","",IF(Raw_Data!AP226="oui",1,0))</f>
        <v/>
      </c>
      <c r="W223" s="12" t="str">
        <f>IF(Raw_Data!AQ226="","",IF(Raw_Data!AQ226="oui",1,0))</f>
        <v/>
      </c>
      <c r="X223" s="12" t="str">
        <f>IF(Raw_Data!AR226="","",IF(Raw_Data!AR226="oui",1,0))</f>
        <v/>
      </c>
      <c r="Y223" s="12" t="str">
        <f>IF(Raw_Data!AS226="","",IF(Raw_Data!AS226="oui",1,0))</f>
        <v/>
      </c>
      <c r="Z223" s="12" t="str">
        <f>IF(Raw_Data!V226="","",IF(Raw_Data!V226="oui",1,0))</f>
        <v/>
      </c>
      <c r="AA223" s="12" t="str">
        <f>IF(Raw_Data!W226="","",IF(Raw_Data!W226="oui",1,0))</f>
        <v/>
      </c>
      <c r="AB223" s="12" t="str">
        <f>IF(Raw_Data!Q226="","",IF(Raw_Data!Q226="oui",1,0))</f>
        <v/>
      </c>
      <c r="AC223" s="12">
        <f>Raw_Data!AF226</f>
        <v>0</v>
      </c>
      <c r="AD223" s="12" t="str">
        <f t="shared" si="32"/>
        <v/>
      </c>
      <c r="AE223" s="12" t="str">
        <f t="shared" si="33"/>
        <v/>
      </c>
      <c r="AF223" s="12" t="str">
        <f t="shared" si="34"/>
        <v/>
      </c>
      <c r="AG223" s="12">
        <f t="shared" si="35"/>
        <v>0</v>
      </c>
    </row>
    <row r="224" spans="1:33" ht="15" customHeight="1" x14ac:dyDescent="0.25">
      <c r="A224" s="12" t="str">
        <f>IF(Raw_Data!B227="","",Raw_Data!B227)</f>
        <v/>
      </c>
      <c r="B224" s="12">
        <f>IF(Raw_Data!X227&lt;&gt;"",Raw_Data!X227,Raw_Data!C227)</f>
        <v>0</v>
      </c>
      <c r="C224" s="12" t="str">
        <f>IF(Raw_Data!G227="","",Raw_Data!G227)</f>
        <v/>
      </c>
      <c r="D224" s="12" t="str">
        <f>IF(Raw_Data!H227="","",Raw_Data!H227)</f>
        <v/>
      </c>
      <c r="E224" s="12" t="str">
        <f>IF(Raw_Data!I227="","",Raw_Data!I227)</f>
        <v/>
      </c>
      <c r="F224" s="12" t="str">
        <f>IF(Raw_Data!J227="","",Raw_Data!J227)</f>
        <v/>
      </c>
      <c r="G224" s="12" t="str">
        <f>IF(Raw_Data!AH227&lt;&gt;"",Raw_Data!AH227,IF(Raw_Data!K227&lt;&gt;"",Raw_Data!K227,""))</f>
        <v/>
      </c>
      <c r="H224" s="12" t="str">
        <f>IF(Raw_Data!AI227&lt;&gt;"",Raw_Data!AI227,IF(Raw_Data!L227&lt;&gt;"",Raw_Data!L227,""))</f>
        <v/>
      </c>
      <c r="I224" s="12" t="str">
        <f t="shared" si="27"/>
        <v/>
      </c>
      <c r="J224" s="12" t="str">
        <f>IF(Raw_Data!M227="","",Raw_Data!M227)</f>
        <v/>
      </c>
      <c r="K224" s="12">
        <f>IF(Raw_Data!AJ227&lt;&gt;"",Raw_Data!AJ227,Raw_Data!N227)</f>
        <v>0</v>
      </c>
      <c r="L224" s="12">
        <f t="shared" si="28"/>
        <v>1</v>
      </c>
      <c r="M224" s="12" t="str">
        <f>IF(Raw_Data!AK227="","",Raw_Data!AK227)</f>
        <v/>
      </c>
      <c r="N224" s="12" t="str">
        <f>IF(Raw_Data!T227="","",Raw_Data!T227)</f>
        <v/>
      </c>
      <c r="O224" s="12" t="str">
        <f>IF(Raw_Data!AB227&lt;&gt;"",Raw_Data!AB227,IF(N224="tres_insatisfait",1,IF(N224="insatisfait",2,IF(N224="neutre",3,IF(N224="satisfait",4,IF(N224="tres_satisfait",5,""))))))</f>
        <v/>
      </c>
      <c r="P224" s="12">
        <f>IF(Raw_Data!AL227&lt;&gt;"",Raw_Data!AL227,Raw_Data!R227)</f>
        <v>0</v>
      </c>
      <c r="Q224" s="12">
        <f t="shared" si="29"/>
        <v>0</v>
      </c>
      <c r="R224" s="12" t="str">
        <f>IF(Raw_Data!AM227="","",Raw_Data!AM227)</f>
        <v/>
      </c>
      <c r="S224" s="12" t="str">
        <f t="shared" si="30"/>
        <v/>
      </c>
      <c r="T224" s="12" t="str">
        <f>IF(Raw_Data!AN227="","",Raw_Data!AN227)</f>
        <v/>
      </c>
      <c r="U224" s="12" t="str">
        <f t="shared" si="31"/>
        <v/>
      </c>
      <c r="V224" s="12" t="str">
        <f>IF(Raw_Data!AP227="","",IF(Raw_Data!AP227="oui",1,0))</f>
        <v/>
      </c>
      <c r="W224" s="12" t="str">
        <f>IF(Raw_Data!AQ227="","",IF(Raw_Data!AQ227="oui",1,0))</f>
        <v/>
      </c>
      <c r="X224" s="12" t="str">
        <f>IF(Raw_Data!AR227="","",IF(Raw_Data!AR227="oui",1,0))</f>
        <v/>
      </c>
      <c r="Y224" s="12" t="str">
        <f>IF(Raw_Data!AS227="","",IF(Raw_Data!AS227="oui",1,0))</f>
        <v/>
      </c>
      <c r="Z224" s="12" t="str">
        <f>IF(Raw_Data!V227="","",IF(Raw_Data!V227="oui",1,0))</f>
        <v/>
      </c>
      <c r="AA224" s="12" t="str">
        <f>IF(Raw_Data!W227="","",IF(Raw_Data!W227="oui",1,0))</f>
        <v/>
      </c>
      <c r="AB224" s="12" t="str">
        <f>IF(Raw_Data!Q227="","",IF(Raw_Data!Q227="oui",1,0))</f>
        <v/>
      </c>
      <c r="AC224" s="12">
        <f>Raw_Data!AF227</f>
        <v>0</v>
      </c>
      <c r="AD224" s="12" t="str">
        <f t="shared" si="32"/>
        <v/>
      </c>
      <c r="AE224" s="12" t="str">
        <f t="shared" si="33"/>
        <v/>
      </c>
      <c r="AF224" s="12" t="str">
        <f t="shared" si="34"/>
        <v/>
      </c>
      <c r="AG224" s="12">
        <f t="shared" si="35"/>
        <v>0</v>
      </c>
    </row>
    <row r="225" spans="1:33" ht="15" customHeight="1" x14ac:dyDescent="0.25">
      <c r="A225" s="12" t="str">
        <f>IF(Raw_Data!B228="","",Raw_Data!B228)</f>
        <v/>
      </c>
      <c r="B225" s="12">
        <f>IF(Raw_Data!X228&lt;&gt;"",Raw_Data!X228,Raw_Data!C228)</f>
        <v>0</v>
      </c>
      <c r="C225" s="12" t="str">
        <f>IF(Raw_Data!G228="","",Raw_Data!G228)</f>
        <v/>
      </c>
      <c r="D225" s="12" t="str">
        <f>IF(Raw_Data!H228="","",Raw_Data!H228)</f>
        <v/>
      </c>
      <c r="E225" s="12" t="str">
        <f>IF(Raw_Data!I228="","",Raw_Data!I228)</f>
        <v/>
      </c>
      <c r="F225" s="12" t="str">
        <f>IF(Raw_Data!J228="","",Raw_Data!J228)</f>
        <v/>
      </c>
      <c r="G225" s="12" t="str">
        <f>IF(Raw_Data!AH228&lt;&gt;"",Raw_Data!AH228,IF(Raw_Data!K228&lt;&gt;"",Raw_Data!K228,""))</f>
        <v/>
      </c>
      <c r="H225" s="12" t="str">
        <f>IF(Raw_Data!AI228&lt;&gt;"",Raw_Data!AI228,IF(Raw_Data!L228&lt;&gt;"",Raw_Data!L228,""))</f>
        <v/>
      </c>
      <c r="I225" s="12" t="str">
        <f t="shared" si="27"/>
        <v/>
      </c>
      <c r="J225" s="12" t="str">
        <f>IF(Raw_Data!M228="","",Raw_Data!M228)</f>
        <v/>
      </c>
      <c r="K225" s="12">
        <f>IF(Raw_Data!AJ228&lt;&gt;"",Raw_Data!AJ228,Raw_Data!N228)</f>
        <v>0</v>
      </c>
      <c r="L225" s="12">
        <f t="shared" si="28"/>
        <v>1</v>
      </c>
      <c r="M225" s="12" t="str">
        <f>IF(Raw_Data!AK228="","",Raw_Data!AK228)</f>
        <v/>
      </c>
      <c r="N225" s="12" t="str">
        <f>IF(Raw_Data!T228="","",Raw_Data!T228)</f>
        <v/>
      </c>
      <c r="O225" s="12" t="str">
        <f>IF(Raw_Data!AB228&lt;&gt;"",Raw_Data!AB228,IF(N225="tres_insatisfait",1,IF(N225="insatisfait",2,IF(N225="neutre",3,IF(N225="satisfait",4,IF(N225="tres_satisfait",5,""))))))</f>
        <v/>
      </c>
      <c r="P225" s="12">
        <f>IF(Raw_Data!AL228&lt;&gt;"",Raw_Data!AL228,Raw_Data!R228)</f>
        <v>0</v>
      </c>
      <c r="Q225" s="12">
        <f t="shared" si="29"/>
        <v>0</v>
      </c>
      <c r="R225" s="12" t="str">
        <f>IF(Raw_Data!AM228="","",Raw_Data!AM228)</f>
        <v/>
      </c>
      <c r="S225" s="12" t="str">
        <f t="shared" si="30"/>
        <v/>
      </c>
      <c r="T225" s="12" t="str">
        <f>IF(Raw_Data!AN228="","",Raw_Data!AN228)</f>
        <v/>
      </c>
      <c r="U225" s="12" t="str">
        <f t="shared" si="31"/>
        <v/>
      </c>
      <c r="V225" s="12" t="str">
        <f>IF(Raw_Data!AP228="","",IF(Raw_Data!AP228="oui",1,0))</f>
        <v/>
      </c>
      <c r="W225" s="12" t="str">
        <f>IF(Raw_Data!AQ228="","",IF(Raw_Data!AQ228="oui",1,0))</f>
        <v/>
      </c>
      <c r="X225" s="12" t="str">
        <f>IF(Raw_Data!AR228="","",IF(Raw_Data!AR228="oui",1,0))</f>
        <v/>
      </c>
      <c r="Y225" s="12" t="str">
        <f>IF(Raw_Data!AS228="","",IF(Raw_Data!AS228="oui",1,0))</f>
        <v/>
      </c>
      <c r="Z225" s="12" t="str">
        <f>IF(Raw_Data!V228="","",IF(Raw_Data!V228="oui",1,0))</f>
        <v/>
      </c>
      <c r="AA225" s="12" t="str">
        <f>IF(Raw_Data!W228="","",IF(Raw_Data!W228="oui",1,0))</f>
        <v/>
      </c>
      <c r="AB225" s="12" t="str">
        <f>IF(Raw_Data!Q228="","",IF(Raw_Data!Q228="oui",1,0))</f>
        <v/>
      </c>
      <c r="AC225" s="12">
        <f>Raw_Data!AF228</f>
        <v>0</v>
      </c>
      <c r="AD225" s="12" t="str">
        <f t="shared" si="32"/>
        <v/>
      </c>
      <c r="AE225" s="12" t="str">
        <f t="shared" si="33"/>
        <v/>
      </c>
      <c r="AF225" s="12" t="str">
        <f t="shared" si="34"/>
        <v/>
      </c>
      <c r="AG225" s="12">
        <f t="shared" si="35"/>
        <v>0</v>
      </c>
    </row>
    <row r="226" spans="1:33" ht="15" customHeight="1" x14ac:dyDescent="0.25">
      <c r="A226" s="12" t="str">
        <f>IF(Raw_Data!B229="","",Raw_Data!B229)</f>
        <v/>
      </c>
      <c r="B226" s="12">
        <f>IF(Raw_Data!X229&lt;&gt;"",Raw_Data!X229,Raw_Data!C229)</f>
        <v>0</v>
      </c>
      <c r="C226" s="12" t="str">
        <f>IF(Raw_Data!G229="","",Raw_Data!G229)</f>
        <v/>
      </c>
      <c r="D226" s="12" t="str">
        <f>IF(Raw_Data!H229="","",Raw_Data!H229)</f>
        <v/>
      </c>
      <c r="E226" s="12" t="str">
        <f>IF(Raw_Data!I229="","",Raw_Data!I229)</f>
        <v/>
      </c>
      <c r="F226" s="12" t="str">
        <f>IF(Raw_Data!J229="","",Raw_Data!J229)</f>
        <v/>
      </c>
      <c r="G226" s="12" t="str">
        <f>IF(Raw_Data!AH229&lt;&gt;"",Raw_Data!AH229,IF(Raw_Data!K229&lt;&gt;"",Raw_Data!K229,""))</f>
        <v/>
      </c>
      <c r="H226" s="12" t="str">
        <f>IF(Raw_Data!AI229&lt;&gt;"",Raw_Data!AI229,IF(Raw_Data!L229&lt;&gt;"",Raw_Data!L229,""))</f>
        <v/>
      </c>
      <c r="I226" s="12" t="str">
        <f t="shared" si="27"/>
        <v/>
      </c>
      <c r="J226" s="12" t="str">
        <f>IF(Raw_Data!M229="","",Raw_Data!M229)</f>
        <v/>
      </c>
      <c r="K226" s="12">
        <f>IF(Raw_Data!AJ229&lt;&gt;"",Raw_Data!AJ229,Raw_Data!N229)</f>
        <v>0</v>
      </c>
      <c r="L226" s="12">
        <f t="shared" si="28"/>
        <v>1</v>
      </c>
      <c r="M226" s="12" t="str">
        <f>IF(Raw_Data!AK229="","",Raw_Data!AK229)</f>
        <v/>
      </c>
      <c r="N226" s="12" t="str">
        <f>IF(Raw_Data!T229="","",Raw_Data!T229)</f>
        <v/>
      </c>
      <c r="O226" s="12" t="str">
        <f>IF(Raw_Data!AB229&lt;&gt;"",Raw_Data!AB229,IF(N226="tres_insatisfait",1,IF(N226="insatisfait",2,IF(N226="neutre",3,IF(N226="satisfait",4,IF(N226="tres_satisfait",5,""))))))</f>
        <v/>
      </c>
      <c r="P226" s="12">
        <f>IF(Raw_Data!AL229&lt;&gt;"",Raw_Data!AL229,Raw_Data!R229)</f>
        <v>0</v>
      </c>
      <c r="Q226" s="12">
        <f t="shared" si="29"/>
        <v>0</v>
      </c>
      <c r="R226" s="12" t="str">
        <f>IF(Raw_Data!AM229="","",Raw_Data!AM229)</f>
        <v/>
      </c>
      <c r="S226" s="12" t="str">
        <f t="shared" si="30"/>
        <v/>
      </c>
      <c r="T226" s="12" t="str">
        <f>IF(Raw_Data!AN229="","",Raw_Data!AN229)</f>
        <v/>
      </c>
      <c r="U226" s="12" t="str">
        <f t="shared" si="31"/>
        <v/>
      </c>
      <c r="V226" s="12" t="str">
        <f>IF(Raw_Data!AP229="","",IF(Raw_Data!AP229="oui",1,0))</f>
        <v/>
      </c>
      <c r="W226" s="12" t="str">
        <f>IF(Raw_Data!AQ229="","",IF(Raw_Data!AQ229="oui",1,0))</f>
        <v/>
      </c>
      <c r="X226" s="12" t="str">
        <f>IF(Raw_Data!AR229="","",IF(Raw_Data!AR229="oui",1,0))</f>
        <v/>
      </c>
      <c r="Y226" s="12" t="str">
        <f>IF(Raw_Data!AS229="","",IF(Raw_Data!AS229="oui",1,0))</f>
        <v/>
      </c>
      <c r="Z226" s="12" t="str">
        <f>IF(Raw_Data!V229="","",IF(Raw_Data!V229="oui",1,0))</f>
        <v/>
      </c>
      <c r="AA226" s="12" t="str">
        <f>IF(Raw_Data!W229="","",IF(Raw_Data!W229="oui",1,0))</f>
        <v/>
      </c>
      <c r="AB226" s="12" t="str">
        <f>IF(Raw_Data!Q229="","",IF(Raw_Data!Q229="oui",1,0))</f>
        <v/>
      </c>
      <c r="AC226" s="12">
        <f>Raw_Data!AF229</f>
        <v>0</v>
      </c>
      <c r="AD226" s="12" t="str">
        <f t="shared" si="32"/>
        <v/>
      </c>
      <c r="AE226" s="12" t="str">
        <f t="shared" si="33"/>
        <v/>
      </c>
      <c r="AF226" s="12" t="str">
        <f t="shared" si="34"/>
        <v/>
      </c>
      <c r="AG226" s="12">
        <f t="shared" si="35"/>
        <v>0</v>
      </c>
    </row>
    <row r="227" spans="1:33" ht="15" customHeight="1" x14ac:dyDescent="0.25">
      <c r="A227" s="12" t="str">
        <f>IF(Raw_Data!B230="","",Raw_Data!B230)</f>
        <v/>
      </c>
      <c r="B227" s="12">
        <f>IF(Raw_Data!X230&lt;&gt;"",Raw_Data!X230,Raw_Data!C230)</f>
        <v>0</v>
      </c>
      <c r="C227" s="12" t="str">
        <f>IF(Raw_Data!G230="","",Raw_Data!G230)</f>
        <v/>
      </c>
      <c r="D227" s="12" t="str">
        <f>IF(Raw_Data!H230="","",Raw_Data!H230)</f>
        <v/>
      </c>
      <c r="E227" s="12" t="str">
        <f>IF(Raw_Data!I230="","",Raw_Data!I230)</f>
        <v/>
      </c>
      <c r="F227" s="12" t="str">
        <f>IF(Raw_Data!J230="","",Raw_Data!J230)</f>
        <v/>
      </c>
      <c r="G227" s="12" t="str">
        <f>IF(Raw_Data!AH230&lt;&gt;"",Raw_Data!AH230,IF(Raw_Data!K230&lt;&gt;"",Raw_Data!K230,""))</f>
        <v/>
      </c>
      <c r="H227" s="12" t="str">
        <f>IF(Raw_Data!AI230&lt;&gt;"",Raw_Data!AI230,IF(Raw_Data!L230&lt;&gt;"",Raw_Data!L230,""))</f>
        <v/>
      </c>
      <c r="I227" s="12" t="str">
        <f t="shared" si="27"/>
        <v/>
      </c>
      <c r="J227" s="12" t="str">
        <f>IF(Raw_Data!M230="","",Raw_Data!M230)</f>
        <v/>
      </c>
      <c r="K227" s="12">
        <f>IF(Raw_Data!AJ230&lt;&gt;"",Raw_Data!AJ230,Raw_Data!N230)</f>
        <v>0</v>
      </c>
      <c r="L227" s="12">
        <f t="shared" si="28"/>
        <v>1</v>
      </c>
      <c r="M227" s="12" t="str">
        <f>IF(Raw_Data!AK230="","",Raw_Data!AK230)</f>
        <v/>
      </c>
      <c r="N227" s="12" t="str">
        <f>IF(Raw_Data!T230="","",Raw_Data!T230)</f>
        <v/>
      </c>
      <c r="O227" s="12" t="str">
        <f>IF(Raw_Data!AB230&lt;&gt;"",Raw_Data!AB230,IF(N227="tres_insatisfait",1,IF(N227="insatisfait",2,IF(N227="neutre",3,IF(N227="satisfait",4,IF(N227="tres_satisfait",5,""))))))</f>
        <v/>
      </c>
      <c r="P227" s="12">
        <f>IF(Raw_Data!AL230&lt;&gt;"",Raw_Data!AL230,Raw_Data!R230)</f>
        <v>0</v>
      </c>
      <c r="Q227" s="12">
        <f t="shared" si="29"/>
        <v>0</v>
      </c>
      <c r="R227" s="12" t="str">
        <f>IF(Raw_Data!AM230="","",Raw_Data!AM230)</f>
        <v/>
      </c>
      <c r="S227" s="12" t="str">
        <f t="shared" si="30"/>
        <v/>
      </c>
      <c r="T227" s="12" t="str">
        <f>IF(Raw_Data!AN230="","",Raw_Data!AN230)</f>
        <v/>
      </c>
      <c r="U227" s="12" t="str">
        <f t="shared" si="31"/>
        <v/>
      </c>
      <c r="V227" s="12" t="str">
        <f>IF(Raw_Data!AP230="","",IF(Raw_Data!AP230="oui",1,0))</f>
        <v/>
      </c>
      <c r="W227" s="12" t="str">
        <f>IF(Raw_Data!AQ230="","",IF(Raw_Data!AQ230="oui",1,0))</f>
        <v/>
      </c>
      <c r="X227" s="12" t="str">
        <f>IF(Raw_Data!AR230="","",IF(Raw_Data!AR230="oui",1,0))</f>
        <v/>
      </c>
      <c r="Y227" s="12" t="str">
        <f>IF(Raw_Data!AS230="","",IF(Raw_Data!AS230="oui",1,0))</f>
        <v/>
      </c>
      <c r="Z227" s="12" t="str">
        <f>IF(Raw_Data!V230="","",IF(Raw_Data!V230="oui",1,0))</f>
        <v/>
      </c>
      <c r="AA227" s="12" t="str">
        <f>IF(Raw_Data!W230="","",IF(Raw_Data!W230="oui",1,0))</f>
        <v/>
      </c>
      <c r="AB227" s="12" t="str">
        <f>IF(Raw_Data!Q230="","",IF(Raw_Data!Q230="oui",1,0))</f>
        <v/>
      </c>
      <c r="AC227" s="12">
        <f>Raw_Data!AF230</f>
        <v>0</v>
      </c>
      <c r="AD227" s="12" t="str">
        <f t="shared" si="32"/>
        <v/>
      </c>
      <c r="AE227" s="12" t="str">
        <f t="shared" si="33"/>
        <v/>
      </c>
      <c r="AF227" s="12" t="str">
        <f t="shared" si="34"/>
        <v/>
      </c>
      <c r="AG227" s="12">
        <f t="shared" si="35"/>
        <v>0</v>
      </c>
    </row>
    <row r="228" spans="1:33" ht="15" customHeight="1" x14ac:dyDescent="0.25">
      <c r="A228" s="12" t="str">
        <f>IF(Raw_Data!B231="","",Raw_Data!B231)</f>
        <v/>
      </c>
      <c r="B228" s="12">
        <f>IF(Raw_Data!X231&lt;&gt;"",Raw_Data!X231,Raw_Data!C231)</f>
        <v>0</v>
      </c>
      <c r="C228" s="12" t="str">
        <f>IF(Raw_Data!G231="","",Raw_Data!G231)</f>
        <v/>
      </c>
      <c r="D228" s="12" t="str">
        <f>IF(Raw_Data!H231="","",Raw_Data!H231)</f>
        <v/>
      </c>
      <c r="E228" s="12" t="str">
        <f>IF(Raw_Data!I231="","",Raw_Data!I231)</f>
        <v/>
      </c>
      <c r="F228" s="12" t="str">
        <f>IF(Raw_Data!J231="","",Raw_Data!J231)</f>
        <v/>
      </c>
      <c r="G228" s="12" t="str">
        <f>IF(Raw_Data!AH231&lt;&gt;"",Raw_Data!AH231,IF(Raw_Data!K231&lt;&gt;"",Raw_Data!K231,""))</f>
        <v/>
      </c>
      <c r="H228" s="12" t="str">
        <f>IF(Raw_Data!AI231&lt;&gt;"",Raw_Data!AI231,IF(Raw_Data!L231&lt;&gt;"",Raw_Data!L231,""))</f>
        <v/>
      </c>
      <c r="I228" s="12" t="str">
        <f t="shared" si="27"/>
        <v/>
      </c>
      <c r="J228" s="12" t="str">
        <f>IF(Raw_Data!M231="","",Raw_Data!M231)</f>
        <v/>
      </c>
      <c r="K228" s="12">
        <f>IF(Raw_Data!AJ231&lt;&gt;"",Raw_Data!AJ231,Raw_Data!N231)</f>
        <v>0</v>
      </c>
      <c r="L228" s="12">
        <f t="shared" si="28"/>
        <v>1</v>
      </c>
      <c r="M228" s="12" t="str">
        <f>IF(Raw_Data!AK231="","",Raw_Data!AK231)</f>
        <v/>
      </c>
      <c r="N228" s="12" t="str">
        <f>IF(Raw_Data!T231="","",Raw_Data!T231)</f>
        <v/>
      </c>
      <c r="O228" s="12" t="str">
        <f>IF(Raw_Data!AB231&lt;&gt;"",Raw_Data!AB231,IF(N228="tres_insatisfait",1,IF(N228="insatisfait",2,IF(N228="neutre",3,IF(N228="satisfait",4,IF(N228="tres_satisfait",5,""))))))</f>
        <v/>
      </c>
      <c r="P228" s="12">
        <f>IF(Raw_Data!AL231&lt;&gt;"",Raw_Data!AL231,Raw_Data!R231)</f>
        <v>0</v>
      </c>
      <c r="Q228" s="12">
        <f t="shared" si="29"/>
        <v>0</v>
      </c>
      <c r="R228" s="12" t="str">
        <f>IF(Raw_Data!AM231="","",Raw_Data!AM231)</f>
        <v/>
      </c>
      <c r="S228" s="12" t="str">
        <f t="shared" si="30"/>
        <v/>
      </c>
      <c r="T228" s="12" t="str">
        <f>IF(Raw_Data!AN231="","",Raw_Data!AN231)</f>
        <v/>
      </c>
      <c r="U228" s="12" t="str">
        <f t="shared" si="31"/>
        <v/>
      </c>
      <c r="V228" s="12" t="str">
        <f>IF(Raw_Data!AP231="","",IF(Raw_Data!AP231="oui",1,0))</f>
        <v/>
      </c>
      <c r="W228" s="12" t="str">
        <f>IF(Raw_Data!AQ231="","",IF(Raw_Data!AQ231="oui",1,0))</f>
        <v/>
      </c>
      <c r="X228" s="12" t="str">
        <f>IF(Raw_Data!AR231="","",IF(Raw_Data!AR231="oui",1,0))</f>
        <v/>
      </c>
      <c r="Y228" s="12" t="str">
        <f>IF(Raw_Data!AS231="","",IF(Raw_Data!AS231="oui",1,0))</f>
        <v/>
      </c>
      <c r="Z228" s="12" t="str">
        <f>IF(Raw_Data!V231="","",IF(Raw_Data!V231="oui",1,0))</f>
        <v/>
      </c>
      <c r="AA228" s="12" t="str">
        <f>IF(Raw_Data!W231="","",IF(Raw_Data!W231="oui",1,0))</f>
        <v/>
      </c>
      <c r="AB228" s="12" t="str">
        <f>IF(Raw_Data!Q231="","",IF(Raw_Data!Q231="oui",1,0))</f>
        <v/>
      </c>
      <c r="AC228" s="12">
        <f>Raw_Data!AF231</f>
        <v>0</v>
      </c>
      <c r="AD228" s="12" t="str">
        <f t="shared" si="32"/>
        <v/>
      </c>
      <c r="AE228" s="12" t="str">
        <f t="shared" si="33"/>
        <v/>
      </c>
      <c r="AF228" s="12" t="str">
        <f t="shared" si="34"/>
        <v/>
      </c>
      <c r="AG228" s="12">
        <f t="shared" si="35"/>
        <v>0</v>
      </c>
    </row>
    <row r="229" spans="1:33" ht="15" customHeight="1" x14ac:dyDescent="0.25">
      <c r="A229" s="12" t="str">
        <f>IF(Raw_Data!B232="","",Raw_Data!B232)</f>
        <v/>
      </c>
      <c r="B229" s="12">
        <f>IF(Raw_Data!X232&lt;&gt;"",Raw_Data!X232,Raw_Data!C232)</f>
        <v>0</v>
      </c>
      <c r="C229" s="12" t="str">
        <f>IF(Raw_Data!G232="","",Raw_Data!G232)</f>
        <v/>
      </c>
      <c r="D229" s="12" t="str">
        <f>IF(Raw_Data!H232="","",Raw_Data!H232)</f>
        <v/>
      </c>
      <c r="E229" s="12" t="str">
        <f>IF(Raw_Data!I232="","",Raw_Data!I232)</f>
        <v/>
      </c>
      <c r="F229" s="12" t="str">
        <f>IF(Raw_Data!J232="","",Raw_Data!J232)</f>
        <v/>
      </c>
      <c r="G229" s="12" t="str">
        <f>IF(Raw_Data!AH232&lt;&gt;"",Raw_Data!AH232,IF(Raw_Data!K232&lt;&gt;"",Raw_Data!K232,""))</f>
        <v/>
      </c>
      <c r="H229" s="12" t="str">
        <f>IF(Raw_Data!AI232&lt;&gt;"",Raw_Data!AI232,IF(Raw_Data!L232&lt;&gt;"",Raw_Data!L232,""))</f>
        <v/>
      </c>
      <c r="I229" s="12" t="str">
        <f t="shared" si="27"/>
        <v/>
      </c>
      <c r="J229" s="12" t="str">
        <f>IF(Raw_Data!M232="","",Raw_Data!M232)</f>
        <v/>
      </c>
      <c r="K229" s="12">
        <f>IF(Raw_Data!AJ232&lt;&gt;"",Raw_Data!AJ232,Raw_Data!N232)</f>
        <v>0</v>
      </c>
      <c r="L229" s="12">
        <f t="shared" si="28"/>
        <v>1</v>
      </c>
      <c r="M229" s="12" t="str">
        <f>IF(Raw_Data!AK232="","",Raw_Data!AK232)</f>
        <v/>
      </c>
      <c r="N229" s="12" t="str">
        <f>IF(Raw_Data!T232="","",Raw_Data!T232)</f>
        <v/>
      </c>
      <c r="O229" s="12" t="str">
        <f>IF(Raw_Data!AB232&lt;&gt;"",Raw_Data!AB232,IF(N229="tres_insatisfait",1,IF(N229="insatisfait",2,IF(N229="neutre",3,IF(N229="satisfait",4,IF(N229="tres_satisfait",5,""))))))</f>
        <v/>
      </c>
      <c r="P229" s="12">
        <f>IF(Raw_Data!AL232&lt;&gt;"",Raw_Data!AL232,Raw_Data!R232)</f>
        <v>0</v>
      </c>
      <c r="Q229" s="12">
        <f t="shared" si="29"/>
        <v>0</v>
      </c>
      <c r="R229" s="12" t="str">
        <f>IF(Raw_Data!AM232="","",Raw_Data!AM232)</f>
        <v/>
      </c>
      <c r="S229" s="12" t="str">
        <f t="shared" si="30"/>
        <v/>
      </c>
      <c r="T229" s="12" t="str">
        <f>IF(Raw_Data!AN232="","",Raw_Data!AN232)</f>
        <v/>
      </c>
      <c r="U229" s="12" t="str">
        <f t="shared" si="31"/>
        <v/>
      </c>
      <c r="V229" s="12" t="str">
        <f>IF(Raw_Data!AP232="","",IF(Raw_Data!AP232="oui",1,0))</f>
        <v/>
      </c>
      <c r="W229" s="12" t="str">
        <f>IF(Raw_Data!AQ232="","",IF(Raw_Data!AQ232="oui",1,0))</f>
        <v/>
      </c>
      <c r="X229" s="12" t="str">
        <f>IF(Raw_Data!AR232="","",IF(Raw_Data!AR232="oui",1,0))</f>
        <v/>
      </c>
      <c r="Y229" s="12" t="str">
        <f>IF(Raw_Data!AS232="","",IF(Raw_Data!AS232="oui",1,0))</f>
        <v/>
      </c>
      <c r="Z229" s="12" t="str">
        <f>IF(Raw_Data!V232="","",IF(Raw_Data!V232="oui",1,0))</f>
        <v/>
      </c>
      <c r="AA229" s="12" t="str">
        <f>IF(Raw_Data!W232="","",IF(Raw_Data!W232="oui",1,0))</f>
        <v/>
      </c>
      <c r="AB229" s="12" t="str">
        <f>IF(Raw_Data!Q232="","",IF(Raw_Data!Q232="oui",1,0))</f>
        <v/>
      </c>
      <c r="AC229" s="12">
        <f>Raw_Data!AF232</f>
        <v>0</v>
      </c>
      <c r="AD229" s="12" t="str">
        <f t="shared" si="32"/>
        <v/>
      </c>
      <c r="AE229" s="12" t="str">
        <f t="shared" si="33"/>
        <v/>
      </c>
      <c r="AF229" s="12" t="str">
        <f t="shared" si="34"/>
        <v/>
      </c>
      <c r="AG229" s="12">
        <f t="shared" si="35"/>
        <v>0</v>
      </c>
    </row>
    <row r="230" spans="1:33" ht="15" customHeight="1" x14ac:dyDescent="0.25">
      <c r="A230" s="12" t="str">
        <f>IF(Raw_Data!B233="","",Raw_Data!B233)</f>
        <v/>
      </c>
      <c r="B230" s="12">
        <f>IF(Raw_Data!X233&lt;&gt;"",Raw_Data!X233,Raw_Data!C233)</f>
        <v>0</v>
      </c>
      <c r="C230" s="12" t="str">
        <f>IF(Raw_Data!G233="","",Raw_Data!G233)</f>
        <v/>
      </c>
      <c r="D230" s="12" t="str">
        <f>IF(Raw_Data!H233="","",Raw_Data!H233)</f>
        <v/>
      </c>
      <c r="E230" s="12" t="str">
        <f>IF(Raw_Data!I233="","",Raw_Data!I233)</f>
        <v/>
      </c>
      <c r="F230" s="12" t="str">
        <f>IF(Raw_Data!J233="","",Raw_Data!J233)</f>
        <v/>
      </c>
      <c r="G230" s="12" t="str">
        <f>IF(Raw_Data!AH233&lt;&gt;"",Raw_Data!AH233,IF(Raw_Data!K233&lt;&gt;"",Raw_Data!K233,""))</f>
        <v/>
      </c>
      <c r="H230" s="12" t="str">
        <f>IF(Raw_Data!AI233&lt;&gt;"",Raw_Data!AI233,IF(Raw_Data!L233&lt;&gt;"",Raw_Data!L233,""))</f>
        <v/>
      </c>
      <c r="I230" s="12" t="str">
        <f t="shared" si="27"/>
        <v/>
      </c>
      <c r="J230" s="12" t="str">
        <f>IF(Raw_Data!M233="","",Raw_Data!M233)</f>
        <v/>
      </c>
      <c r="K230" s="12">
        <f>IF(Raw_Data!AJ233&lt;&gt;"",Raw_Data!AJ233,Raw_Data!N233)</f>
        <v>0</v>
      </c>
      <c r="L230" s="12">
        <f t="shared" si="28"/>
        <v>1</v>
      </c>
      <c r="M230" s="12" t="str">
        <f>IF(Raw_Data!AK233="","",Raw_Data!AK233)</f>
        <v/>
      </c>
      <c r="N230" s="12" t="str">
        <f>IF(Raw_Data!T233="","",Raw_Data!T233)</f>
        <v/>
      </c>
      <c r="O230" s="12" t="str">
        <f>IF(Raw_Data!AB233&lt;&gt;"",Raw_Data!AB233,IF(N230="tres_insatisfait",1,IF(N230="insatisfait",2,IF(N230="neutre",3,IF(N230="satisfait",4,IF(N230="tres_satisfait",5,""))))))</f>
        <v/>
      </c>
      <c r="P230" s="12">
        <f>IF(Raw_Data!AL233&lt;&gt;"",Raw_Data!AL233,Raw_Data!R233)</f>
        <v>0</v>
      </c>
      <c r="Q230" s="12">
        <f t="shared" si="29"/>
        <v>0</v>
      </c>
      <c r="R230" s="12" t="str">
        <f>IF(Raw_Data!AM233="","",Raw_Data!AM233)</f>
        <v/>
      </c>
      <c r="S230" s="12" t="str">
        <f t="shared" si="30"/>
        <v/>
      </c>
      <c r="T230" s="12" t="str">
        <f>IF(Raw_Data!AN233="","",Raw_Data!AN233)</f>
        <v/>
      </c>
      <c r="U230" s="12" t="str">
        <f t="shared" si="31"/>
        <v/>
      </c>
      <c r="V230" s="12" t="str">
        <f>IF(Raw_Data!AP233="","",IF(Raw_Data!AP233="oui",1,0))</f>
        <v/>
      </c>
      <c r="W230" s="12" t="str">
        <f>IF(Raw_Data!AQ233="","",IF(Raw_Data!AQ233="oui",1,0))</f>
        <v/>
      </c>
      <c r="X230" s="12" t="str">
        <f>IF(Raw_Data!AR233="","",IF(Raw_Data!AR233="oui",1,0))</f>
        <v/>
      </c>
      <c r="Y230" s="12" t="str">
        <f>IF(Raw_Data!AS233="","",IF(Raw_Data!AS233="oui",1,0))</f>
        <v/>
      </c>
      <c r="Z230" s="12" t="str">
        <f>IF(Raw_Data!V233="","",IF(Raw_Data!V233="oui",1,0))</f>
        <v/>
      </c>
      <c r="AA230" s="12" t="str">
        <f>IF(Raw_Data!W233="","",IF(Raw_Data!W233="oui",1,0))</f>
        <v/>
      </c>
      <c r="AB230" s="12" t="str">
        <f>IF(Raw_Data!Q233="","",IF(Raw_Data!Q233="oui",1,0))</f>
        <v/>
      </c>
      <c r="AC230" s="12">
        <f>Raw_Data!AF233</f>
        <v>0</v>
      </c>
      <c r="AD230" s="12" t="str">
        <f t="shared" si="32"/>
        <v/>
      </c>
      <c r="AE230" s="12" t="str">
        <f t="shared" si="33"/>
        <v/>
      </c>
      <c r="AF230" s="12" t="str">
        <f t="shared" si="34"/>
        <v/>
      </c>
      <c r="AG230" s="12">
        <f t="shared" si="35"/>
        <v>0</v>
      </c>
    </row>
    <row r="231" spans="1:33" ht="15" customHeight="1" x14ac:dyDescent="0.25">
      <c r="A231" s="12" t="str">
        <f>IF(Raw_Data!B234="","",Raw_Data!B234)</f>
        <v/>
      </c>
      <c r="B231" s="12">
        <f>IF(Raw_Data!X234&lt;&gt;"",Raw_Data!X234,Raw_Data!C234)</f>
        <v>0</v>
      </c>
      <c r="C231" s="12" t="str">
        <f>IF(Raw_Data!G234="","",Raw_Data!G234)</f>
        <v/>
      </c>
      <c r="D231" s="12" t="str">
        <f>IF(Raw_Data!H234="","",Raw_Data!H234)</f>
        <v/>
      </c>
      <c r="E231" s="12" t="str">
        <f>IF(Raw_Data!I234="","",Raw_Data!I234)</f>
        <v/>
      </c>
      <c r="F231" s="12" t="str">
        <f>IF(Raw_Data!J234="","",Raw_Data!J234)</f>
        <v/>
      </c>
      <c r="G231" s="12" t="str">
        <f>IF(Raw_Data!AH234&lt;&gt;"",Raw_Data!AH234,IF(Raw_Data!K234&lt;&gt;"",Raw_Data!K234,""))</f>
        <v/>
      </c>
      <c r="H231" s="12" t="str">
        <f>IF(Raw_Data!AI234&lt;&gt;"",Raw_Data!AI234,IF(Raw_Data!L234&lt;&gt;"",Raw_Data!L234,""))</f>
        <v/>
      </c>
      <c r="I231" s="12" t="str">
        <f t="shared" si="27"/>
        <v/>
      </c>
      <c r="J231" s="12" t="str">
        <f>IF(Raw_Data!M234="","",Raw_Data!M234)</f>
        <v/>
      </c>
      <c r="K231" s="12">
        <f>IF(Raw_Data!AJ234&lt;&gt;"",Raw_Data!AJ234,Raw_Data!N234)</f>
        <v>0</v>
      </c>
      <c r="L231" s="12">
        <f t="shared" si="28"/>
        <v>1</v>
      </c>
      <c r="M231" s="12" t="str">
        <f>IF(Raw_Data!AK234="","",Raw_Data!AK234)</f>
        <v/>
      </c>
      <c r="N231" s="12" t="str">
        <f>IF(Raw_Data!T234="","",Raw_Data!T234)</f>
        <v/>
      </c>
      <c r="O231" s="12" t="str">
        <f>IF(Raw_Data!AB234&lt;&gt;"",Raw_Data!AB234,IF(N231="tres_insatisfait",1,IF(N231="insatisfait",2,IF(N231="neutre",3,IF(N231="satisfait",4,IF(N231="tres_satisfait",5,""))))))</f>
        <v/>
      </c>
      <c r="P231" s="12">
        <f>IF(Raw_Data!AL234&lt;&gt;"",Raw_Data!AL234,Raw_Data!R234)</f>
        <v>0</v>
      </c>
      <c r="Q231" s="12">
        <f t="shared" si="29"/>
        <v>0</v>
      </c>
      <c r="R231" s="12" t="str">
        <f>IF(Raw_Data!AM234="","",Raw_Data!AM234)</f>
        <v/>
      </c>
      <c r="S231" s="12" t="str">
        <f t="shared" si="30"/>
        <v/>
      </c>
      <c r="T231" s="12" t="str">
        <f>IF(Raw_Data!AN234="","",Raw_Data!AN234)</f>
        <v/>
      </c>
      <c r="U231" s="12" t="str">
        <f t="shared" si="31"/>
        <v/>
      </c>
      <c r="V231" s="12" t="str">
        <f>IF(Raw_Data!AP234="","",IF(Raw_Data!AP234="oui",1,0))</f>
        <v/>
      </c>
      <c r="W231" s="12" t="str">
        <f>IF(Raw_Data!AQ234="","",IF(Raw_Data!AQ234="oui",1,0))</f>
        <v/>
      </c>
      <c r="X231" s="12" t="str">
        <f>IF(Raw_Data!AR234="","",IF(Raw_Data!AR234="oui",1,0))</f>
        <v/>
      </c>
      <c r="Y231" s="12" t="str">
        <f>IF(Raw_Data!AS234="","",IF(Raw_Data!AS234="oui",1,0))</f>
        <v/>
      </c>
      <c r="Z231" s="12" t="str">
        <f>IF(Raw_Data!V234="","",IF(Raw_Data!V234="oui",1,0))</f>
        <v/>
      </c>
      <c r="AA231" s="12" t="str">
        <f>IF(Raw_Data!W234="","",IF(Raw_Data!W234="oui",1,0))</f>
        <v/>
      </c>
      <c r="AB231" s="12" t="str">
        <f>IF(Raw_Data!Q234="","",IF(Raw_Data!Q234="oui",1,0))</f>
        <v/>
      </c>
      <c r="AC231" s="12">
        <f>Raw_Data!AF234</f>
        <v>0</v>
      </c>
      <c r="AD231" s="12" t="str">
        <f t="shared" si="32"/>
        <v/>
      </c>
      <c r="AE231" s="12" t="str">
        <f t="shared" si="33"/>
        <v/>
      </c>
      <c r="AF231" s="12" t="str">
        <f t="shared" si="34"/>
        <v/>
      </c>
      <c r="AG231" s="12">
        <f t="shared" si="35"/>
        <v>0</v>
      </c>
    </row>
    <row r="232" spans="1:33" ht="15" customHeight="1" x14ac:dyDescent="0.25">
      <c r="A232" s="12" t="str">
        <f>IF(Raw_Data!B235="","",Raw_Data!B235)</f>
        <v/>
      </c>
      <c r="B232" s="12">
        <f>IF(Raw_Data!X235&lt;&gt;"",Raw_Data!X235,Raw_Data!C235)</f>
        <v>0</v>
      </c>
      <c r="C232" s="12" t="str">
        <f>IF(Raw_Data!G235="","",Raw_Data!G235)</f>
        <v/>
      </c>
      <c r="D232" s="12" t="str">
        <f>IF(Raw_Data!H235="","",Raw_Data!H235)</f>
        <v/>
      </c>
      <c r="E232" s="12" t="str">
        <f>IF(Raw_Data!I235="","",Raw_Data!I235)</f>
        <v/>
      </c>
      <c r="F232" s="12" t="str">
        <f>IF(Raw_Data!J235="","",Raw_Data!J235)</f>
        <v/>
      </c>
      <c r="G232" s="12" t="str">
        <f>IF(Raw_Data!AH235&lt;&gt;"",Raw_Data!AH235,IF(Raw_Data!K235&lt;&gt;"",Raw_Data!K235,""))</f>
        <v/>
      </c>
      <c r="H232" s="12" t="str">
        <f>IF(Raw_Data!AI235&lt;&gt;"",Raw_Data!AI235,IF(Raw_Data!L235&lt;&gt;"",Raw_Data!L235,""))</f>
        <v/>
      </c>
      <c r="I232" s="12" t="str">
        <f t="shared" si="27"/>
        <v/>
      </c>
      <c r="J232" s="12" t="str">
        <f>IF(Raw_Data!M235="","",Raw_Data!M235)</f>
        <v/>
      </c>
      <c r="K232" s="12">
        <f>IF(Raw_Data!AJ235&lt;&gt;"",Raw_Data!AJ235,Raw_Data!N235)</f>
        <v>0</v>
      </c>
      <c r="L232" s="12">
        <f t="shared" si="28"/>
        <v>1</v>
      </c>
      <c r="M232" s="12" t="str">
        <f>IF(Raw_Data!AK235="","",Raw_Data!AK235)</f>
        <v/>
      </c>
      <c r="N232" s="12" t="str">
        <f>IF(Raw_Data!T235="","",Raw_Data!T235)</f>
        <v/>
      </c>
      <c r="O232" s="12" t="str">
        <f>IF(Raw_Data!AB235&lt;&gt;"",Raw_Data!AB235,IF(N232="tres_insatisfait",1,IF(N232="insatisfait",2,IF(N232="neutre",3,IF(N232="satisfait",4,IF(N232="tres_satisfait",5,""))))))</f>
        <v/>
      </c>
      <c r="P232" s="12">
        <f>IF(Raw_Data!AL235&lt;&gt;"",Raw_Data!AL235,Raw_Data!R235)</f>
        <v>0</v>
      </c>
      <c r="Q232" s="12">
        <f t="shared" si="29"/>
        <v>0</v>
      </c>
      <c r="R232" s="12" t="str">
        <f>IF(Raw_Data!AM235="","",Raw_Data!AM235)</f>
        <v/>
      </c>
      <c r="S232" s="12" t="str">
        <f t="shared" si="30"/>
        <v/>
      </c>
      <c r="T232" s="12" t="str">
        <f>IF(Raw_Data!AN235="","",Raw_Data!AN235)</f>
        <v/>
      </c>
      <c r="U232" s="12" t="str">
        <f t="shared" si="31"/>
        <v/>
      </c>
      <c r="V232" s="12" t="str">
        <f>IF(Raw_Data!AP235="","",IF(Raw_Data!AP235="oui",1,0))</f>
        <v/>
      </c>
      <c r="W232" s="12" t="str">
        <f>IF(Raw_Data!AQ235="","",IF(Raw_Data!AQ235="oui",1,0))</f>
        <v/>
      </c>
      <c r="X232" s="12" t="str">
        <f>IF(Raw_Data!AR235="","",IF(Raw_Data!AR235="oui",1,0))</f>
        <v/>
      </c>
      <c r="Y232" s="12" t="str">
        <f>IF(Raw_Data!AS235="","",IF(Raw_Data!AS235="oui",1,0))</f>
        <v/>
      </c>
      <c r="Z232" s="12" t="str">
        <f>IF(Raw_Data!V235="","",IF(Raw_Data!V235="oui",1,0))</f>
        <v/>
      </c>
      <c r="AA232" s="12" t="str">
        <f>IF(Raw_Data!W235="","",IF(Raw_Data!W235="oui",1,0))</f>
        <v/>
      </c>
      <c r="AB232" s="12" t="str">
        <f>IF(Raw_Data!Q235="","",IF(Raw_Data!Q235="oui",1,0))</f>
        <v/>
      </c>
      <c r="AC232" s="12">
        <f>Raw_Data!AF235</f>
        <v>0</v>
      </c>
      <c r="AD232" s="12" t="str">
        <f t="shared" si="32"/>
        <v/>
      </c>
      <c r="AE232" s="12" t="str">
        <f t="shared" si="33"/>
        <v/>
      </c>
      <c r="AF232" s="12" t="str">
        <f t="shared" si="34"/>
        <v/>
      </c>
      <c r="AG232" s="12">
        <f t="shared" si="35"/>
        <v>0</v>
      </c>
    </row>
    <row r="233" spans="1:33" ht="15" customHeight="1" x14ac:dyDescent="0.25">
      <c r="A233" s="12" t="str">
        <f>IF(Raw_Data!B236="","",Raw_Data!B236)</f>
        <v/>
      </c>
      <c r="B233" s="12">
        <f>IF(Raw_Data!X236&lt;&gt;"",Raw_Data!X236,Raw_Data!C236)</f>
        <v>0</v>
      </c>
      <c r="C233" s="12" t="str">
        <f>IF(Raw_Data!G236="","",Raw_Data!G236)</f>
        <v/>
      </c>
      <c r="D233" s="12" t="str">
        <f>IF(Raw_Data!H236="","",Raw_Data!H236)</f>
        <v/>
      </c>
      <c r="E233" s="12" t="str">
        <f>IF(Raw_Data!I236="","",Raw_Data!I236)</f>
        <v/>
      </c>
      <c r="F233" s="12" t="str">
        <f>IF(Raw_Data!J236="","",Raw_Data!J236)</f>
        <v/>
      </c>
      <c r="G233" s="12" t="str">
        <f>IF(Raw_Data!AH236&lt;&gt;"",Raw_Data!AH236,IF(Raw_Data!K236&lt;&gt;"",Raw_Data!K236,""))</f>
        <v/>
      </c>
      <c r="H233" s="12" t="str">
        <f>IF(Raw_Data!AI236&lt;&gt;"",Raw_Data!AI236,IF(Raw_Data!L236&lt;&gt;"",Raw_Data!L236,""))</f>
        <v/>
      </c>
      <c r="I233" s="12" t="str">
        <f t="shared" si="27"/>
        <v/>
      </c>
      <c r="J233" s="12" t="str">
        <f>IF(Raw_Data!M236="","",Raw_Data!M236)</f>
        <v/>
      </c>
      <c r="K233" s="12">
        <f>IF(Raw_Data!AJ236&lt;&gt;"",Raw_Data!AJ236,Raw_Data!N236)</f>
        <v>0</v>
      </c>
      <c r="L233" s="12">
        <f t="shared" si="28"/>
        <v>1</v>
      </c>
      <c r="M233" s="12" t="str">
        <f>IF(Raw_Data!AK236="","",Raw_Data!AK236)</f>
        <v/>
      </c>
      <c r="N233" s="12" t="str">
        <f>IF(Raw_Data!T236="","",Raw_Data!T236)</f>
        <v/>
      </c>
      <c r="O233" s="12" t="str">
        <f>IF(Raw_Data!AB236&lt;&gt;"",Raw_Data!AB236,IF(N233="tres_insatisfait",1,IF(N233="insatisfait",2,IF(N233="neutre",3,IF(N233="satisfait",4,IF(N233="tres_satisfait",5,""))))))</f>
        <v/>
      </c>
      <c r="P233" s="12">
        <f>IF(Raw_Data!AL236&lt;&gt;"",Raw_Data!AL236,Raw_Data!R236)</f>
        <v>0</v>
      </c>
      <c r="Q233" s="12">
        <f t="shared" si="29"/>
        <v>0</v>
      </c>
      <c r="R233" s="12" t="str">
        <f>IF(Raw_Data!AM236="","",Raw_Data!AM236)</f>
        <v/>
      </c>
      <c r="S233" s="12" t="str">
        <f t="shared" si="30"/>
        <v/>
      </c>
      <c r="T233" s="12" t="str">
        <f>IF(Raw_Data!AN236="","",Raw_Data!AN236)</f>
        <v/>
      </c>
      <c r="U233" s="12" t="str">
        <f t="shared" si="31"/>
        <v/>
      </c>
      <c r="V233" s="12" t="str">
        <f>IF(Raw_Data!AP236="","",IF(Raw_Data!AP236="oui",1,0))</f>
        <v/>
      </c>
      <c r="W233" s="12" t="str">
        <f>IF(Raw_Data!AQ236="","",IF(Raw_Data!AQ236="oui",1,0))</f>
        <v/>
      </c>
      <c r="X233" s="12" t="str">
        <f>IF(Raw_Data!AR236="","",IF(Raw_Data!AR236="oui",1,0))</f>
        <v/>
      </c>
      <c r="Y233" s="12" t="str">
        <f>IF(Raw_Data!AS236="","",IF(Raw_Data!AS236="oui",1,0))</f>
        <v/>
      </c>
      <c r="Z233" s="12" t="str">
        <f>IF(Raw_Data!V236="","",IF(Raw_Data!V236="oui",1,0))</f>
        <v/>
      </c>
      <c r="AA233" s="12" t="str">
        <f>IF(Raw_Data!W236="","",IF(Raw_Data!W236="oui",1,0))</f>
        <v/>
      </c>
      <c r="AB233" s="12" t="str">
        <f>IF(Raw_Data!Q236="","",IF(Raw_Data!Q236="oui",1,0))</f>
        <v/>
      </c>
      <c r="AC233" s="12">
        <f>Raw_Data!AF236</f>
        <v>0</v>
      </c>
      <c r="AD233" s="12" t="str">
        <f t="shared" si="32"/>
        <v/>
      </c>
      <c r="AE233" s="12" t="str">
        <f t="shared" si="33"/>
        <v/>
      </c>
      <c r="AF233" s="12" t="str">
        <f t="shared" si="34"/>
        <v/>
      </c>
      <c r="AG233" s="12">
        <f t="shared" si="35"/>
        <v>0</v>
      </c>
    </row>
    <row r="234" spans="1:33" ht="15" customHeight="1" x14ac:dyDescent="0.25">
      <c r="A234" s="12" t="str">
        <f>IF(Raw_Data!B237="","",Raw_Data!B237)</f>
        <v/>
      </c>
      <c r="B234" s="12">
        <f>IF(Raw_Data!X237&lt;&gt;"",Raw_Data!X237,Raw_Data!C237)</f>
        <v>0</v>
      </c>
      <c r="C234" s="12" t="str">
        <f>IF(Raw_Data!G237="","",Raw_Data!G237)</f>
        <v/>
      </c>
      <c r="D234" s="12" t="str">
        <f>IF(Raw_Data!H237="","",Raw_Data!H237)</f>
        <v/>
      </c>
      <c r="E234" s="12" t="str">
        <f>IF(Raw_Data!I237="","",Raw_Data!I237)</f>
        <v/>
      </c>
      <c r="F234" s="12" t="str">
        <f>IF(Raw_Data!J237="","",Raw_Data!J237)</f>
        <v/>
      </c>
      <c r="G234" s="12" t="str">
        <f>IF(Raw_Data!AH237&lt;&gt;"",Raw_Data!AH237,IF(Raw_Data!K237&lt;&gt;"",Raw_Data!K237,""))</f>
        <v/>
      </c>
      <c r="H234" s="12" t="str">
        <f>IF(Raw_Data!AI237&lt;&gt;"",Raw_Data!AI237,IF(Raw_Data!L237&lt;&gt;"",Raw_Data!L237,""))</f>
        <v/>
      </c>
      <c r="I234" s="12" t="str">
        <f t="shared" si="27"/>
        <v/>
      </c>
      <c r="J234" s="12" t="str">
        <f>IF(Raw_Data!M237="","",Raw_Data!M237)</f>
        <v/>
      </c>
      <c r="K234" s="12">
        <f>IF(Raw_Data!AJ237&lt;&gt;"",Raw_Data!AJ237,Raw_Data!N237)</f>
        <v>0</v>
      </c>
      <c r="L234" s="12">
        <f t="shared" si="28"/>
        <v>1</v>
      </c>
      <c r="M234" s="12" t="str">
        <f>IF(Raw_Data!AK237="","",Raw_Data!AK237)</f>
        <v/>
      </c>
      <c r="N234" s="12" t="str">
        <f>IF(Raw_Data!T237="","",Raw_Data!T237)</f>
        <v/>
      </c>
      <c r="O234" s="12" t="str">
        <f>IF(Raw_Data!AB237&lt;&gt;"",Raw_Data!AB237,IF(N234="tres_insatisfait",1,IF(N234="insatisfait",2,IF(N234="neutre",3,IF(N234="satisfait",4,IF(N234="tres_satisfait",5,""))))))</f>
        <v/>
      </c>
      <c r="P234" s="12">
        <f>IF(Raw_Data!AL237&lt;&gt;"",Raw_Data!AL237,Raw_Data!R237)</f>
        <v>0</v>
      </c>
      <c r="Q234" s="12">
        <f t="shared" si="29"/>
        <v>0</v>
      </c>
      <c r="R234" s="12" t="str">
        <f>IF(Raw_Data!AM237="","",Raw_Data!AM237)</f>
        <v/>
      </c>
      <c r="S234" s="12" t="str">
        <f t="shared" si="30"/>
        <v/>
      </c>
      <c r="T234" s="12" t="str">
        <f>IF(Raw_Data!AN237="","",Raw_Data!AN237)</f>
        <v/>
      </c>
      <c r="U234" s="12" t="str">
        <f t="shared" si="31"/>
        <v/>
      </c>
      <c r="V234" s="12" t="str">
        <f>IF(Raw_Data!AP237="","",IF(Raw_Data!AP237="oui",1,0))</f>
        <v/>
      </c>
      <c r="W234" s="12" t="str">
        <f>IF(Raw_Data!AQ237="","",IF(Raw_Data!AQ237="oui",1,0))</f>
        <v/>
      </c>
      <c r="X234" s="12" t="str">
        <f>IF(Raw_Data!AR237="","",IF(Raw_Data!AR237="oui",1,0))</f>
        <v/>
      </c>
      <c r="Y234" s="12" t="str">
        <f>IF(Raw_Data!AS237="","",IF(Raw_Data!AS237="oui",1,0))</f>
        <v/>
      </c>
      <c r="Z234" s="12" t="str">
        <f>IF(Raw_Data!V237="","",IF(Raw_Data!V237="oui",1,0))</f>
        <v/>
      </c>
      <c r="AA234" s="12" t="str">
        <f>IF(Raw_Data!W237="","",IF(Raw_Data!W237="oui",1,0))</f>
        <v/>
      </c>
      <c r="AB234" s="12" t="str">
        <f>IF(Raw_Data!Q237="","",IF(Raw_Data!Q237="oui",1,0))</f>
        <v/>
      </c>
      <c r="AC234" s="12">
        <f>Raw_Data!AF237</f>
        <v>0</v>
      </c>
      <c r="AD234" s="12" t="str">
        <f t="shared" si="32"/>
        <v/>
      </c>
      <c r="AE234" s="12" t="str">
        <f t="shared" si="33"/>
        <v/>
      </c>
      <c r="AF234" s="12" t="str">
        <f t="shared" si="34"/>
        <v/>
      </c>
      <c r="AG234" s="12">
        <f t="shared" si="35"/>
        <v>0</v>
      </c>
    </row>
    <row r="235" spans="1:33" ht="15" customHeight="1" x14ac:dyDescent="0.25">
      <c r="A235" s="12" t="str">
        <f>IF(Raw_Data!B238="","",Raw_Data!B238)</f>
        <v/>
      </c>
      <c r="B235" s="12">
        <f>IF(Raw_Data!X238&lt;&gt;"",Raw_Data!X238,Raw_Data!C238)</f>
        <v>0</v>
      </c>
      <c r="C235" s="12" t="str">
        <f>IF(Raw_Data!G238="","",Raw_Data!G238)</f>
        <v/>
      </c>
      <c r="D235" s="12" t="str">
        <f>IF(Raw_Data!H238="","",Raw_Data!H238)</f>
        <v/>
      </c>
      <c r="E235" s="12" t="str">
        <f>IF(Raw_Data!I238="","",Raw_Data!I238)</f>
        <v/>
      </c>
      <c r="F235" s="12" t="str">
        <f>IF(Raw_Data!J238="","",Raw_Data!J238)</f>
        <v/>
      </c>
      <c r="G235" s="12" t="str">
        <f>IF(Raw_Data!AH238&lt;&gt;"",Raw_Data!AH238,IF(Raw_Data!K238&lt;&gt;"",Raw_Data!K238,""))</f>
        <v/>
      </c>
      <c r="H235" s="12" t="str">
        <f>IF(Raw_Data!AI238&lt;&gt;"",Raw_Data!AI238,IF(Raw_Data!L238&lt;&gt;"",Raw_Data!L238,""))</f>
        <v/>
      </c>
      <c r="I235" s="12" t="str">
        <f t="shared" si="27"/>
        <v/>
      </c>
      <c r="J235" s="12" t="str">
        <f>IF(Raw_Data!M238="","",Raw_Data!M238)</f>
        <v/>
      </c>
      <c r="K235" s="12">
        <f>IF(Raw_Data!AJ238&lt;&gt;"",Raw_Data!AJ238,Raw_Data!N238)</f>
        <v>0</v>
      </c>
      <c r="L235" s="12">
        <f t="shared" si="28"/>
        <v>1</v>
      </c>
      <c r="M235" s="12" t="str">
        <f>IF(Raw_Data!AK238="","",Raw_Data!AK238)</f>
        <v/>
      </c>
      <c r="N235" s="12" t="str">
        <f>IF(Raw_Data!T238="","",Raw_Data!T238)</f>
        <v/>
      </c>
      <c r="O235" s="12" t="str">
        <f>IF(Raw_Data!AB238&lt;&gt;"",Raw_Data!AB238,IF(N235="tres_insatisfait",1,IF(N235="insatisfait",2,IF(N235="neutre",3,IF(N235="satisfait",4,IF(N235="tres_satisfait",5,""))))))</f>
        <v/>
      </c>
      <c r="P235" s="12">
        <f>IF(Raw_Data!AL238&lt;&gt;"",Raw_Data!AL238,Raw_Data!R238)</f>
        <v>0</v>
      </c>
      <c r="Q235" s="12">
        <f t="shared" si="29"/>
        <v>0</v>
      </c>
      <c r="R235" s="12" t="str">
        <f>IF(Raw_Data!AM238="","",Raw_Data!AM238)</f>
        <v/>
      </c>
      <c r="S235" s="12" t="str">
        <f t="shared" si="30"/>
        <v/>
      </c>
      <c r="T235" s="12" t="str">
        <f>IF(Raw_Data!AN238="","",Raw_Data!AN238)</f>
        <v/>
      </c>
      <c r="U235" s="12" t="str">
        <f t="shared" si="31"/>
        <v/>
      </c>
      <c r="V235" s="12" t="str">
        <f>IF(Raw_Data!AP238="","",IF(Raw_Data!AP238="oui",1,0))</f>
        <v/>
      </c>
      <c r="W235" s="12" t="str">
        <f>IF(Raw_Data!AQ238="","",IF(Raw_Data!AQ238="oui",1,0))</f>
        <v/>
      </c>
      <c r="X235" s="12" t="str">
        <f>IF(Raw_Data!AR238="","",IF(Raw_Data!AR238="oui",1,0))</f>
        <v/>
      </c>
      <c r="Y235" s="12" t="str">
        <f>IF(Raw_Data!AS238="","",IF(Raw_Data!AS238="oui",1,0))</f>
        <v/>
      </c>
      <c r="Z235" s="12" t="str">
        <f>IF(Raw_Data!V238="","",IF(Raw_Data!V238="oui",1,0))</f>
        <v/>
      </c>
      <c r="AA235" s="12" t="str">
        <f>IF(Raw_Data!W238="","",IF(Raw_Data!W238="oui",1,0))</f>
        <v/>
      </c>
      <c r="AB235" s="12" t="str">
        <f>IF(Raw_Data!Q238="","",IF(Raw_Data!Q238="oui",1,0))</f>
        <v/>
      </c>
      <c r="AC235" s="12">
        <f>Raw_Data!AF238</f>
        <v>0</v>
      </c>
      <c r="AD235" s="12" t="str">
        <f t="shared" si="32"/>
        <v/>
      </c>
      <c r="AE235" s="12" t="str">
        <f t="shared" si="33"/>
        <v/>
      </c>
      <c r="AF235" s="12" t="str">
        <f t="shared" si="34"/>
        <v/>
      </c>
      <c r="AG235" s="12">
        <f t="shared" si="35"/>
        <v>0</v>
      </c>
    </row>
    <row r="236" spans="1:33" ht="15" customHeight="1" x14ac:dyDescent="0.25">
      <c r="A236" s="12" t="str">
        <f>IF(Raw_Data!B239="","",Raw_Data!B239)</f>
        <v/>
      </c>
      <c r="B236" s="12">
        <f>IF(Raw_Data!X239&lt;&gt;"",Raw_Data!X239,Raw_Data!C239)</f>
        <v>0</v>
      </c>
      <c r="C236" s="12" t="str">
        <f>IF(Raw_Data!G239="","",Raw_Data!G239)</f>
        <v/>
      </c>
      <c r="D236" s="12" t="str">
        <f>IF(Raw_Data!H239="","",Raw_Data!H239)</f>
        <v/>
      </c>
      <c r="E236" s="12" t="str">
        <f>IF(Raw_Data!I239="","",Raw_Data!I239)</f>
        <v/>
      </c>
      <c r="F236" s="12" t="str">
        <f>IF(Raw_Data!J239="","",Raw_Data!J239)</f>
        <v/>
      </c>
      <c r="G236" s="12" t="str">
        <f>IF(Raw_Data!AH239&lt;&gt;"",Raw_Data!AH239,IF(Raw_Data!K239&lt;&gt;"",Raw_Data!K239,""))</f>
        <v/>
      </c>
      <c r="H236" s="12" t="str">
        <f>IF(Raw_Data!AI239&lt;&gt;"",Raw_Data!AI239,IF(Raw_Data!L239&lt;&gt;"",Raw_Data!L239,""))</f>
        <v/>
      </c>
      <c r="I236" s="12" t="str">
        <f t="shared" si="27"/>
        <v/>
      </c>
      <c r="J236" s="12" t="str">
        <f>IF(Raw_Data!M239="","",Raw_Data!M239)</f>
        <v/>
      </c>
      <c r="K236" s="12">
        <f>IF(Raw_Data!AJ239&lt;&gt;"",Raw_Data!AJ239,Raw_Data!N239)</f>
        <v>0</v>
      </c>
      <c r="L236" s="12">
        <f t="shared" si="28"/>
        <v>1</v>
      </c>
      <c r="M236" s="12" t="str">
        <f>IF(Raw_Data!AK239="","",Raw_Data!AK239)</f>
        <v/>
      </c>
      <c r="N236" s="12" t="str">
        <f>IF(Raw_Data!T239="","",Raw_Data!T239)</f>
        <v/>
      </c>
      <c r="O236" s="12" t="str">
        <f>IF(Raw_Data!AB239&lt;&gt;"",Raw_Data!AB239,IF(N236="tres_insatisfait",1,IF(N236="insatisfait",2,IF(N236="neutre",3,IF(N236="satisfait",4,IF(N236="tres_satisfait",5,""))))))</f>
        <v/>
      </c>
      <c r="P236" s="12">
        <f>IF(Raw_Data!AL239&lt;&gt;"",Raw_Data!AL239,Raw_Data!R239)</f>
        <v>0</v>
      </c>
      <c r="Q236" s="12">
        <f t="shared" si="29"/>
        <v>0</v>
      </c>
      <c r="R236" s="12" t="str">
        <f>IF(Raw_Data!AM239="","",Raw_Data!AM239)</f>
        <v/>
      </c>
      <c r="S236" s="12" t="str">
        <f t="shared" si="30"/>
        <v/>
      </c>
      <c r="T236" s="12" t="str">
        <f>IF(Raw_Data!AN239="","",Raw_Data!AN239)</f>
        <v/>
      </c>
      <c r="U236" s="12" t="str">
        <f t="shared" si="31"/>
        <v/>
      </c>
      <c r="V236" s="12" t="str">
        <f>IF(Raw_Data!AP239="","",IF(Raw_Data!AP239="oui",1,0))</f>
        <v/>
      </c>
      <c r="W236" s="12" t="str">
        <f>IF(Raw_Data!AQ239="","",IF(Raw_Data!AQ239="oui",1,0))</f>
        <v/>
      </c>
      <c r="X236" s="12" t="str">
        <f>IF(Raw_Data!AR239="","",IF(Raw_Data!AR239="oui",1,0))</f>
        <v/>
      </c>
      <c r="Y236" s="12" t="str">
        <f>IF(Raw_Data!AS239="","",IF(Raw_Data!AS239="oui",1,0))</f>
        <v/>
      </c>
      <c r="Z236" s="12" t="str">
        <f>IF(Raw_Data!V239="","",IF(Raw_Data!V239="oui",1,0))</f>
        <v/>
      </c>
      <c r="AA236" s="12" t="str">
        <f>IF(Raw_Data!W239="","",IF(Raw_Data!W239="oui",1,0))</f>
        <v/>
      </c>
      <c r="AB236" s="12" t="str">
        <f>IF(Raw_Data!Q239="","",IF(Raw_Data!Q239="oui",1,0))</f>
        <v/>
      </c>
      <c r="AC236" s="12">
        <f>Raw_Data!AF239</f>
        <v>0</v>
      </c>
      <c r="AD236" s="12" t="str">
        <f t="shared" si="32"/>
        <v/>
      </c>
      <c r="AE236" s="12" t="str">
        <f t="shared" si="33"/>
        <v/>
      </c>
      <c r="AF236" s="12" t="str">
        <f t="shared" si="34"/>
        <v/>
      </c>
      <c r="AG236" s="12">
        <f t="shared" si="35"/>
        <v>0</v>
      </c>
    </row>
    <row r="237" spans="1:33" ht="15" customHeight="1" x14ac:dyDescent="0.25">
      <c r="A237" s="12" t="str">
        <f>IF(Raw_Data!B240="","",Raw_Data!B240)</f>
        <v/>
      </c>
      <c r="B237" s="12">
        <f>IF(Raw_Data!X240&lt;&gt;"",Raw_Data!X240,Raw_Data!C240)</f>
        <v>0</v>
      </c>
      <c r="C237" s="12" t="str">
        <f>IF(Raw_Data!G240="","",Raw_Data!G240)</f>
        <v/>
      </c>
      <c r="D237" s="12" t="str">
        <f>IF(Raw_Data!H240="","",Raw_Data!H240)</f>
        <v/>
      </c>
      <c r="E237" s="12" t="str">
        <f>IF(Raw_Data!I240="","",Raw_Data!I240)</f>
        <v/>
      </c>
      <c r="F237" s="12" t="str">
        <f>IF(Raw_Data!J240="","",Raw_Data!J240)</f>
        <v/>
      </c>
      <c r="G237" s="12" t="str">
        <f>IF(Raw_Data!AH240&lt;&gt;"",Raw_Data!AH240,IF(Raw_Data!K240&lt;&gt;"",Raw_Data!K240,""))</f>
        <v/>
      </c>
      <c r="H237" s="12" t="str">
        <f>IF(Raw_Data!AI240&lt;&gt;"",Raw_Data!AI240,IF(Raw_Data!L240&lt;&gt;"",Raw_Data!L240,""))</f>
        <v/>
      </c>
      <c r="I237" s="12" t="str">
        <f t="shared" si="27"/>
        <v/>
      </c>
      <c r="J237" s="12" t="str">
        <f>IF(Raw_Data!M240="","",Raw_Data!M240)</f>
        <v/>
      </c>
      <c r="K237" s="12">
        <f>IF(Raw_Data!AJ240&lt;&gt;"",Raw_Data!AJ240,Raw_Data!N240)</f>
        <v>0</v>
      </c>
      <c r="L237" s="12">
        <f t="shared" si="28"/>
        <v>1</v>
      </c>
      <c r="M237" s="12" t="str">
        <f>IF(Raw_Data!AK240="","",Raw_Data!AK240)</f>
        <v/>
      </c>
      <c r="N237" s="12" t="str">
        <f>IF(Raw_Data!T240="","",Raw_Data!T240)</f>
        <v/>
      </c>
      <c r="O237" s="12" t="str">
        <f>IF(Raw_Data!AB240&lt;&gt;"",Raw_Data!AB240,IF(N237="tres_insatisfait",1,IF(N237="insatisfait",2,IF(N237="neutre",3,IF(N237="satisfait",4,IF(N237="tres_satisfait",5,""))))))</f>
        <v/>
      </c>
      <c r="P237" s="12">
        <f>IF(Raw_Data!AL240&lt;&gt;"",Raw_Data!AL240,Raw_Data!R240)</f>
        <v>0</v>
      </c>
      <c r="Q237" s="12">
        <f t="shared" si="29"/>
        <v>0</v>
      </c>
      <c r="R237" s="12" t="str">
        <f>IF(Raw_Data!AM240="","",Raw_Data!AM240)</f>
        <v/>
      </c>
      <c r="S237" s="12" t="str">
        <f t="shared" si="30"/>
        <v/>
      </c>
      <c r="T237" s="12" t="str">
        <f>IF(Raw_Data!AN240="","",Raw_Data!AN240)</f>
        <v/>
      </c>
      <c r="U237" s="12" t="str">
        <f t="shared" si="31"/>
        <v/>
      </c>
      <c r="V237" s="12" t="str">
        <f>IF(Raw_Data!AP240="","",IF(Raw_Data!AP240="oui",1,0))</f>
        <v/>
      </c>
      <c r="W237" s="12" t="str">
        <f>IF(Raw_Data!AQ240="","",IF(Raw_Data!AQ240="oui",1,0))</f>
        <v/>
      </c>
      <c r="X237" s="12" t="str">
        <f>IF(Raw_Data!AR240="","",IF(Raw_Data!AR240="oui",1,0))</f>
        <v/>
      </c>
      <c r="Y237" s="12" t="str">
        <f>IF(Raw_Data!AS240="","",IF(Raw_Data!AS240="oui",1,0))</f>
        <v/>
      </c>
      <c r="Z237" s="12" t="str">
        <f>IF(Raw_Data!V240="","",IF(Raw_Data!V240="oui",1,0))</f>
        <v/>
      </c>
      <c r="AA237" s="12" t="str">
        <f>IF(Raw_Data!W240="","",IF(Raw_Data!W240="oui",1,0))</f>
        <v/>
      </c>
      <c r="AB237" s="12" t="str">
        <f>IF(Raw_Data!Q240="","",IF(Raw_Data!Q240="oui",1,0))</f>
        <v/>
      </c>
      <c r="AC237" s="12">
        <f>Raw_Data!AF240</f>
        <v>0</v>
      </c>
      <c r="AD237" s="12" t="str">
        <f t="shared" si="32"/>
        <v/>
      </c>
      <c r="AE237" s="12" t="str">
        <f t="shared" si="33"/>
        <v/>
      </c>
      <c r="AF237" s="12" t="str">
        <f t="shared" si="34"/>
        <v/>
      </c>
      <c r="AG237" s="12">
        <f t="shared" si="35"/>
        <v>0</v>
      </c>
    </row>
    <row r="238" spans="1:33" ht="15" customHeight="1" x14ac:dyDescent="0.25">
      <c r="A238" s="12" t="str">
        <f>IF(Raw_Data!B241="","",Raw_Data!B241)</f>
        <v/>
      </c>
      <c r="B238" s="12">
        <f>IF(Raw_Data!X241&lt;&gt;"",Raw_Data!X241,Raw_Data!C241)</f>
        <v>0</v>
      </c>
      <c r="C238" s="12" t="str">
        <f>IF(Raw_Data!G241="","",Raw_Data!G241)</f>
        <v/>
      </c>
      <c r="D238" s="12" t="str">
        <f>IF(Raw_Data!H241="","",Raw_Data!H241)</f>
        <v/>
      </c>
      <c r="E238" s="12" t="str">
        <f>IF(Raw_Data!I241="","",Raw_Data!I241)</f>
        <v/>
      </c>
      <c r="F238" s="12" t="str">
        <f>IF(Raw_Data!J241="","",Raw_Data!J241)</f>
        <v/>
      </c>
      <c r="G238" s="12" t="str">
        <f>IF(Raw_Data!AH241&lt;&gt;"",Raw_Data!AH241,IF(Raw_Data!K241&lt;&gt;"",Raw_Data!K241,""))</f>
        <v/>
      </c>
      <c r="H238" s="12" t="str">
        <f>IF(Raw_Data!AI241&lt;&gt;"",Raw_Data!AI241,IF(Raw_Data!L241&lt;&gt;"",Raw_Data!L241,""))</f>
        <v/>
      </c>
      <c r="I238" s="12" t="str">
        <f t="shared" si="27"/>
        <v/>
      </c>
      <c r="J238" s="12" t="str">
        <f>IF(Raw_Data!M241="","",Raw_Data!M241)</f>
        <v/>
      </c>
      <c r="K238" s="12">
        <f>IF(Raw_Data!AJ241&lt;&gt;"",Raw_Data!AJ241,Raw_Data!N241)</f>
        <v>0</v>
      </c>
      <c r="L238" s="12">
        <f t="shared" si="28"/>
        <v>1</v>
      </c>
      <c r="M238" s="12" t="str">
        <f>IF(Raw_Data!AK241="","",Raw_Data!AK241)</f>
        <v/>
      </c>
      <c r="N238" s="12" t="str">
        <f>IF(Raw_Data!T241="","",Raw_Data!T241)</f>
        <v/>
      </c>
      <c r="O238" s="12" t="str">
        <f>IF(Raw_Data!AB241&lt;&gt;"",Raw_Data!AB241,IF(N238="tres_insatisfait",1,IF(N238="insatisfait",2,IF(N238="neutre",3,IF(N238="satisfait",4,IF(N238="tres_satisfait",5,""))))))</f>
        <v/>
      </c>
      <c r="P238" s="12">
        <f>IF(Raw_Data!AL241&lt;&gt;"",Raw_Data!AL241,Raw_Data!R241)</f>
        <v>0</v>
      </c>
      <c r="Q238" s="12">
        <f t="shared" si="29"/>
        <v>0</v>
      </c>
      <c r="R238" s="12" t="str">
        <f>IF(Raw_Data!AM241="","",Raw_Data!AM241)</f>
        <v/>
      </c>
      <c r="S238" s="12" t="str">
        <f t="shared" si="30"/>
        <v/>
      </c>
      <c r="T238" s="12" t="str">
        <f>IF(Raw_Data!AN241="","",Raw_Data!AN241)</f>
        <v/>
      </c>
      <c r="U238" s="12" t="str">
        <f t="shared" si="31"/>
        <v/>
      </c>
      <c r="V238" s="12" t="str">
        <f>IF(Raw_Data!AP241="","",IF(Raw_Data!AP241="oui",1,0))</f>
        <v/>
      </c>
      <c r="W238" s="12" t="str">
        <f>IF(Raw_Data!AQ241="","",IF(Raw_Data!AQ241="oui",1,0))</f>
        <v/>
      </c>
      <c r="X238" s="12" t="str">
        <f>IF(Raw_Data!AR241="","",IF(Raw_Data!AR241="oui",1,0))</f>
        <v/>
      </c>
      <c r="Y238" s="12" t="str">
        <f>IF(Raw_Data!AS241="","",IF(Raw_Data!AS241="oui",1,0))</f>
        <v/>
      </c>
      <c r="Z238" s="12" t="str">
        <f>IF(Raw_Data!V241="","",IF(Raw_Data!V241="oui",1,0))</f>
        <v/>
      </c>
      <c r="AA238" s="12" t="str">
        <f>IF(Raw_Data!W241="","",IF(Raw_Data!W241="oui",1,0))</f>
        <v/>
      </c>
      <c r="AB238" s="12" t="str">
        <f>IF(Raw_Data!Q241="","",IF(Raw_Data!Q241="oui",1,0))</f>
        <v/>
      </c>
      <c r="AC238" s="12">
        <f>Raw_Data!AF241</f>
        <v>0</v>
      </c>
      <c r="AD238" s="12" t="str">
        <f t="shared" si="32"/>
        <v/>
      </c>
      <c r="AE238" s="12" t="str">
        <f t="shared" si="33"/>
        <v/>
      </c>
      <c r="AF238" s="12" t="str">
        <f t="shared" si="34"/>
        <v/>
      </c>
      <c r="AG238" s="12">
        <f t="shared" si="35"/>
        <v>0</v>
      </c>
    </row>
    <row r="239" spans="1:33" ht="15" customHeight="1" x14ac:dyDescent="0.25">
      <c r="A239" s="12" t="str">
        <f>IF(Raw_Data!B242="","",Raw_Data!B242)</f>
        <v/>
      </c>
      <c r="B239" s="12">
        <f>IF(Raw_Data!X242&lt;&gt;"",Raw_Data!X242,Raw_Data!C242)</f>
        <v>0</v>
      </c>
      <c r="C239" s="12" t="str">
        <f>IF(Raw_Data!G242="","",Raw_Data!G242)</f>
        <v/>
      </c>
      <c r="D239" s="12" t="str">
        <f>IF(Raw_Data!H242="","",Raw_Data!H242)</f>
        <v/>
      </c>
      <c r="E239" s="12" t="str">
        <f>IF(Raw_Data!I242="","",Raw_Data!I242)</f>
        <v/>
      </c>
      <c r="F239" s="12" t="str">
        <f>IF(Raw_Data!J242="","",Raw_Data!J242)</f>
        <v/>
      </c>
      <c r="G239" s="12" t="str">
        <f>IF(Raw_Data!AH242&lt;&gt;"",Raw_Data!AH242,IF(Raw_Data!K242&lt;&gt;"",Raw_Data!K242,""))</f>
        <v/>
      </c>
      <c r="H239" s="12" t="str">
        <f>IF(Raw_Data!AI242&lt;&gt;"",Raw_Data!AI242,IF(Raw_Data!L242&lt;&gt;"",Raw_Data!L242,""))</f>
        <v/>
      </c>
      <c r="I239" s="12" t="str">
        <f t="shared" si="27"/>
        <v/>
      </c>
      <c r="J239" s="12" t="str">
        <f>IF(Raw_Data!M242="","",Raw_Data!M242)</f>
        <v/>
      </c>
      <c r="K239" s="12">
        <f>IF(Raw_Data!AJ242&lt;&gt;"",Raw_Data!AJ242,Raw_Data!N242)</f>
        <v>0</v>
      </c>
      <c r="L239" s="12">
        <f t="shared" si="28"/>
        <v>1</v>
      </c>
      <c r="M239" s="12" t="str">
        <f>IF(Raw_Data!AK242="","",Raw_Data!AK242)</f>
        <v/>
      </c>
      <c r="N239" s="12" t="str">
        <f>IF(Raw_Data!T242="","",Raw_Data!T242)</f>
        <v/>
      </c>
      <c r="O239" s="12" t="str">
        <f>IF(Raw_Data!AB242&lt;&gt;"",Raw_Data!AB242,IF(N239="tres_insatisfait",1,IF(N239="insatisfait",2,IF(N239="neutre",3,IF(N239="satisfait",4,IF(N239="tres_satisfait",5,""))))))</f>
        <v/>
      </c>
      <c r="P239" s="12">
        <f>IF(Raw_Data!AL242&lt;&gt;"",Raw_Data!AL242,Raw_Data!R242)</f>
        <v>0</v>
      </c>
      <c r="Q239" s="12">
        <f t="shared" si="29"/>
        <v>0</v>
      </c>
      <c r="R239" s="12" t="str">
        <f>IF(Raw_Data!AM242="","",Raw_Data!AM242)</f>
        <v/>
      </c>
      <c r="S239" s="12" t="str">
        <f t="shared" si="30"/>
        <v/>
      </c>
      <c r="T239" s="12" t="str">
        <f>IF(Raw_Data!AN242="","",Raw_Data!AN242)</f>
        <v/>
      </c>
      <c r="U239" s="12" t="str">
        <f t="shared" si="31"/>
        <v/>
      </c>
      <c r="V239" s="12" t="str">
        <f>IF(Raw_Data!AP242="","",IF(Raw_Data!AP242="oui",1,0))</f>
        <v/>
      </c>
      <c r="W239" s="12" t="str">
        <f>IF(Raw_Data!AQ242="","",IF(Raw_Data!AQ242="oui",1,0))</f>
        <v/>
      </c>
      <c r="X239" s="12" t="str">
        <f>IF(Raw_Data!AR242="","",IF(Raw_Data!AR242="oui",1,0))</f>
        <v/>
      </c>
      <c r="Y239" s="12" t="str">
        <f>IF(Raw_Data!AS242="","",IF(Raw_Data!AS242="oui",1,0))</f>
        <v/>
      </c>
      <c r="Z239" s="12" t="str">
        <f>IF(Raw_Data!V242="","",IF(Raw_Data!V242="oui",1,0))</f>
        <v/>
      </c>
      <c r="AA239" s="12" t="str">
        <f>IF(Raw_Data!W242="","",IF(Raw_Data!W242="oui",1,0))</f>
        <v/>
      </c>
      <c r="AB239" s="12" t="str">
        <f>IF(Raw_Data!Q242="","",IF(Raw_Data!Q242="oui",1,0))</f>
        <v/>
      </c>
      <c r="AC239" s="12">
        <f>Raw_Data!AF242</f>
        <v>0</v>
      </c>
      <c r="AD239" s="12" t="str">
        <f t="shared" si="32"/>
        <v/>
      </c>
      <c r="AE239" s="12" t="str">
        <f t="shared" si="33"/>
        <v/>
      </c>
      <c r="AF239" s="12" t="str">
        <f t="shared" si="34"/>
        <v/>
      </c>
      <c r="AG239" s="12">
        <f t="shared" si="35"/>
        <v>0</v>
      </c>
    </row>
    <row r="240" spans="1:33" ht="15" customHeight="1" x14ac:dyDescent="0.25">
      <c r="A240" s="12" t="str">
        <f>IF(Raw_Data!B243="","",Raw_Data!B243)</f>
        <v/>
      </c>
      <c r="B240" s="12">
        <f>IF(Raw_Data!X243&lt;&gt;"",Raw_Data!X243,Raw_Data!C243)</f>
        <v>0</v>
      </c>
      <c r="C240" s="12" t="str">
        <f>IF(Raw_Data!G243="","",Raw_Data!G243)</f>
        <v/>
      </c>
      <c r="D240" s="12" t="str">
        <f>IF(Raw_Data!H243="","",Raw_Data!H243)</f>
        <v/>
      </c>
      <c r="E240" s="12" t="str">
        <f>IF(Raw_Data!I243="","",Raw_Data!I243)</f>
        <v/>
      </c>
      <c r="F240" s="12" t="str">
        <f>IF(Raw_Data!J243="","",Raw_Data!J243)</f>
        <v/>
      </c>
      <c r="G240" s="12" t="str">
        <f>IF(Raw_Data!AH243&lt;&gt;"",Raw_Data!AH243,IF(Raw_Data!K243&lt;&gt;"",Raw_Data!K243,""))</f>
        <v/>
      </c>
      <c r="H240" s="12" t="str">
        <f>IF(Raw_Data!AI243&lt;&gt;"",Raw_Data!AI243,IF(Raw_Data!L243&lt;&gt;"",Raw_Data!L243,""))</f>
        <v/>
      </c>
      <c r="I240" s="12" t="str">
        <f t="shared" si="27"/>
        <v/>
      </c>
      <c r="J240" s="12" t="str">
        <f>IF(Raw_Data!M243="","",Raw_Data!M243)</f>
        <v/>
      </c>
      <c r="K240" s="12">
        <f>IF(Raw_Data!AJ243&lt;&gt;"",Raw_Data!AJ243,Raw_Data!N243)</f>
        <v>0</v>
      </c>
      <c r="L240" s="12">
        <f t="shared" si="28"/>
        <v>1</v>
      </c>
      <c r="M240" s="12" t="str">
        <f>IF(Raw_Data!AK243="","",Raw_Data!AK243)</f>
        <v/>
      </c>
      <c r="N240" s="12" t="str">
        <f>IF(Raw_Data!T243="","",Raw_Data!T243)</f>
        <v/>
      </c>
      <c r="O240" s="12" t="str">
        <f>IF(Raw_Data!AB243&lt;&gt;"",Raw_Data!AB243,IF(N240="tres_insatisfait",1,IF(N240="insatisfait",2,IF(N240="neutre",3,IF(N240="satisfait",4,IF(N240="tres_satisfait",5,""))))))</f>
        <v/>
      </c>
      <c r="P240" s="12">
        <f>IF(Raw_Data!AL243&lt;&gt;"",Raw_Data!AL243,Raw_Data!R243)</f>
        <v>0</v>
      </c>
      <c r="Q240" s="12">
        <f t="shared" si="29"/>
        <v>0</v>
      </c>
      <c r="R240" s="12" t="str">
        <f>IF(Raw_Data!AM243="","",Raw_Data!AM243)</f>
        <v/>
      </c>
      <c r="S240" s="12" t="str">
        <f t="shared" si="30"/>
        <v/>
      </c>
      <c r="T240" s="12" t="str">
        <f>IF(Raw_Data!AN243="","",Raw_Data!AN243)</f>
        <v/>
      </c>
      <c r="U240" s="12" t="str">
        <f t="shared" si="31"/>
        <v/>
      </c>
      <c r="V240" s="12" t="str">
        <f>IF(Raw_Data!AP243="","",IF(Raw_Data!AP243="oui",1,0))</f>
        <v/>
      </c>
      <c r="W240" s="12" t="str">
        <f>IF(Raw_Data!AQ243="","",IF(Raw_Data!AQ243="oui",1,0))</f>
        <v/>
      </c>
      <c r="X240" s="12" t="str">
        <f>IF(Raw_Data!AR243="","",IF(Raw_Data!AR243="oui",1,0))</f>
        <v/>
      </c>
      <c r="Y240" s="12" t="str">
        <f>IF(Raw_Data!AS243="","",IF(Raw_Data!AS243="oui",1,0))</f>
        <v/>
      </c>
      <c r="Z240" s="12" t="str">
        <f>IF(Raw_Data!V243="","",IF(Raw_Data!V243="oui",1,0))</f>
        <v/>
      </c>
      <c r="AA240" s="12" t="str">
        <f>IF(Raw_Data!W243="","",IF(Raw_Data!W243="oui",1,0))</f>
        <v/>
      </c>
      <c r="AB240" s="12" t="str">
        <f>IF(Raw_Data!Q243="","",IF(Raw_Data!Q243="oui",1,0))</f>
        <v/>
      </c>
      <c r="AC240" s="12">
        <f>Raw_Data!AF243</f>
        <v>0</v>
      </c>
      <c r="AD240" s="12" t="str">
        <f t="shared" si="32"/>
        <v/>
      </c>
      <c r="AE240" s="12" t="str">
        <f t="shared" si="33"/>
        <v/>
      </c>
      <c r="AF240" s="12" t="str">
        <f t="shared" si="34"/>
        <v/>
      </c>
      <c r="AG240" s="12">
        <f t="shared" si="35"/>
        <v>0</v>
      </c>
    </row>
    <row r="241" spans="1:33" ht="15" customHeight="1" x14ac:dyDescent="0.25">
      <c r="A241" s="12" t="str">
        <f>IF(Raw_Data!B244="","",Raw_Data!B244)</f>
        <v/>
      </c>
      <c r="B241" s="12">
        <f>IF(Raw_Data!X244&lt;&gt;"",Raw_Data!X244,Raw_Data!C244)</f>
        <v>0</v>
      </c>
      <c r="C241" s="12" t="str">
        <f>IF(Raw_Data!G244="","",Raw_Data!G244)</f>
        <v/>
      </c>
      <c r="D241" s="12" t="str">
        <f>IF(Raw_Data!H244="","",Raw_Data!H244)</f>
        <v/>
      </c>
      <c r="E241" s="12" t="str">
        <f>IF(Raw_Data!I244="","",Raw_Data!I244)</f>
        <v/>
      </c>
      <c r="F241" s="12" t="str">
        <f>IF(Raw_Data!J244="","",Raw_Data!J244)</f>
        <v/>
      </c>
      <c r="G241" s="12" t="str">
        <f>IF(Raw_Data!AH244&lt;&gt;"",Raw_Data!AH244,IF(Raw_Data!K244&lt;&gt;"",Raw_Data!K244,""))</f>
        <v/>
      </c>
      <c r="H241" s="12" t="str">
        <f>IF(Raw_Data!AI244&lt;&gt;"",Raw_Data!AI244,IF(Raw_Data!L244&lt;&gt;"",Raw_Data!L244,""))</f>
        <v/>
      </c>
      <c r="I241" s="12" t="str">
        <f t="shared" si="27"/>
        <v/>
      </c>
      <c r="J241" s="12" t="str">
        <f>IF(Raw_Data!M244="","",Raw_Data!M244)</f>
        <v/>
      </c>
      <c r="K241" s="12">
        <f>IF(Raw_Data!AJ244&lt;&gt;"",Raw_Data!AJ244,Raw_Data!N244)</f>
        <v>0</v>
      </c>
      <c r="L241" s="12">
        <f t="shared" si="28"/>
        <v>1</v>
      </c>
      <c r="M241" s="12" t="str">
        <f>IF(Raw_Data!AK244="","",Raw_Data!AK244)</f>
        <v/>
      </c>
      <c r="N241" s="12" t="str">
        <f>IF(Raw_Data!T244="","",Raw_Data!T244)</f>
        <v/>
      </c>
      <c r="O241" s="12" t="str">
        <f>IF(Raw_Data!AB244&lt;&gt;"",Raw_Data!AB244,IF(N241="tres_insatisfait",1,IF(N241="insatisfait",2,IF(N241="neutre",3,IF(N241="satisfait",4,IF(N241="tres_satisfait",5,""))))))</f>
        <v/>
      </c>
      <c r="P241" s="12">
        <f>IF(Raw_Data!AL244&lt;&gt;"",Raw_Data!AL244,Raw_Data!R244)</f>
        <v>0</v>
      </c>
      <c r="Q241" s="12">
        <f t="shared" si="29"/>
        <v>0</v>
      </c>
      <c r="R241" s="12" t="str">
        <f>IF(Raw_Data!AM244="","",Raw_Data!AM244)</f>
        <v/>
      </c>
      <c r="S241" s="12" t="str">
        <f t="shared" si="30"/>
        <v/>
      </c>
      <c r="T241" s="12" t="str">
        <f>IF(Raw_Data!AN244="","",Raw_Data!AN244)</f>
        <v/>
      </c>
      <c r="U241" s="12" t="str">
        <f t="shared" si="31"/>
        <v/>
      </c>
      <c r="V241" s="12" t="str">
        <f>IF(Raw_Data!AP244="","",IF(Raw_Data!AP244="oui",1,0))</f>
        <v/>
      </c>
      <c r="W241" s="12" t="str">
        <f>IF(Raw_Data!AQ244="","",IF(Raw_Data!AQ244="oui",1,0))</f>
        <v/>
      </c>
      <c r="X241" s="12" t="str">
        <f>IF(Raw_Data!AR244="","",IF(Raw_Data!AR244="oui",1,0))</f>
        <v/>
      </c>
      <c r="Y241" s="12" t="str">
        <f>IF(Raw_Data!AS244="","",IF(Raw_Data!AS244="oui",1,0))</f>
        <v/>
      </c>
      <c r="Z241" s="12" t="str">
        <f>IF(Raw_Data!V244="","",IF(Raw_Data!V244="oui",1,0))</f>
        <v/>
      </c>
      <c r="AA241" s="12" t="str">
        <f>IF(Raw_Data!W244="","",IF(Raw_Data!W244="oui",1,0))</f>
        <v/>
      </c>
      <c r="AB241" s="12" t="str">
        <f>IF(Raw_Data!Q244="","",IF(Raw_Data!Q244="oui",1,0))</f>
        <v/>
      </c>
      <c r="AC241" s="12">
        <f>Raw_Data!AF244</f>
        <v>0</v>
      </c>
      <c r="AD241" s="12" t="str">
        <f t="shared" si="32"/>
        <v/>
      </c>
      <c r="AE241" s="12" t="str">
        <f t="shared" si="33"/>
        <v/>
      </c>
      <c r="AF241" s="12" t="str">
        <f t="shared" si="34"/>
        <v/>
      </c>
      <c r="AG241" s="12">
        <f t="shared" si="35"/>
        <v>0</v>
      </c>
    </row>
    <row r="242" spans="1:33" ht="15" customHeight="1" x14ac:dyDescent="0.25">
      <c r="A242" s="12" t="str">
        <f>IF(Raw_Data!B245="","",Raw_Data!B245)</f>
        <v/>
      </c>
      <c r="B242" s="12">
        <f>IF(Raw_Data!X245&lt;&gt;"",Raw_Data!X245,Raw_Data!C245)</f>
        <v>0</v>
      </c>
      <c r="C242" s="12" t="str">
        <f>IF(Raw_Data!G245="","",Raw_Data!G245)</f>
        <v/>
      </c>
      <c r="D242" s="12" t="str">
        <f>IF(Raw_Data!H245="","",Raw_Data!H245)</f>
        <v/>
      </c>
      <c r="E242" s="12" t="str">
        <f>IF(Raw_Data!I245="","",Raw_Data!I245)</f>
        <v/>
      </c>
      <c r="F242" s="12" t="str">
        <f>IF(Raw_Data!J245="","",Raw_Data!J245)</f>
        <v/>
      </c>
      <c r="G242" s="12" t="str">
        <f>IF(Raw_Data!AH245&lt;&gt;"",Raw_Data!AH245,IF(Raw_Data!K245&lt;&gt;"",Raw_Data!K245,""))</f>
        <v/>
      </c>
      <c r="H242" s="12" t="str">
        <f>IF(Raw_Data!AI245&lt;&gt;"",Raw_Data!AI245,IF(Raw_Data!L245&lt;&gt;"",Raw_Data!L245,""))</f>
        <v/>
      </c>
      <c r="I242" s="12" t="str">
        <f t="shared" si="27"/>
        <v/>
      </c>
      <c r="J242" s="12" t="str">
        <f>IF(Raw_Data!M245="","",Raw_Data!M245)</f>
        <v/>
      </c>
      <c r="K242" s="12">
        <f>IF(Raw_Data!AJ245&lt;&gt;"",Raw_Data!AJ245,Raw_Data!N245)</f>
        <v>0</v>
      </c>
      <c r="L242" s="12">
        <f t="shared" si="28"/>
        <v>1</v>
      </c>
      <c r="M242" s="12" t="str">
        <f>IF(Raw_Data!AK245="","",Raw_Data!AK245)</f>
        <v/>
      </c>
      <c r="N242" s="12" t="str">
        <f>IF(Raw_Data!T245="","",Raw_Data!T245)</f>
        <v/>
      </c>
      <c r="O242" s="12" t="str">
        <f>IF(Raw_Data!AB245&lt;&gt;"",Raw_Data!AB245,IF(N242="tres_insatisfait",1,IF(N242="insatisfait",2,IF(N242="neutre",3,IF(N242="satisfait",4,IF(N242="tres_satisfait",5,""))))))</f>
        <v/>
      </c>
      <c r="P242" s="12">
        <f>IF(Raw_Data!AL245&lt;&gt;"",Raw_Data!AL245,Raw_Data!R245)</f>
        <v>0</v>
      </c>
      <c r="Q242" s="12">
        <f t="shared" si="29"/>
        <v>0</v>
      </c>
      <c r="R242" s="12" t="str">
        <f>IF(Raw_Data!AM245="","",Raw_Data!AM245)</f>
        <v/>
      </c>
      <c r="S242" s="12" t="str">
        <f t="shared" si="30"/>
        <v/>
      </c>
      <c r="T242" s="12" t="str">
        <f>IF(Raw_Data!AN245="","",Raw_Data!AN245)</f>
        <v/>
      </c>
      <c r="U242" s="12" t="str">
        <f t="shared" si="31"/>
        <v/>
      </c>
      <c r="V242" s="12" t="str">
        <f>IF(Raw_Data!AP245="","",IF(Raw_Data!AP245="oui",1,0))</f>
        <v/>
      </c>
      <c r="W242" s="12" t="str">
        <f>IF(Raw_Data!AQ245="","",IF(Raw_Data!AQ245="oui",1,0))</f>
        <v/>
      </c>
      <c r="X242" s="12" t="str">
        <f>IF(Raw_Data!AR245="","",IF(Raw_Data!AR245="oui",1,0))</f>
        <v/>
      </c>
      <c r="Y242" s="12" t="str">
        <f>IF(Raw_Data!AS245="","",IF(Raw_Data!AS245="oui",1,0))</f>
        <v/>
      </c>
      <c r="Z242" s="12" t="str">
        <f>IF(Raw_Data!V245="","",IF(Raw_Data!V245="oui",1,0))</f>
        <v/>
      </c>
      <c r="AA242" s="12" t="str">
        <f>IF(Raw_Data!W245="","",IF(Raw_Data!W245="oui",1,0))</f>
        <v/>
      </c>
      <c r="AB242" s="12" t="str">
        <f>IF(Raw_Data!Q245="","",IF(Raw_Data!Q245="oui",1,0))</f>
        <v/>
      </c>
      <c r="AC242" s="12">
        <f>Raw_Data!AF245</f>
        <v>0</v>
      </c>
      <c r="AD242" s="12" t="str">
        <f t="shared" si="32"/>
        <v/>
      </c>
      <c r="AE242" s="12" t="str">
        <f t="shared" si="33"/>
        <v/>
      </c>
      <c r="AF242" s="12" t="str">
        <f t="shared" si="34"/>
        <v/>
      </c>
      <c r="AG242" s="12">
        <f t="shared" si="35"/>
        <v>0</v>
      </c>
    </row>
    <row r="243" spans="1:33" ht="15" customHeight="1" x14ac:dyDescent="0.25">
      <c r="A243" s="12" t="str">
        <f>IF(Raw_Data!B246="","",Raw_Data!B246)</f>
        <v/>
      </c>
      <c r="B243" s="12">
        <f>IF(Raw_Data!X246&lt;&gt;"",Raw_Data!X246,Raw_Data!C246)</f>
        <v>0</v>
      </c>
      <c r="C243" s="12" t="str">
        <f>IF(Raw_Data!G246="","",Raw_Data!G246)</f>
        <v/>
      </c>
      <c r="D243" s="12" t="str">
        <f>IF(Raw_Data!H246="","",Raw_Data!H246)</f>
        <v/>
      </c>
      <c r="E243" s="12" t="str">
        <f>IF(Raw_Data!I246="","",Raw_Data!I246)</f>
        <v/>
      </c>
      <c r="F243" s="12" t="str">
        <f>IF(Raw_Data!J246="","",Raw_Data!J246)</f>
        <v/>
      </c>
      <c r="G243" s="12" t="str">
        <f>IF(Raw_Data!AH246&lt;&gt;"",Raw_Data!AH246,IF(Raw_Data!K246&lt;&gt;"",Raw_Data!K246,""))</f>
        <v/>
      </c>
      <c r="H243" s="12" t="str">
        <f>IF(Raw_Data!AI246&lt;&gt;"",Raw_Data!AI246,IF(Raw_Data!L246&lt;&gt;"",Raw_Data!L246,""))</f>
        <v/>
      </c>
      <c r="I243" s="12" t="str">
        <f t="shared" si="27"/>
        <v/>
      </c>
      <c r="J243" s="12" t="str">
        <f>IF(Raw_Data!M246="","",Raw_Data!M246)</f>
        <v/>
      </c>
      <c r="K243" s="12">
        <f>IF(Raw_Data!AJ246&lt;&gt;"",Raw_Data!AJ246,Raw_Data!N246)</f>
        <v>0</v>
      </c>
      <c r="L243" s="12">
        <f t="shared" si="28"/>
        <v>1</v>
      </c>
      <c r="M243" s="12" t="str">
        <f>IF(Raw_Data!AK246="","",Raw_Data!AK246)</f>
        <v/>
      </c>
      <c r="N243" s="12" t="str">
        <f>IF(Raw_Data!T246="","",Raw_Data!T246)</f>
        <v/>
      </c>
      <c r="O243" s="12" t="str">
        <f>IF(Raw_Data!AB246&lt;&gt;"",Raw_Data!AB246,IF(N243="tres_insatisfait",1,IF(N243="insatisfait",2,IF(N243="neutre",3,IF(N243="satisfait",4,IF(N243="tres_satisfait",5,""))))))</f>
        <v/>
      </c>
      <c r="P243" s="12">
        <f>IF(Raw_Data!AL246&lt;&gt;"",Raw_Data!AL246,Raw_Data!R246)</f>
        <v>0</v>
      </c>
      <c r="Q243" s="12">
        <f t="shared" si="29"/>
        <v>0</v>
      </c>
      <c r="R243" s="12" t="str">
        <f>IF(Raw_Data!AM246="","",Raw_Data!AM246)</f>
        <v/>
      </c>
      <c r="S243" s="12" t="str">
        <f t="shared" si="30"/>
        <v/>
      </c>
      <c r="T243" s="12" t="str">
        <f>IF(Raw_Data!AN246="","",Raw_Data!AN246)</f>
        <v/>
      </c>
      <c r="U243" s="12" t="str">
        <f t="shared" si="31"/>
        <v/>
      </c>
      <c r="V243" s="12" t="str">
        <f>IF(Raw_Data!AP246="","",IF(Raw_Data!AP246="oui",1,0))</f>
        <v/>
      </c>
      <c r="W243" s="12" t="str">
        <f>IF(Raw_Data!AQ246="","",IF(Raw_Data!AQ246="oui",1,0))</f>
        <v/>
      </c>
      <c r="X243" s="12" t="str">
        <f>IF(Raw_Data!AR246="","",IF(Raw_Data!AR246="oui",1,0))</f>
        <v/>
      </c>
      <c r="Y243" s="12" t="str">
        <f>IF(Raw_Data!AS246="","",IF(Raw_Data!AS246="oui",1,0))</f>
        <v/>
      </c>
      <c r="Z243" s="12" t="str">
        <f>IF(Raw_Data!V246="","",IF(Raw_Data!V246="oui",1,0))</f>
        <v/>
      </c>
      <c r="AA243" s="12" t="str">
        <f>IF(Raw_Data!W246="","",IF(Raw_Data!W246="oui",1,0))</f>
        <v/>
      </c>
      <c r="AB243" s="12" t="str">
        <f>IF(Raw_Data!Q246="","",IF(Raw_Data!Q246="oui",1,0))</f>
        <v/>
      </c>
      <c r="AC243" s="12">
        <f>Raw_Data!AF246</f>
        <v>0</v>
      </c>
      <c r="AD243" s="12" t="str">
        <f t="shared" si="32"/>
        <v/>
      </c>
      <c r="AE243" s="12" t="str">
        <f t="shared" si="33"/>
        <v/>
      </c>
      <c r="AF243" s="12" t="str">
        <f t="shared" si="34"/>
        <v/>
      </c>
      <c r="AG243" s="12">
        <f t="shared" si="35"/>
        <v>0</v>
      </c>
    </row>
    <row r="244" spans="1:33" ht="15" customHeight="1" x14ac:dyDescent="0.25">
      <c r="A244" s="12" t="str">
        <f>IF(Raw_Data!B247="","",Raw_Data!B247)</f>
        <v/>
      </c>
      <c r="B244" s="12">
        <f>IF(Raw_Data!X247&lt;&gt;"",Raw_Data!X247,Raw_Data!C247)</f>
        <v>0</v>
      </c>
      <c r="C244" s="12" t="str">
        <f>IF(Raw_Data!G247="","",Raw_Data!G247)</f>
        <v/>
      </c>
      <c r="D244" s="12" t="str">
        <f>IF(Raw_Data!H247="","",Raw_Data!H247)</f>
        <v/>
      </c>
      <c r="E244" s="12" t="str">
        <f>IF(Raw_Data!I247="","",Raw_Data!I247)</f>
        <v/>
      </c>
      <c r="F244" s="12" t="str">
        <f>IF(Raw_Data!J247="","",Raw_Data!J247)</f>
        <v/>
      </c>
      <c r="G244" s="12" t="str">
        <f>IF(Raw_Data!AH247&lt;&gt;"",Raw_Data!AH247,IF(Raw_Data!K247&lt;&gt;"",Raw_Data!K247,""))</f>
        <v/>
      </c>
      <c r="H244" s="12" t="str">
        <f>IF(Raw_Data!AI247&lt;&gt;"",Raw_Data!AI247,IF(Raw_Data!L247&lt;&gt;"",Raw_Data!L247,""))</f>
        <v/>
      </c>
      <c r="I244" s="12" t="str">
        <f t="shared" si="27"/>
        <v/>
      </c>
      <c r="J244" s="12" t="str">
        <f>IF(Raw_Data!M247="","",Raw_Data!M247)</f>
        <v/>
      </c>
      <c r="K244" s="12">
        <f>IF(Raw_Data!AJ247&lt;&gt;"",Raw_Data!AJ247,Raw_Data!N247)</f>
        <v>0</v>
      </c>
      <c r="L244" s="12">
        <f t="shared" si="28"/>
        <v>1</v>
      </c>
      <c r="M244" s="12" t="str">
        <f>IF(Raw_Data!AK247="","",Raw_Data!AK247)</f>
        <v/>
      </c>
      <c r="N244" s="12" t="str">
        <f>IF(Raw_Data!T247="","",Raw_Data!T247)</f>
        <v/>
      </c>
      <c r="O244" s="12" t="str">
        <f>IF(Raw_Data!AB247&lt;&gt;"",Raw_Data!AB247,IF(N244="tres_insatisfait",1,IF(N244="insatisfait",2,IF(N244="neutre",3,IF(N244="satisfait",4,IF(N244="tres_satisfait",5,""))))))</f>
        <v/>
      </c>
      <c r="P244" s="12">
        <f>IF(Raw_Data!AL247&lt;&gt;"",Raw_Data!AL247,Raw_Data!R247)</f>
        <v>0</v>
      </c>
      <c r="Q244" s="12">
        <f t="shared" si="29"/>
        <v>0</v>
      </c>
      <c r="R244" s="12" t="str">
        <f>IF(Raw_Data!AM247="","",Raw_Data!AM247)</f>
        <v/>
      </c>
      <c r="S244" s="12" t="str">
        <f t="shared" si="30"/>
        <v/>
      </c>
      <c r="T244" s="12" t="str">
        <f>IF(Raw_Data!AN247="","",Raw_Data!AN247)</f>
        <v/>
      </c>
      <c r="U244" s="12" t="str">
        <f t="shared" si="31"/>
        <v/>
      </c>
      <c r="V244" s="12" t="str">
        <f>IF(Raw_Data!AP247="","",IF(Raw_Data!AP247="oui",1,0))</f>
        <v/>
      </c>
      <c r="W244" s="12" t="str">
        <f>IF(Raw_Data!AQ247="","",IF(Raw_Data!AQ247="oui",1,0))</f>
        <v/>
      </c>
      <c r="X244" s="12" t="str">
        <f>IF(Raw_Data!AR247="","",IF(Raw_Data!AR247="oui",1,0))</f>
        <v/>
      </c>
      <c r="Y244" s="12" t="str">
        <f>IF(Raw_Data!AS247="","",IF(Raw_Data!AS247="oui",1,0))</f>
        <v/>
      </c>
      <c r="Z244" s="12" t="str">
        <f>IF(Raw_Data!V247="","",IF(Raw_Data!V247="oui",1,0))</f>
        <v/>
      </c>
      <c r="AA244" s="12" t="str">
        <f>IF(Raw_Data!W247="","",IF(Raw_Data!W247="oui",1,0))</f>
        <v/>
      </c>
      <c r="AB244" s="12" t="str">
        <f>IF(Raw_Data!Q247="","",IF(Raw_Data!Q247="oui",1,0))</f>
        <v/>
      </c>
      <c r="AC244" s="12">
        <f>Raw_Data!AF247</f>
        <v>0</v>
      </c>
      <c r="AD244" s="12" t="str">
        <f t="shared" si="32"/>
        <v/>
      </c>
      <c r="AE244" s="12" t="str">
        <f t="shared" si="33"/>
        <v/>
      </c>
      <c r="AF244" s="12" t="str">
        <f t="shared" si="34"/>
        <v/>
      </c>
      <c r="AG244" s="12">
        <f t="shared" si="35"/>
        <v>0</v>
      </c>
    </row>
    <row r="245" spans="1:33" ht="15" customHeight="1" x14ac:dyDescent="0.25">
      <c r="A245" s="12" t="str">
        <f>IF(Raw_Data!B248="","",Raw_Data!B248)</f>
        <v/>
      </c>
      <c r="B245" s="12">
        <f>IF(Raw_Data!X248&lt;&gt;"",Raw_Data!X248,Raw_Data!C248)</f>
        <v>0</v>
      </c>
      <c r="C245" s="12" t="str">
        <f>IF(Raw_Data!G248="","",Raw_Data!G248)</f>
        <v/>
      </c>
      <c r="D245" s="12" t="str">
        <f>IF(Raw_Data!H248="","",Raw_Data!H248)</f>
        <v/>
      </c>
      <c r="E245" s="12" t="str">
        <f>IF(Raw_Data!I248="","",Raw_Data!I248)</f>
        <v/>
      </c>
      <c r="F245" s="12" t="str">
        <f>IF(Raw_Data!J248="","",Raw_Data!J248)</f>
        <v/>
      </c>
      <c r="G245" s="12" t="str">
        <f>IF(Raw_Data!AH248&lt;&gt;"",Raw_Data!AH248,IF(Raw_Data!K248&lt;&gt;"",Raw_Data!K248,""))</f>
        <v/>
      </c>
      <c r="H245" s="12" t="str">
        <f>IF(Raw_Data!AI248&lt;&gt;"",Raw_Data!AI248,IF(Raw_Data!L248&lt;&gt;"",Raw_Data!L248,""))</f>
        <v/>
      </c>
      <c r="I245" s="12" t="str">
        <f t="shared" si="27"/>
        <v/>
      </c>
      <c r="J245" s="12" t="str">
        <f>IF(Raw_Data!M248="","",Raw_Data!M248)</f>
        <v/>
      </c>
      <c r="K245" s="12">
        <f>IF(Raw_Data!AJ248&lt;&gt;"",Raw_Data!AJ248,Raw_Data!N248)</f>
        <v>0</v>
      </c>
      <c r="L245" s="12">
        <f t="shared" si="28"/>
        <v>1</v>
      </c>
      <c r="M245" s="12" t="str">
        <f>IF(Raw_Data!AK248="","",Raw_Data!AK248)</f>
        <v/>
      </c>
      <c r="N245" s="12" t="str">
        <f>IF(Raw_Data!T248="","",Raw_Data!T248)</f>
        <v/>
      </c>
      <c r="O245" s="12" t="str">
        <f>IF(Raw_Data!AB248&lt;&gt;"",Raw_Data!AB248,IF(N245="tres_insatisfait",1,IF(N245="insatisfait",2,IF(N245="neutre",3,IF(N245="satisfait",4,IF(N245="tres_satisfait",5,""))))))</f>
        <v/>
      </c>
      <c r="P245" s="12">
        <f>IF(Raw_Data!AL248&lt;&gt;"",Raw_Data!AL248,Raw_Data!R248)</f>
        <v>0</v>
      </c>
      <c r="Q245" s="12">
        <f t="shared" si="29"/>
        <v>0</v>
      </c>
      <c r="R245" s="12" t="str">
        <f>IF(Raw_Data!AM248="","",Raw_Data!AM248)</f>
        <v/>
      </c>
      <c r="S245" s="12" t="str">
        <f t="shared" si="30"/>
        <v/>
      </c>
      <c r="T245" s="12" t="str">
        <f>IF(Raw_Data!AN248="","",Raw_Data!AN248)</f>
        <v/>
      </c>
      <c r="U245" s="12" t="str">
        <f t="shared" si="31"/>
        <v/>
      </c>
      <c r="V245" s="12" t="str">
        <f>IF(Raw_Data!AP248="","",IF(Raw_Data!AP248="oui",1,0))</f>
        <v/>
      </c>
      <c r="W245" s="12" t="str">
        <f>IF(Raw_Data!AQ248="","",IF(Raw_Data!AQ248="oui",1,0))</f>
        <v/>
      </c>
      <c r="X245" s="12" t="str">
        <f>IF(Raw_Data!AR248="","",IF(Raw_Data!AR248="oui",1,0))</f>
        <v/>
      </c>
      <c r="Y245" s="12" t="str">
        <f>IF(Raw_Data!AS248="","",IF(Raw_Data!AS248="oui",1,0))</f>
        <v/>
      </c>
      <c r="Z245" s="12" t="str">
        <f>IF(Raw_Data!V248="","",IF(Raw_Data!V248="oui",1,0))</f>
        <v/>
      </c>
      <c r="AA245" s="12" t="str">
        <f>IF(Raw_Data!W248="","",IF(Raw_Data!W248="oui",1,0))</f>
        <v/>
      </c>
      <c r="AB245" s="12" t="str">
        <f>IF(Raw_Data!Q248="","",IF(Raw_Data!Q248="oui",1,0))</f>
        <v/>
      </c>
      <c r="AC245" s="12">
        <f>Raw_Data!AF248</f>
        <v>0</v>
      </c>
      <c r="AD245" s="12" t="str">
        <f t="shared" si="32"/>
        <v/>
      </c>
      <c r="AE245" s="12" t="str">
        <f t="shared" si="33"/>
        <v/>
      </c>
      <c r="AF245" s="12" t="str">
        <f t="shared" si="34"/>
        <v/>
      </c>
      <c r="AG245" s="12">
        <f t="shared" si="35"/>
        <v>0</v>
      </c>
    </row>
    <row r="246" spans="1:33" ht="15" customHeight="1" x14ac:dyDescent="0.25">
      <c r="A246" s="12" t="str">
        <f>IF(Raw_Data!B249="","",Raw_Data!B249)</f>
        <v/>
      </c>
      <c r="B246" s="12">
        <f>IF(Raw_Data!X249&lt;&gt;"",Raw_Data!X249,Raw_Data!C249)</f>
        <v>0</v>
      </c>
      <c r="C246" s="12" t="str">
        <f>IF(Raw_Data!G249="","",Raw_Data!G249)</f>
        <v/>
      </c>
      <c r="D246" s="12" t="str">
        <f>IF(Raw_Data!H249="","",Raw_Data!H249)</f>
        <v/>
      </c>
      <c r="E246" s="12" t="str">
        <f>IF(Raw_Data!I249="","",Raw_Data!I249)</f>
        <v/>
      </c>
      <c r="F246" s="12" t="str">
        <f>IF(Raw_Data!J249="","",Raw_Data!J249)</f>
        <v/>
      </c>
      <c r="G246" s="12" t="str">
        <f>IF(Raw_Data!AH249&lt;&gt;"",Raw_Data!AH249,IF(Raw_Data!K249&lt;&gt;"",Raw_Data!K249,""))</f>
        <v/>
      </c>
      <c r="H246" s="12" t="str">
        <f>IF(Raw_Data!AI249&lt;&gt;"",Raw_Data!AI249,IF(Raw_Data!L249&lt;&gt;"",Raw_Data!L249,""))</f>
        <v/>
      </c>
      <c r="I246" s="12" t="str">
        <f t="shared" si="27"/>
        <v/>
      </c>
      <c r="J246" s="12" t="str">
        <f>IF(Raw_Data!M249="","",Raw_Data!M249)</f>
        <v/>
      </c>
      <c r="K246" s="12">
        <f>IF(Raw_Data!AJ249&lt;&gt;"",Raw_Data!AJ249,Raw_Data!N249)</f>
        <v>0</v>
      </c>
      <c r="L246" s="12">
        <f t="shared" si="28"/>
        <v>1</v>
      </c>
      <c r="M246" s="12" t="str">
        <f>IF(Raw_Data!AK249="","",Raw_Data!AK249)</f>
        <v/>
      </c>
      <c r="N246" s="12" t="str">
        <f>IF(Raw_Data!T249="","",Raw_Data!T249)</f>
        <v/>
      </c>
      <c r="O246" s="12" t="str">
        <f>IF(Raw_Data!AB249&lt;&gt;"",Raw_Data!AB249,IF(N246="tres_insatisfait",1,IF(N246="insatisfait",2,IF(N246="neutre",3,IF(N246="satisfait",4,IF(N246="tres_satisfait",5,""))))))</f>
        <v/>
      </c>
      <c r="P246" s="12">
        <f>IF(Raw_Data!AL249&lt;&gt;"",Raw_Data!AL249,Raw_Data!R249)</f>
        <v>0</v>
      </c>
      <c r="Q246" s="12">
        <f t="shared" si="29"/>
        <v>0</v>
      </c>
      <c r="R246" s="12" t="str">
        <f>IF(Raw_Data!AM249="","",Raw_Data!AM249)</f>
        <v/>
      </c>
      <c r="S246" s="12" t="str">
        <f t="shared" si="30"/>
        <v/>
      </c>
      <c r="T246" s="12" t="str">
        <f>IF(Raw_Data!AN249="","",Raw_Data!AN249)</f>
        <v/>
      </c>
      <c r="U246" s="12" t="str">
        <f t="shared" si="31"/>
        <v/>
      </c>
      <c r="V246" s="12" t="str">
        <f>IF(Raw_Data!AP249="","",IF(Raw_Data!AP249="oui",1,0))</f>
        <v/>
      </c>
      <c r="W246" s="12" t="str">
        <f>IF(Raw_Data!AQ249="","",IF(Raw_Data!AQ249="oui",1,0))</f>
        <v/>
      </c>
      <c r="X246" s="12" t="str">
        <f>IF(Raw_Data!AR249="","",IF(Raw_Data!AR249="oui",1,0))</f>
        <v/>
      </c>
      <c r="Y246" s="12" t="str">
        <f>IF(Raw_Data!AS249="","",IF(Raw_Data!AS249="oui",1,0))</f>
        <v/>
      </c>
      <c r="Z246" s="12" t="str">
        <f>IF(Raw_Data!V249="","",IF(Raw_Data!V249="oui",1,0))</f>
        <v/>
      </c>
      <c r="AA246" s="12" t="str">
        <f>IF(Raw_Data!W249="","",IF(Raw_Data!W249="oui",1,0))</f>
        <v/>
      </c>
      <c r="AB246" s="12" t="str">
        <f>IF(Raw_Data!Q249="","",IF(Raw_Data!Q249="oui",1,0))</f>
        <v/>
      </c>
      <c r="AC246" s="12">
        <f>Raw_Data!AF249</f>
        <v>0</v>
      </c>
      <c r="AD246" s="12" t="str">
        <f t="shared" si="32"/>
        <v/>
      </c>
      <c r="AE246" s="12" t="str">
        <f t="shared" si="33"/>
        <v/>
      </c>
      <c r="AF246" s="12" t="str">
        <f t="shared" si="34"/>
        <v/>
      </c>
      <c r="AG246" s="12">
        <f t="shared" si="35"/>
        <v>0</v>
      </c>
    </row>
    <row r="247" spans="1:33" ht="15" customHeight="1" x14ac:dyDescent="0.25">
      <c r="A247" s="12" t="str">
        <f>IF(Raw_Data!B250="","",Raw_Data!B250)</f>
        <v/>
      </c>
      <c r="B247" s="12">
        <f>IF(Raw_Data!X250&lt;&gt;"",Raw_Data!X250,Raw_Data!C250)</f>
        <v>0</v>
      </c>
      <c r="C247" s="12" t="str">
        <f>IF(Raw_Data!G250="","",Raw_Data!G250)</f>
        <v/>
      </c>
      <c r="D247" s="12" t="str">
        <f>IF(Raw_Data!H250="","",Raw_Data!H250)</f>
        <v/>
      </c>
      <c r="E247" s="12" t="str">
        <f>IF(Raw_Data!I250="","",Raw_Data!I250)</f>
        <v/>
      </c>
      <c r="F247" s="12" t="str">
        <f>IF(Raw_Data!J250="","",Raw_Data!J250)</f>
        <v/>
      </c>
      <c r="G247" s="12" t="str">
        <f>IF(Raw_Data!AH250&lt;&gt;"",Raw_Data!AH250,IF(Raw_Data!K250&lt;&gt;"",Raw_Data!K250,""))</f>
        <v/>
      </c>
      <c r="H247" s="12" t="str">
        <f>IF(Raw_Data!AI250&lt;&gt;"",Raw_Data!AI250,IF(Raw_Data!L250&lt;&gt;"",Raw_Data!L250,""))</f>
        <v/>
      </c>
      <c r="I247" s="12" t="str">
        <f t="shared" si="27"/>
        <v/>
      </c>
      <c r="J247" s="12" t="str">
        <f>IF(Raw_Data!M250="","",Raw_Data!M250)</f>
        <v/>
      </c>
      <c r="K247" s="12">
        <f>IF(Raw_Data!AJ250&lt;&gt;"",Raw_Data!AJ250,Raw_Data!N250)</f>
        <v>0</v>
      </c>
      <c r="L247" s="12">
        <f t="shared" si="28"/>
        <v>1</v>
      </c>
      <c r="M247" s="12" t="str">
        <f>IF(Raw_Data!AK250="","",Raw_Data!AK250)</f>
        <v/>
      </c>
      <c r="N247" s="12" t="str">
        <f>IF(Raw_Data!T250="","",Raw_Data!T250)</f>
        <v/>
      </c>
      <c r="O247" s="12" t="str">
        <f>IF(Raw_Data!AB250&lt;&gt;"",Raw_Data!AB250,IF(N247="tres_insatisfait",1,IF(N247="insatisfait",2,IF(N247="neutre",3,IF(N247="satisfait",4,IF(N247="tres_satisfait",5,""))))))</f>
        <v/>
      </c>
      <c r="P247" s="12">
        <f>IF(Raw_Data!AL250&lt;&gt;"",Raw_Data!AL250,Raw_Data!R250)</f>
        <v>0</v>
      </c>
      <c r="Q247" s="12">
        <f t="shared" si="29"/>
        <v>0</v>
      </c>
      <c r="R247" s="12" t="str">
        <f>IF(Raw_Data!AM250="","",Raw_Data!AM250)</f>
        <v/>
      </c>
      <c r="S247" s="12" t="str">
        <f t="shared" si="30"/>
        <v/>
      </c>
      <c r="T247" s="12" t="str">
        <f>IF(Raw_Data!AN250="","",Raw_Data!AN250)</f>
        <v/>
      </c>
      <c r="U247" s="12" t="str">
        <f t="shared" si="31"/>
        <v/>
      </c>
      <c r="V247" s="12" t="str">
        <f>IF(Raw_Data!AP250="","",IF(Raw_Data!AP250="oui",1,0))</f>
        <v/>
      </c>
      <c r="W247" s="12" t="str">
        <f>IF(Raw_Data!AQ250="","",IF(Raw_Data!AQ250="oui",1,0))</f>
        <v/>
      </c>
      <c r="X247" s="12" t="str">
        <f>IF(Raw_Data!AR250="","",IF(Raw_Data!AR250="oui",1,0))</f>
        <v/>
      </c>
      <c r="Y247" s="12" t="str">
        <f>IF(Raw_Data!AS250="","",IF(Raw_Data!AS250="oui",1,0))</f>
        <v/>
      </c>
      <c r="Z247" s="12" t="str">
        <f>IF(Raw_Data!V250="","",IF(Raw_Data!V250="oui",1,0))</f>
        <v/>
      </c>
      <c r="AA247" s="12" t="str">
        <f>IF(Raw_Data!W250="","",IF(Raw_Data!W250="oui",1,0))</f>
        <v/>
      </c>
      <c r="AB247" s="12" t="str">
        <f>IF(Raw_Data!Q250="","",IF(Raw_Data!Q250="oui",1,0))</f>
        <v/>
      </c>
      <c r="AC247" s="12">
        <f>Raw_Data!AF250</f>
        <v>0</v>
      </c>
      <c r="AD247" s="12" t="str">
        <f t="shared" si="32"/>
        <v/>
      </c>
      <c r="AE247" s="12" t="str">
        <f t="shared" si="33"/>
        <v/>
      </c>
      <c r="AF247" s="12" t="str">
        <f t="shared" si="34"/>
        <v/>
      </c>
      <c r="AG247" s="12">
        <f t="shared" si="35"/>
        <v>0</v>
      </c>
    </row>
    <row r="248" spans="1:33" ht="15" customHeight="1" x14ac:dyDescent="0.25">
      <c r="A248" s="12" t="str">
        <f>IF(Raw_Data!B251="","",Raw_Data!B251)</f>
        <v/>
      </c>
      <c r="B248" s="12">
        <f>IF(Raw_Data!X251&lt;&gt;"",Raw_Data!X251,Raw_Data!C251)</f>
        <v>0</v>
      </c>
      <c r="C248" s="12" t="str">
        <f>IF(Raw_Data!G251="","",Raw_Data!G251)</f>
        <v/>
      </c>
      <c r="D248" s="12" t="str">
        <f>IF(Raw_Data!H251="","",Raw_Data!H251)</f>
        <v/>
      </c>
      <c r="E248" s="12" t="str">
        <f>IF(Raw_Data!I251="","",Raw_Data!I251)</f>
        <v/>
      </c>
      <c r="F248" s="12" t="str">
        <f>IF(Raw_Data!J251="","",Raw_Data!J251)</f>
        <v/>
      </c>
      <c r="G248" s="12" t="str">
        <f>IF(Raw_Data!AH251&lt;&gt;"",Raw_Data!AH251,IF(Raw_Data!K251&lt;&gt;"",Raw_Data!K251,""))</f>
        <v/>
      </c>
      <c r="H248" s="12" t="str">
        <f>IF(Raw_Data!AI251&lt;&gt;"",Raw_Data!AI251,IF(Raw_Data!L251&lt;&gt;"",Raw_Data!L251,""))</f>
        <v/>
      </c>
      <c r="I248" s="12" t="str">
        <f t="shared" si="27"/>
        <v/>
      </c>
      <c r="J248" s="12" t="str">
        <f>IF(Raw_Data!M251="","",Raw_Data!M251)</f>
        <v/>
      </c>
      <c r="K248" s="12">
        <f>IF(Raw_Data!AJ251&lt;&gt;"",Raw_Data!AJ251,Raw_Data!N251)</f>
        <v>0</v>
      </c>
      <c r="L248" s="12">
        <f t="shared" si="28"/>
        <v>1</v>
      </c>
      <c r="M248" s="12" t="str">
        <f>IF(Raw_Data!AK251="","",Raw_Data!AK251)</f>
        <v/>
      </c>
      <c r="N248" s="12" t="str">
        <f>IF(Raw_Data!T251="","",Raw_Data!T251)</f>
        <v/>
      </c>
      <c r="O248" s="12" t="str">
        <f>IF(Raw_Data!AB251&lt;&gt;"",Raw_Data!AB251,IF(N248="tres_insatisfait",1,IF(N248="insatisfait",2,IF(N248="neutre",3,IF(N248="satisfait",4,IF(N248="tres_satisfait",5,""))))))</f>
        <v/>
      </c>
      <c r="P248" s="12">
        <f>IF(Raw_Data!AL251&lt;&gt;"",Raw_Data!AL251,Raw_Data!R251)</f>
        <v>0</v>
      </c>
      <c r="Q248" s="12">
        <f t="shared" si="29"/>
        <v>0</v>
      </c>
      <c r="R248" s="12" t="str">
        <f>IF(Raw_Data!AM251="","",Raw_Data!AM251)</f>
        <v/>
      </c>
      <c r="S248" s="12" t="str">
        <f t="shared" si="30"/>
        <v/>
      </c>
      <c r="T248" s="12" t="str">
        <f>IF(Raw_Data!AN251="","",Raw_Data!AN251)</f>
        <v/>
      </c>
      <c r="U248" s="12" t="str">
        <f t="shared" si="31"/>
        <v/>
      </c>
      <c r="V248" s="12" t="str">
        <f>IF(Raw_Data!AP251="","",IF(Raw_Data!AP251="oui",1,0))</f>
        <v/>
      </c>
      <c r="W248" s="12" t="str">
        <f>IF(Raw_Data!AQ251="","",IF(Raw_Data!AQ251="oui",1,0))</f>
        <v/>
      </c>
      <c r="X248" s="12" t="str">
        <f>IF(Raw_Data!AR251="","",IF(Raw_Data!AR251="oui",1,0))</f>
        <v/>
      </c>
      <c r="Y248" s="12" t="str">
        <f>IF(Raw_Data!AS251="","",IF(Raw_Data!AS251="oui",1,0))</f>
        <v/>
      </c>
      <c r="Z248" s="12" t="str">
        <f>IF(Raw_Data!V251="","",IF(Raw_Data!V251="oui",1,0))</f>
        <v/>
      </c>
      <c r="AA248" s="12" t="str">
        <f>IF(Raw_Data!W251="","",IF(Raw_Data!W251="oui",1,0))</f>
        <v/>
      </c>
      <c r="AB248" s="12" t="str">
        <f>IF(Raw_Data!Q251="","",IF(Raw_Data!Q251="oui",1,0))</f>
        <v/>
      </c>
      <c r="AC248" s="12">
        <f>Raw_Data!AF251</f>
        <v>0</v>
      </c>
      <c r="AD248" s="12" t="str">
        <f t="shared" si="32"/>
        <v/>
      </c>
      <c r="AE248" s="12" t="str">
        <f t="shared" si="33"/>
        <v/>
      </c>
      <c r="AF248" s="12" t="str">
        <f t="shared" si="34"/>
        <v/>
      </c>
      <c r="AG248" s="12">
        <f t="shared" si="35"/>
        <v>0</v>
      </c>
    </row>
    <row r="249" spans="1:33" ht="15" customHeight="1" x14ac:dyDescent="0.25">
      <c r="A249" s="12" t="str">
        <f>IF(Raw_Data!B252="","",Raw_Data!B252)</f>
        <v/>
      </c>
      <c r="B249" s="12">
        <f>IF(Raw_Data!X252&lt;&gt;"",Raw_Data!X252,Raw_Data!C252)</f>
        <v>0</v>
      </c>
      <c r="C249" s="12" t="str">
        <f>IF(Raw_Data!G252="","",Raw_Data!G252)</f>
        <v/>
      </c>
      <c r="D249" s="12" t="str">
        <f>IF(Raw_Data!H252="","",Raw_Data!H252)</f>
        <v/>
      </c>
      <c r="E249" s="12" t="str">
        <f>IF(Raw_Data!I252="","",Raw_Data!I252)</f>
        <v/>
      </c>
      <c r="F249" s="12" t="str">
        <f>IF(Raw_Data!J252="","",Raw_Data!J252)</f>
        <v/>
      </c>
      <c r="G249" s="12" t="str">
        <f>IF(Raw_Data!AH252&lt;&gt;"",Raw_Data!AH252,IF(Raw_Data!K252&lt;&gt;"",Raw_Data!K252,""))</f>
        <v/>
      </c>
      <c r="H249" s="12" t="str">
        <f>IF(Raw_Data!AI252&lt;&gt;"",Raw_Data!AI252,IF(Raw_Data!L252&lt;&gt;"",Raw_Data!L252,""))</f>
        <v/>
      </c>
      <c r="I249" s="12" t="str">
        <f t="shared" si="27"/>
        <v/>
      </c>
      <c r="J249" s="12" t="str">
        <f>IF(Raw_Data!M252="","",Raw_Data!M252)</f>
        <v/>
      </c>
      <c r="K249" s="12">
        <f>IF(Raw_Data!AJ252&lt;&gt;"",Raw_Data!AJ252,Raw_Data!N252)</f>
        <v>0</v>
      </c>
      <c r="L249" s="12">
        <f t="shared" si="28"/>
        <v>1</v>
      </c>
      <c r="M249" s="12" t="str">
        <f>IF(Raw_Data!AK252="","",Raw_Data!AK252)</f>
        <v/>
      </c>
      <c r="N249" s="12" t="str">
        <f>IF(Raw_Data!T252="","",Raw_Data!T252)</f>
        <v/>
      </c>
      <c r="O249" s="12" t="str">
        <f>IF(Raw_Data!AB252&lt;&gt;"",Raw_Data!AB252,IF(N249="tres_insatisfait",1,IF(N249="insatisfait",2,IF(N249="neutre",3,IF(N249="satisfait",4,IF(N249="tres_satisfait",5,""))))))</f>
        <v/>
      </c>
      <c r="P249" s="12">
        <f>IF(Raw_Data!AL252&lt;&gt;"",Raw_Data!AL252,Raw_Data!R252)</f>
        <v>0</v>
      </c>
      <c r="Q249" s="12">
        <f t="shared" si="29"/>
        <v>0</v>
      </c>
      <c r="R249" s="12" t="str">
        <f>IF(Raw_Data!AM252="","",Raw_Data!AM252)</f>
        <v/>
      </c>
      <c r="S249" s="12" t="str">
        <f t="shared" si="30"/>
        <v/>
      </c>
      <c r="T249" s="12" t="str">
        <f>IF(Raw_Data!AN252="","",Raw_Data!AN252)</f>
        <v/>
      </c>
      <c r="U249" s="12" t="str">
        <f t="shared" si="31"/>
        <v/>
      </c>
      <c r="V249" s="12" t="str">
        <f>IF(Raw_Data!AP252="","",IF(Raw_Data!AP252="oui",1,0))</f>
        <v/>
      </c>
      <c r="W249" s="12" t="str">
        <f>IF(Raw_Data!AQ252="","",IF(Raw_Data!AQ252="oui",1,0))</f>
        <v/>
      </c>
      <c r="X249" s="12" t="str">
        <f>IF(Raw_Data!AR252="","",IF(Raw_Data!AR252="oui",1,0))</f>
        <v/>
      </c>
      <c r="Y249" s="12" t="str">
        <f>IF(Raw_Data!AS252="","",IF(Raw_Data!AS252="oui",1,0))</f>
        <v/>
      </c>
      <c r="Z249" s="12" t="str">
        <f>IF(Raw_Data!V252="","",IF(Raw_Data!V252="oui",1,0))</f>
        <v/>
      </c>
      <c r="AA249" s="12" t="str">
        <f>IF(Raw_Data!W252="","",IF(Raw_Data!W252="oui",1,0))</f>
        <v/>
      </c>
      <c r="AB249" s="12" t="str">
        <f>IF(Raw_Data!Q252="","",IF(Raw_Data!Q252="oui",1,0))</f>
        <v/>
      </c>
      <c r="AC249" s="12">
        <f>Raw_Data!AF252</f>
        <v>0</v>
      </c>
      <c r="AD249" s="12" t="str">
        <f t="shared" si="32"/>
        <v/>
      </c>
      <c r="AE249" s="12" t="str">
        <f t="shared" si="33"/>
        <v/>
      </c>
      <c r="AF249" s="12" t="str">
        <f t="shared" si="34"/>
        <v/>
      </c>
      <c r="AG249" s="12">
        <f t="shared" si="35"/>
        <v>0</v>
      </c>
    </row>
    <row r="250" spans="1:33" ht="15" customHeight="1" x14ac:dyDescent="0.25">
      <c r="A250" s="12" t="str">
        <f>IF(Raw_Data!B253="","",Raw_Data!B253)</f>
        <v/>
      </c>
      <c r="B250" s="12">
        <f>IF(Raw_Data!X253&lt;&gt;"",Raw_Data!X253,Raw_Data!C253)</f>
        <v>0</v>
      </c>
      <c r="C250" s="12" t="str">
        <f>IF(Raw_Data!G253="","",Raw_Data!G253)</f>
        <v/>
      </c>
      <c r="D250" s="12" t="str">
        <f>IF(Raw_Data!H253="","",Raw_Data!H253)</f>
        <v/>
      </c>
      <c r="E250" s="12" t="str">
        <f>IF(Raw_Data!I253="","",Raw_Data!I253)</f>
        <v/>
      </c>
      <c r="F250" s="12" t="str">
        <f>IF(Raw_Data!J253="","",Raw_Data!J253)</f>
        <v/>
      </c>
      <c r="G250" s="12" t="str">
        <f>IF(Raw_Data!AH253&lt;&gt;"",Raw_Data!AH253,IF(Raw_Data!K253&lt;&gt;"",Raw_Data!K253,""))</f>
        <v/>
      </c>
      <c r="H250" s="12" t="str">
        <f>IF(Raw_Data!AI253&lt;&gt;"",Raw_Data!AI253,IF(Raw_Data!L253&lt;&gt;"",Raw_Data!L253,""))</f>
        <v/>
      </c>
      <c r="I250" s="12" t="str">
        <f t="shared" si="27"/>
        <v/>
      </c>
      <c r="J250" s="12" t="str">
        <f>IF(Raw_Data!M253="","",Raw_Data!M253)</f>
        <v/>
      </c>
      <c r="K250" s="12">
        <f>IF(Raw_Data!AJ253&lt;&gt;"",Raw_Data!AJ253,Raw_Data!N253)</f>
        <v>0</v>
      </c>
      <c r="L250" s="12">
        <f t="shared" si="28"/>
        <v>1</v>
      </c>
      <c r="M250" s="12" t="str">
        <f>IF(Raw_Data!AK253="","",Raw_Data!AK253)</f>
        <v/>
      </c>
      <c r="N250" s="12" t="str">
        <f>IF(Raw_Data!T253="","",Raw_Data!T253)</f>
        <v/>
      </c>
      <c r="O250" s="12" t="str">
        <f>IF(Raw_Data!AB253&lt;&gt;"",Raw_Data!AB253,IF(N250="tres_insatisfait",1,IF(N250="insatisfait",2,IF(N250="neutre",3,IF(N250="satisfait",4,IF(N250="tres_satisfait",5,""))))))</f>
        <v/>
      </c>
      <c r="P250" s="12">
        <f>IF(Raw_Data!AL253&lt;&gt;"",Raw_Data!AL253,Raw_Data!R253)</f>
        <v>0</v>
      </c>
      <c r="Q250" s="12">
        <f t="shared" si="29"/>
        <v>0</v>
      </c>
      <c r="R250" s="12" t="str">
        <f>IF(Raw_Data!AM253="","",Raw_Data!AM253)</f>
        <v/>
      </c>
      <c r="S250" s="12" t="str">
        <f t="shared" si="30"/>
        <v/>
      </c>
      <c r="T250" s="12" t="str">
        <f>IF(Raw_Data!AN253="","",Raw_Data!AN253)</f>
        <v/>
      </c>
      <c r="U250" s="12" t="str">
        <f t="shared" si="31"/>
        <v/>
      </c>
      <c r="V250" s="12" t="str">
        <f>IF(Raw_Data!AP253="","",IF(Raw_Data!AP253="oui",1,0))</f>
        <v/>
      </c>
      <c r="W250" s="12" t="str">
        <f>IF(Raw_Data!AQ253="","",IF(Raw_Data!AQ253="oui",1,0))</f>
        <v/>
      </c>
      <c r="X250" s="12" t="str">
        <f>IF(Raw_Data!AR253="","",IF(Raw_Data!AR253="oui",1,0))</f>
        <v/>
      </c>
      <c r="Y250" s="12" t="str">
        <f>IF(Raw_Data!AS253="","",IF(Raw_Data!AS253="oui",1,0))</f>
        <v/>
      </c>
      <c r="Z250" s="12" t="str">
        <f>IF(Raw_Data!V253="","",IF(Raw_Data!V253="oui",1,0))</f>
        <v/>
      </c>
      <c r="AA250" s="12" t="str">
        <f>IF(Raw_Data!W253="","",IF(Raw_Data!W253="oui",1,0))</f>
        <v/>
      </c>
      <c r="AB250" s="12" t="str">
        <f>IF(Raw_Data!Q253="","",IF(Raw_Data!Q253="oui",1,0))</f>
        <v/>
      </c>
      <c r="AC250" s="12">
        <f>Raw_Data!AF253</f>
        <v>0</v>
      </c>
      <c r="AD250" s="12" t="str">
        <f t="shared" si="32"/>
        <v/>
      </c>
      <c r="AE250" s="12" t="str">
        <f t="shared" si="33"/>
        <v/>
      </c>
      <c r="AF250" s="12" t="str">
        <f t="shared" si="34"/>
        <v/>
      </c>
      <c r="AG250" s="12">
        <f t="shared" si="35"/>
        <v>0</v>
      </c>
    </row>
    <row r="251" spans="1:33" ht="15" customHeight="1" x14ac:dyDescent="0.25">
      <c r="A251" s="12" t="str">
        <f>IF(Raw_Data!B254="","",Raw_Data!B254)</f>
        <v/>
      </c>
      <c r="B251" s="12">
        <f>IF(Raw_Data!X254&lt;&gt;"",Raw_Data!X254,Raw_Data!C254)</f>
        <v>0</v>
      </c>
      <c r="C251" s="12" t="str">
        <f>IF(Raw_Data!G254="","",Raw_Data!G254)</f>
        <v/>
      </c>
      <c r="D251" s="12" t="str">
        <f>IF(Raw_Data!H254="","",Raw_Data!H254)</f>
        <v/>
      </c>
      <c r="E251" s="12" t="str">
        <f>IF(Raw_Data!I254="","",Raw_Data!I254)</f>
        <v/>
      </c>
      <c r="F251" s="12" t="str">
        <f>IF(Raw_Data!J254="","",Raw_Data!J254)</f>
        <v/>
      </c>
      <c r="G251" s="12" t="str">
        <f>IF(Raw_Data!AH254&lt;&gt;"",Raw_Data!AH254,IF(Raw_Data!K254&lt;&gt;"",Raw_Data!K254,""))</f>
        <v/>
      </c>
      <c r="H251" s="12" t="str">
        <f>IF(Raw_Data!AI254&lt;&gt;"",Raw_Data!AI254,IF(Raw_Data!L254&lt;&gt;"",Raw_Data!L254,""))</f>
        <v/>
      </c>
      <c r="I251" s="12" t="str">
        <f t="shared" si="27"/>
        <v/>
      </c>
      <c r="J251" s="12" t="str">
        <f>IF(Raw_Data!M254="","",Raw_Data!M254)</f>
        <v/>
      </c>
      <c r="K251" s="12">
        <f>IF(Raw_Data!AJ254&lt;&gt;"",Raw_Data!AJ254,Raw_Data!N254)</f>
        <v>0</v>
      </c>
      <c r="L251" s="12">
        <f t="shared" si="28"/>
        <v>1</v>
      </c>
      <c r="M251" s="12" t="str">
        <f>IF(Raw_Data!AK254="","",Raw_Data!AK254)</f>
        <v/>
      </c>
      <c r="N251" s="12" t="str">
        <f>IF(Raw_Data!T254="","",Raw_Data!T254)</f>
        <v/>
      </c>
      <c r="O251" s="12" t="str">
        <f>IF(Raw_Data!AB254&lt;&gt;"",Raw_Data!AB254,IF(N251="tres_insatisfait",1,IF(N251="insatisfait",2,IF(N251="neutre",3,IF(N251="satisfait",4,IF(N251="tres_satisfait",5,""))))))</f>
        <v/>
      </c>
      <c r="P251" s="12">
        <f>IF(Raw_Data!AL254&lt;&gt;"",Raw_Data!AL254,Raw_Data!R254)</f>
        <v>0</v>
      </c>
      <c r="Q251" s="12">
        <f t="shared" si="29"/>
        <v>0</v>
      </c>
      <c r="R251" s="12" t="str">
        <f>IF(Raw_Data!AM254="","",Raw_Data!AM254)</f>
        <v/>
      </c>
      <c r="S251" s="12" t="str">
        <f t="shared" si="30"/>
        <v/>
      </c>
      <c r="T251" s="12" t="str">
        <f>IF(Raw_Data!AN254="","",Raw_Data!AN254)</f>
        <v/>
      </c>
      <c r="U251" s="12" t="str">
        <f t="shared" si="31"/>
        <v/>
      </c>
      <c r="V251" s="12" t="str">
        <f>IF(Raw_Data!AP254="","",IF(Raw_Data!AP254="oui",1,0))</f>
        <v/>
      </c>
      <c r="W251" s="12" t="str">
        <f>IF(Raw_Data!AQ254="","",IF(Raw_Data!AQ254="oui",1,0))</f>
        <v/>
      </c>
      <c r="X251" s="12" t="str">
        <f>IF(Raw_Data!AR254="","",IF(Raw_Data!AR254="oui",1,0))</f>
        <v/>
      </c>
      <c r="Y251" s="12" t="str">
        <f>IF(Raw_Data!AS254="","",IF(Raw_Data!AS254="oui",1,0))</f>
        <v/>
      </c>
      <c r="Z251" s="12" t="str">
        <f>IF(Raw_Data!V254="","",IF(Raw_Data!V254="oui",1,0))</f>
        <v/>
      </c>
      <c r="AA251" s="12" t="str">
        <f>IF(Raw_Data!W254="","",IF(Raw_Data!W254="oui",1,0))</f>
        <v/>
      </c>
      <c r="AB251" s="12" t="str">
        <f>IF(Raw_Data!Q254="","",IF(Raw_Data!Q254="oui",1,0))</f>
        <v/>
      </c>
      <c r="AC251" s="12">
        <f>Raw_Data!AF254</f>
        <v>0</v>
      </c>
      <c r="AD251" s="12" t="str">
        <f t="shared" si="32"/>
        <v/>
      </c>
      <c r="AE251" s="12" t="str">
        <f t="shared" si="33"/>
        <v/>
      </c>
      <c r="AF251" s="12" t="str">
        <f t="shared" si="34"/>
        <v/>
      </c>
      <c r="AG251" s="12">
        <f t="shared" si="35"/>
        <v>0</v>
      </c>
    </row>
    <row r="252" spans="1:33" ht="15" customHeight="1" x14ac:dyDescent="0.25">
      <c r="A252" s="12" t="str">
        <f>IF(Raw_Data!B255="","",Raw_Data!B255)</f>
        <v/>
      </c>
      <c r="B252" s="12">
        <f>IF(Raw_Data!X255&lt;&gt;"",Raw_Data!X255,Raw_Data!C255)</f>
        <v>0</v>
      </c>
      <c r="C252" s="12" t="str">
        <f>IF(Raw_Data!G255="","",Raw_Data!G255)</f>
        <v/>
      </c>
      <c r="D252" s="12" t="str">
        <f>IF(Raw_Data!H255="","",Raw_Data!H255)</f>
        <v/>
      </c>
      <c r="E252" s="12" t="str">
        <f>IF(Raw_Data!I255="","",Raw_Data!I255)</f>
        <v/>
      </c>
      <c r="F252" s="12" t="str">
        <f>IF(Raw_Data!J255="","",Raw_Data!J255)</f>
        <v/>
      </c>
      <c r="G252" s="12" t="str">
        <f>IF(Raw_Data!AH255&lt;&gt;"",Raw_Data!AH255,IF(Raw_Data!K255&lt;&gt;"",Raw_Data!K255,""))</f>
        <v/>
      </c>
      <c r="H252" s="12" t="str">
        <f>IF(Raw_Data!AI255&lt;&gt;"",Raw_Data!AI255,IF(Raw_Data!L255&lt;&gt;"",Raw_Data!L255,""))</f>
        <v/>
      </c>
      <c r="I252" s="12" t="str">
        <f t="shared" si="27"/>
        <v/>
      </c>
      <c r="J252" s="12" t="str">
        <f>IF(Raw_Data!M255="","",Raw_Data!M255)</f>
        <v/>
      </c>
      <c r="K252" s="12">
        <f>IF(Raw_Data!AJ255&lt;&gt;"",Raw_Data!AJ255,Raw_Data!N255)</f>
        <v>0</v>
      </c>
      <c r="L252" s="12">
        <f t="shared" si="28"/>
        <v>1</v>
      </c>
      <c r="M252" s="12" t="str">
        <f>IF(Raw_Data!AK255="","",Raw_Data!AK255)</f>
        <v/>
      </c>
      <c r="N252" s="12" t="str">
        <f>IF(Raw_Data!T255="","",Raw_Data!T255)</f>
        <v/>
      </c>
      <c r="O252" s="12" t="str">
        <f>IF(Raw_Data!AB255&lt;&gt;"",Raw_Data!AB255,IF(N252="tres_insatisfait",1,IF(N252="insatisfait",2,IF(N252="neutre",3,IF(N252="satisfait",4,IF(N252="tres_satisfait",5,""))))))</f>
        <v/>
      </c>
      <c r="P252" s="12">
        <f>IF(Raw_Data!AL255&lt;&gt;"",Raw_Data!AL255,Raw_Data!R255)</f>
        <v>0</v>
      </c>
      <c r="Q252" s="12">
        <f t="shared" si="29"/>
        <v>0</v>
      </c>
      <c r="R252" s="12" t="str">
        <f>IF(Raw_Data!AM255="","",Raw_Data!AM255)</f>
        <v/>
      </c>
      <c r="S252" s="12" t="str">
        <f t="shared" si="30"/>
        <v/>
      </c>
      <c r="T252" s="12" t="str">
        <f>IF(Raw_Data!AN255="","",Raw_Data!AN255)</f>
        <v/>
      </c>
      <c r="U252" s="12" t="str">
        <f t="shared" si="31"/>
        <v/>
      </c>
      <c r="V252" s="12" t="str">
        <f>IF(Raw_Data!AP255="","",IF(Raw_Data!AP255="oui",1,0))</f>
        <v/>
      </c>
      <c r="W252" s="12" t="str">
        <f>IF(Raw_Data!AQ255="","",IF(Raw_Data!AQ255="oui",1,0))</f>
        <v/>
      </c>
      <c r="X252" s="12" t="str">
        <f>IF(Raw_Data!AR255="","",IF(Raw_Data!AR255="oui",1,0))</f>
        <v/>
      </c>
      <c r="Y252" s="12" t="str">
        <f>IF(Raw_Data!AS255="","",IF(Raw_Data!AS255="oui",1,0))</f>
        <v/>
      </c>
      <c r="Z252" s="12" t="str">
        <f>IF(Raw_Data!V255="","",IF(Raw_Data!V255="oui",1,0))</f>
        <v/>
      </c>
      <c r="AA252" s="12" t="str">
        <f>IF(Raw_Data!W255="","",IF(Raw_Data!W255="oui",1,0))</f>
        <v/>
      </c>
      <c r="AB252" s="12" t="str">
        <f>IF(Raw_Data!Q255="","",IF(Raw_Data!Q255="oui",1,0))</f>
        <v/>
      </c>
      <c r="AC252" s="12">
        <f>Raw_Data!AF255</f>
        <v>0</v>
      </c>
      <c r="AD252" s="12" t="str">
        <f t="shared" si="32"/>
        <v/>
      </c>
      <c r="AE252" s="12" t="str">
        <f t="shared" si="33"/>
        <v/>
      </c>
      <c r="AF252" s="12" t="str">
        <f t="shared" si="34"/>
        <v/>
      </c>
      <c r="AG252" s="12">
        <f t="shared" si="35"/>
        <v>0</v>
      </c>
    </row>
    <row r="253" spans="1:33" ht="15" customHeight="1" x14ac:dyDescent="0.25">
      <c r="A253" s="12" t="str">
        <f>IF(Raw_Data!B256="","",Raw_Data!B256)</f>
        <v/>
      </c>
      <c r="B253" s="12">
        <f>IF(Raw_Data!X256&lt;&gt;"",Raw_Data!X256,Raw_Data!C256)</f>
        <v>0</v>
      </c>
      <c r="C253" s="12" t="str">
        <f>IF(Raw_Data!G256="","",Raw_Data!G256)</f>
        <v/>
      </c>
      <c r="D253" s="12" t="str">
        <f>IF(Raw_Data!H256="","",Raw_Data!H256)</f>
        <v/>
      </c>
      <c r="E253" s="12" t="str">
        <f>IF(Raw_Data!I256="","",Raw_Data!I256)</f>
        <v/>
      </c>
      <c r="F253" s="12" t="str">
        <f>IF(Raw_Data!J256="","",Raw_Data!J256)</f>
        <v/>
      </c>
      <c r="G253" s="12" t="str">
        <f>IF(Raw_Data!AH256&lt;&gt;"",Raw_Data!AH256,IF(Raw_Data!K256&lt;&gt;"",Raw_Data!K256,""))</f>
        <v/>
      </c>
      <c r="H253" s="12" t="str">
        <f>IF(Raw_Data!AI256&lt;&gt;"",Raw_Data!AI256,IF(Raw_Data!L256&lt;&gt;"",Raw_Data!L256,""))</f>
        <v/>
      </c>
      <c r="I253" s="12" t="str">
        <f t="shared" si="27"/>
        <v/>
      </c>
      <c r="J253" s="12" t="str">
        <f>IF(Raw_Data!M256="","",Raw_Data!M256)</f>
        <v/>
      </c>
      <c r="K253" s="12">
        <f>IF(Raw_Data!AJ256&lt;&gt;"",Raw_Data!AJ256,Raw_Data!N256)</f>
        <v>0</v>
      </c>
      <c r="L253" s="12">
        <f t="shared" si="28"/>
        <v>1</v>
      </c>
      <c r="M253" s="12" t="str">
        <f>IF(Raw_Data!AK256="","",Raw_Data!AK256)</f>
        <v/>
      </c>
      <c r="N253" s="12" t="str">
        <f>IF(Raw_Data!T256="","",Raw_Data!T256)</f>
        <v/>
      </c>
      <c r="O253" s="12" t="str">
        <f>IF(Raw_Data!AB256&lt;&gt;"",Raw_Data!AB256,IF(N253="tres_insatisfait",1,IF(N253="insatisfait",2,IF(N253="neutre",3,IF(N253="satisfait",4,IF(N253="tres_satisfait",5,""))))))</f>
        <v/>
      </c>
      <c r="P253" s="12">
        <f>IF(Raw_Data!AL256&lt;&gt;"",Raw_Data!AL256,Raw_Data!R256)</f>
        <v>0</v>
      </c>
      <c r="Q253" s="12">
        <f t="shared" si="29"/>
        <v>0</v>
      </c>
      <c r="R253" s="12" t="str">
        <f>IF(Raw_Data!AM256="","",Raw_Data!AM256)</f>
        <v/>
      </c>
      <c r="S253" s="12" t="str">
        <f t="shared" si="30"/>
        <v/>
      </c>
      <c r="T253" s="12" t="str">
        <f>IF(Raw_Data!AN256="","",Raw_Data!AN256)</f>
        <v/>
      </c>
      <c r="U253" s="12" t="str">
        <f t="shared" si="31"/>
        <v/>
      </c>
      <c r="V253" s="12" t="str">
        <f>IF(Raw_Data!AP256="","",IF(Raw_Data!AP256="oui",1,0))</f>
        <v/>
      </c>
      <c r="W253" s="12" t="str">
        <f>IF(Raw_Data!AQ256="","",IF(Raw_Data!AQ256="oui",1,0))</f>
        <v/>
      </c>
      <c r="X253" s="12" t="str">
        <f>IF(Raw_Data!AR256="","",IF(Raw_Data!AR256="oui",1,0))</f>
        <v/>
      </c>
      <c r="Y253" s="12" t="str">
        <f>IF(Raw_Data!AS256="","",IF(Raw_Data!AS256="oui",1,0))</f>
        <v/>
      </c>
      <c r="Z253" s="12" t="str">
        <f>IF(Raw_Data!V256="","",IF(Raw_Data!V256="oui",1,0))</f>
        <v/>
      </c>
      <c r="AA253" s="12" t="str">
        <f>IF(Raw_Data!W256="","",IF(Raw_Data!W256="oui",1,0))</f>
        <v/>
      </c>
      <c r="AB253" s="12" t="str">
        <f>IF(Raw_Data!Q256="","",IF(Raw_Data!Q256="oui",1,0))</f>
        <v/>
      </c>
      <c r="AC253" s="12">
        <f>Raw_Data!AF256</f>
        <v>0</v>
      </c>
      <c r="AD253" s="12" t="str">
        <f t="shared" si="32"/>
        <v/>
      </c>
      <c r="AE253" s="12" t="str">
        <f t="shared" si="33"/>
        <v/>
      </c>
      <c r="AF253" s="12" t="str">
        <f t="shared" si="34"/>
        <v/>
      </c>
      <c r="AG253" s="12">
        <f t="shared" si="35"/>
        <v>0</v>
      </c>
    </row>
    <row r="254" spans="1:33" ht="15" customHeight="1" x14ac:dyDescent="0.25">
      <c r="A254" s="12" t="str">
        <f>IF(Raw_Data!B257="","",Raw_Data!B257)</f>
        <v/>
      </c>
      <c r="B254" s="12">
        <f>IF(Raw_Data!X257&lt;&gt;"",Raw_Data!X257,Raw_Data!C257)</f>
        <v>0</v>
      </c>
      <c r="C254" s="12" t="str">
        <f>IF(Raw_Data!G257="","",Raw_Data!G257)</f>
        <v/>
      </c>
      <c r="D254" s="12" t="str">
        <f>IF(Raw_Data!H257="","",Raw_Data!H257)</f>
        <v/>
      </c>
      <c r="E254" s="12" t="str">
        <f>IF(Raw_Data!I257="","",Raw_Data!I257)</f>
        <v/>
      </c>
      <c r="F254" s="12" t="str">
        <f>IF(Raw_Data!J257="","",Raw_Data!J257)</f>
        <v/>
      </c>
      <c r="G254" s="12" t="str">
        <f>IF(Raw_Data!AH257&lt;&gt;"",Raw_Data!AH257,IF(Raw_Data!K257&lt;&gt;"",Raw_Data!K257,""))</f>
        <v/>
      </c>
      <c r="H254" s="12" t="str">
        <f>IF(Raw_Data!AI257&lt;&gt;"",Raw_Data!AI257,IF(Raw_Data!L257&lt;&gt;"",Raw_Data!L257,""))</f>
        <v/>
      </c>
      <c r="I254" s="12" t="str">
        <f t="shared" si="27"/>
        <v/>
      </c>
      <c r="J254" s="12" t="str">
        <f>IF(Raw_Data!M257="","",Raw_Data!M257)</f>
        <v/>
      </c>
      <c r="K254" s="12">
        <f>IF(Raw_Data!AJ257&lt;&gt;"",Raw_Data!AJ257,Raw_Data!N257)</f>
        <v>0</v>
      </c>
      <c r="L254" s="12">
        <f t="shared" si="28"/>
        <v>1</v>
      </c>
      <c r="M254" s="12" t="str">
        <f>IF(Raw_Data!AK257="","",Raw_Data!AK257)</f>
        <v/>
      </c>
      <c r="N254" s="12" t="str">
        <f>IF(Raw_Data!T257="","",Raw_Data!T257)</f>
        <v/>
      </c>
      <c r="O254" s="12" t="str">
        <f>IF(Raw_Data!AB257&lt;&gt;"",Raw_Data!AB257,IF(N254="tres_insatisfait",1,IF(N254="insatisfait",2,IF(N254="neutre",3,IF(N254="satisfait",4,IF(N254="tres_satisfait",5,""))))))</f>
        <v/>
      </c>
      <c r="P254" s="12">
        <f>IF(Raw_Data!AL257&lt;&gt;"",Raw_Data!AL257,Raw_Data!R257)</f>
        <v>0</v>
      </c>
      <c r="Q254" s="12">
        <f t="shared" si="29"/>
        <v>0</v>
      </c>
      <c r="R254" s="12" t="str">
        <f>IF(Raw_Data!AM257="","",Raw_Data!AM257)</f>
        <v/>
      </c>
      <c r="S254" s="12" t="str">
        <f t="shared" si="30"/>
        <v/>
      </c>
      <c r="T254" s="12" t="str">
        <f>IF(Raw_Data!AN257="","",Raw_Data!AN257)</f>
        <v/>
      </c>
      <c r="U254" s="12" t="str">
        <f t="shared" si="31"/>
        <v/>
      </c>
      <c r="V254" s="12" t="str">
        <f>IF(Raw_Data!AP257="","",IF(Raw_Data!AP257="oui",1,0))</f>
        <v/>
      </c>
      <c r="W254" s="12" t="str">
        <f>IF(Raw_Data!AQ257="","",IF(Raw_Data!AQ257="oui",1,0))</f>
        <v/>
      </c>
      <c r="X254" s="12" t="str">
        <f>IF(Raw_Data!AR257="","",IF(Raw_Data!AR257="oui",1,0))</f>
        <v/>
      </c>
      <c r="Y254" s="12" t="str">
        <f>IF(Raw_Data!AS257="","",IF(Raw_Data!AS257="oui",1,0))</f>
        <v/>
      </c>
      <c r="Z254" s="12" t="str">
        <f>IF(Raw_Data!V257="","",IF(Raw_Data!V257="oui",1,0))</f>
        <v/>
      </c>
      <c r="AA254" s="12" t="str">
        <f>IF(Raw_Data!W257="","",IF(Raw_Data!W257="oui",1,0))</f>
        <v/>
      </c>
      <c r="AB254" s="12" t="str">
        <f>IF(Raw_Data!Q257="","",IF(Raw_Data!Q257="oui",1,0))</f>
        <v/>
      </c>
      <c r="AC254" s="12">
        <f>Raw_Data!AF257</f>
        <v>0</v>
      </c>
      <c r="AD254" s="12" t="str">
        <f t="shared" si="32"/>
        <v/>
      </c>
      <c r="AE254" s="12" t="str">
        <f t="shared" si="33"/>
        <v/>
      </c>
      <c r="AF254" s="12" t="str">
        <f t="shared" si="34"/>
        <v/>
      </c>
      <c r="AG254" s="12">
        <f t="shared" si="35"/>
        <v>0</v>
      </c>
    </row>
    <row r="255" spans="1:33" ht="15" customHeight="1" x14ac:dyDescent="0.25">
      <c r="A255" s="12" t="str">
        <f>IF(Raw_Data!B258="","",Raw_Data!B258)</f>
        <v/>
      </c>
      <c r="B255" s="12">
        <f>IF(Raw_Data!X258&lt;&gt;"",Raw_Data!X258,Raw_Data!C258)</f>
        <v>0</v>
      </c>
      <c r="C255" s="12" t="str">
        <f>IF(Raw_Data!G258="","",Raw_Data!G258)</f>
        <v/>
      </c>
      <c r="D255" s="12" t="str">
        <f>IF(Raw_Data!H258="","",Raw_Data!H258)</f>
        <v/>
      </c>
      <c r="E255" s="12" t="str">
        <f>IF(Raw_Data!I258="","",Raw_Data!I258)</f>
        <v/>
      </c>
      <c r="F255" s="12" t="str">
        <f>IF(Raw_Data!J258="","",Raw_Data!J258)</f>
        <v/>
      </c>
      <c r="G255" s="12" t="str">
        <f>IF(Raw_Data!AH258&lt;&gt;"",Raw_Data!AH258,IF(Raw_Data!K258&lt;&gt;"",Raw_Data!K258,""))</f>
        <v/>
      </c>
      <c r="H255" s="12" t="str">
        <f>IF(Raw_Data!AI258&lt;&gt;"",Raw_Data!AI258,IF(Raw_Data!L258&lt;&gt;"",Raw_Data!L258,""))</f>
        <v/>
      </c>
      <c r="I255" s="12" t="str">
        <f t="shared" si="27"/>
        <v/>
      </c>
      <c r="J255" s="12" t="str">
        <f>IF(Raw_Data!M258="","",Raw_Data!M258)</f>
        <v/>
      </c>
      <c r="K255" s="12">
        <f>IF(Raw_Data!AJ258&lt;&gt;"",Raw_Data!AJ258,Raw_Data!N258)</f>
        <v>0</v>
      </c>
      <c r="L255" s="12">
        <f t="shared" si="28"/>
        <v>1</v>
      </c>
      <c r="M255" s="12" t="str">
        <f>IF(Raw_Data!AK258="","",Raw_Data!AK258)</f>
        <v/>
      </c>
      <c r="N255" s="12" t="str">
        <f>IF(Raw_Data!T258="","",Raw_Data!T258)</f>
        <v/>
      </c>
      <c r="O255" s="12" t="str">
        <f>IF(Raw_Data!AB258&lt;&gt;"",Raw_Data!AB258,IF(N255="tres_insatisfait",1,IF(N255="insatisfait",2,IF(N255="neutre",3,IF(N255="satisfait",4,IF(N255="tres_satisfait",5,""))))))</f>
        <v/>
      </c>
      <c r="P255" s="12">
        <f>IF(Raw_Data!AL258&lt;&gt;"",Raw_Data!AL258,Raw_Data!R258)</f>
        <v>0</v>
      </c>
      <c r="Q255" s="12">
        <f t="shared" si="29"/>
        <v>0</v>
      </c>
      <c r="R255" s="12" t="str">
        <f>IF(Raw_Data!AM258="","",Raw_Data!AM258)</f>
        <v/>
      </c>
      <c r="S255" s="12" t="str">
        <f t="shared" si="30"/>
        <v/>
      </c>
      <c r="T255" s="12" t="str">
        <f>IF(Raw_Data!AN258="","",Raw_Data!AN258)</f>
        <v/>
      </c>
      <c r="U255" s="12" t="str">
        <f t="shared" si="31"/>
        <v/>
      </c>
      <c r="V255" s="12" t="str">
        <f>IF(Raw_Data!AP258="","",IF(Raw_Data!AP258="oui",1,0))</f>
        <v/>
      </c>
      <c r="W255" s="12" t="str">
        <f>IF(Raw_Data!AQ258="","",IF(Raw_Data!AQ258="oui",1,0))</f>
        <v/>
      </c>
      <c r="X255" s="12" t="str">
        <f>IF(Raw_Data!AR258="","",IF(Raw_Data!AR258="oui",1,0))</f>
        <v/>
      </c>
      <c r="Y255" s="12" t="str">
        <f>IF(Raw_Data!AS258="","",IF(Raw_Data!AS258="oui",1,0))</f>
        <v/>
      </c>
      <c r="Z255" s="12" t="str">
        <f>IF(Raw_Data!V258="","",IF(Raw_Data!V258="oui",1,0))</f>
        <v/>
      </c>
      <c r="AA255" s="12" t="str">
        <f>IF(Raw_Data!W258="","",IF(Raw_Data!W258="oui",1,0))</f>
        <v/>
      </c>
      <c r="AB255" s="12" t="str">
        <f>IF(Raw_Data!Q258="","",IF(Raw_Data!Q258="oui",1,0))</f>
        <v/>
      </c>
      <c r="AC255" s="12">
        <f>Raw_Data!AF258</f>
        <v>0</v>
      </c>
      <c r="AD255" s="12" t="str">
        <f t="shared" si="32"/>
        <v/>
      </c>
      <c r="AE255" s="12" t="str">
        <f t="shared" si="33"/>
        <v/>
      </c>
      <c r="AF255" s="12" t="str">
        <f t="shared" si="34"/>
        <v/>
      </c>
      <c r="AG255" s="12">
        <f t="shared" si="35"/>
        <v>0</v>
      </c>
    </row>
    <row r="256" spans="1:33" ht="15" customHeight="1" x14ac:dyDescent="0.25">
      <c r="A256" s="12" t="str">
        <f>IF(Raw_Data!B259="","",Raw_Data!B259)</f>
        <v/>
      </c>
      <c r="B256" s="12">
        <f>IF(Raw_Data!X259&lt;&gt;"",Raw_Data!X259,Raw_Data!C259)</f>
        <v>0</v>
      </c>
      <c r="C256" s="12" t="str">
        <f>IF(Raw_Data!G259="","",Raw_Data!G259)</f>
        <v/>
      </c>
      <c r="D256" s="12" t="str">
        <f>IF(Raw_Data!H259="","",Raw_Data!H259)</f>
        <v/>
      </c>
      <c r="E256" s="12" t="str">
        <f>IF(Raw_Data!I259="","",Raw_Data!I259)</f>
        <v/>
      </c>
      <c r="F256" s="12" t="str">
        <f>IF(Raw_Data!J259="","",Raw_Data!J259)</f>
        <v/>
      </c>
      <c r="G256" s="12" t="str">
        <f>IF(Raw_Data!AH259&lt;&gt;"",Raw_Data!AH259,IF(Raw_Data!K259&lt;&gt;"",Raw_Data!K259,""))</f>
        <v/>
      </c>
      <c r="H256" s="12" t="str">
        <f>IF(Raw_Data!AI259&lt;&gt;"",Raw_Data!AI259,IF(Raw_Data!L259&lt;&gt;"",Raw_Data!L259,""))</f>
        <v/>
      </c>
      <c r="I256" s="12" t="str">
        <f t="shared" si="27"/>
        <v/>
      </c>
      <c r="J256" s="12" t="str">
        <f>IF(Raw_Data!M259="","",Raw_Data!M259)</f>
        <v/>
      </c>
      <c r="K256" s="12">
        <f>IF(Raw_Data!AJ259&lt;&gt;"",Raw_Data!AJ259,Raw_Data!N259)</f>
        <v>0</v>
      </c>
      <c r="L256" s="12">
        <f t="shared" si="28"/>
        <v>1</v>
      </c>
      <c r="M256" s="12" t="str">
        <f>IF(Raw_Data!AK259="","",Raw_Data!AK259)</f>
        <v/>
      </c>
      <c r="N256" s="12" t="str">
        <f>IF(Raw_Data!T259="","",Raw_Data!T259)</f>
        <v/>
      </c>
      <c r="O256" s="12" t="str">
        <f>IF(Raw_Data!AB259&lt;&gt;"",Raw_Data!AB259,IF(N256="tres_insatisfait",1,IF(N256="insatisfait",2,IF(N256="neutre",3,IF(N256="satisfait",4,IF(N256="tres_satisfait",5,""))))))</f>
        <v/>
      </c>
      <c r="P256" s="12">
        <f>IF(Raw_Data!AL259&lt;&gt;"",Raw_Data!AL259,Raw_Data!R259)</f>
        <v>0</v>
      </c>
      <c r="Q256" s="12">
        <f t="shared" si="29"/>
        <v>0</v>
      </c>
      <c r="R256" s="12" t="str">
        <f>IF(Raw_Data!AM259="","",Raw_Data!AM259)</f>
        <v/>
      </c>
      <c r="S256" s="12" t="str">
        <f t="shared" si="30"/>
        <v/>
      </c>
      <c r="T256" s="12" t="str">
        <f>IF(Raw_Data!AN259="","",Raw_Data!AN259)</f>
        <v/>
      </c>
      <c r="U256" s="12" t="str">
        <f t="shared" si="31"/>
        <v/>
      </c>
      <c r="V256" s="12" t="str">
        <f>IF(Raw_Data!AP259="","",IF(Raw_Data!AP259="oui",1,0))</f>
        <v/>
      </c>
      <c r="W256" s="12" t="str">
        <f>IF(Raw_Data!AQ259="","",IF(Raw_Data!AQ259="oui",1,0))</f>
        <v/>
      </c>
      <c r="X256" s="12" t="str">
        <f>IF(Raw_Data!AR259="","",IF(Raw_Data!AR259="oui",1,0))</f>
        <v/>
      </c>
      <c r="Y256" s="12" t="str">
        <f>IF(Raw_Data!AS259="","",IF(Raw_Data!AS259="oui",1,0))</f>
        <v/>
      </c>
      <c r="Z256" s="12" t="str">
        <f>IF(Raw_Data!V259="","",IF(Raw_Data!V259="oui",1,0))</f>
        <v/>
      </c>
      <c r="AA256" s="12" t="str">
        <f>IF(Raw_Data!W259="","",IF(Raw_Data!W259="oui",1,0))</f>
        <v/>
      </c>
      <c r="AB256" s="12" t="str">
        <f>IF(Raw_Data!Q259="","",IF(Raw_Data!Q259="oui",1,0))</f>
        <v/>
      </c>
      <c r="AC256" s="12">
        <f>Raw_Data!AF259</f>
        <v>0</v>
      </c>
      <c r="AD256" s="12" t="str">
        <f t="shared" si="32"/>
        <v/>
      </c>
      <c r="AE256" s="12" t="str">
        <f t="shared" si="33"/>
        <v/>
      </c>
      <c r="AF256" s="12" t="str">
        <f t="shared" si="34"/>
        <v/>
      </c>
      <c r="AG256" s="12">
        <f t="shared" si="35"/>
        <v>0</v>
      </c>
    </row>
    <row r="257" spans="1:33" ht="15" customHeight="1" x14ac:dyDescent="0.25">
      <c r="A257" s="12" t="str">
        <f>IF(Raw_Data!B260="","",Raw_Data!B260)</f>
        <v/>
      </c>
      <c r="B257" s="12">
        <f>IF(Raw_Data!X260&lt;&gt;"",Raw_Data!X260,Raw_Data!C260)</f>
        <v>0</v>
      </c>
      <c r="C257" s="12" t="str">
        <f>IF(Raw_Data!G260="","",Raw_Data!G260)</f>
        <v/>
      </c>
      <c r="D257" s="12" t="str">
        <f>IF(Raw_Data!H260="","",Raw_Data!H260)</f>
        <v/>
      </c>
      <c r="E257" s="12" t="str">
        <f>IF(Raw_Data!I260="","",Raw_Data!I260)</f>
        <v/>
      </c>
      <c r="F257" s="12" t="str">
        <f>IF(Raw_Data!J260="","",Raw_Data!J260)</f>
        <v/>
      </c>
      <c r="G257" s="12" t="str">
        <f>IF(Raw_Data!AH260&lt;&gt;"",Raw_Data!AH260,IF(Raw_Data!K260&lt;&gt;"",Raw_Data!K260,""))</f>
        <v/>
      </c>
      <c r="H257" s="12" t="str">
        <f>IF(Raw_Data!AI260&lt;&gt;"",Raw_Data!AI260,IF(Raw_Data!L260&lt;&gt;"",Raw_Data!L260,""))</f>
        <v/>
      </c>
      <c r="I257" s="12" t="str">
        <f t="shared" si="27"/>
        <v/>
      </c>
      <c r="J257" s="12" t="str">
        <f>IF(Raw_Data!M260="","",Raw_Data!M260)</f>
        <v/>
      </c>
      <c r="K257" s="12">
        <f>IF(Raw_Data!AJ260&lt;&gt;"",Raw_Data!AJ260,Raw_Data!N260)</f>
        <v>0</v>
      </c>
      <c r="L257" s="12">
        <f t="shared" si="28"/>
        <v>1</v>
      </c>
      <c r="M257" s="12" t="str">
        <f>IF(Raw_Data!AK260="","",Raw_Data!AK260)</f>
        <v/>
      </c>
      <c r="N257" s="12" t="str">
        <f>IF(Raw_Data!T260="","",Raw_Data!T260)</f>
        <v/>
      </c>
      <c r="O257" s="12" t="str">
        <f>IF(Raw_Data!AB260&lt;&gt;"",Raw_Data!AB260,IF(N257="tres_insatisfait",1,IF(N257="insatisfait",2,IF(N257="neutre",3,IF(N257="satisfait",4,IF(N257="tres_satisfait",5,""))))))</f>
        <v/>
      </c>
      <c r="P257" s="12">
        <f>IF(Raw_Data!AL260&lt;&gt;"",Raw_Data!AL260,Raw_Data!R260)</f>
        <v>0</v>
      </c>
      <c r="Q257" s="12">
        <f t="shared" si="29"/>
        <v>0</v>
      </c>
      <c r="R257" s="12" t="str">
        <f>IF(Raw_Data!AM260="","",Raw_Data!AM260)</f>
        <v/>
      </c>
      <c r="S257" s="12" t="str">
        <f t="shared" si="30"/>
        <v/>
      </c>
      <c r="T257" s="12" t="str">
        <f>IF(Raw_Data!AN260="","",Raw_Data!AN260)</f>
        <v/>
      </c>
      <c r="U257" s="12" t="str">
        <f t="shared" si="31"/>
        <v/>
      </c>
      <c r="V257" s="12" t="str">
        <f>IF(Raw_Data!AP260="","",IF(Raw_Data!AP260="oui",1,0))</f>
        <v/>
      </c>
      <c r="W257" s="12" t="str">
        <f>IF(Raw_Data!AQ260="","",IF(Raw_Data!AQ260="oui",1,0))</f>
        <v/>
      </c>
      <c r="X257" s="12" t="str">
        <f>IF(Raw_Data!AR260="","",IF(Raw_Data!AR260="oui",1,0))</f>
        <v/>
      </c>
      <c r="Y257" s="12" t="str">
        <f>IF(Raw_Data!AS260="","",IF(Raw_Data!AS260="oui",1,0))</f>
        <v/>
      </c>
      <c r="Z257" s="12" t="str">
        <f>IF(Raw_Data!V260="","",IF(Raw_Data!V260="oui",1,0))</f>
        <v/>
      </c>
      <c r="AA257" s="12" t="str">
        <f>IF(Raw_Data!W260="","",IF(Raw_Data!W260="oui",1,0))</f>
        <v/>
      </c>
      <c r="AB257" s="12" t="str">
        <f>IF(Raw_Data!Q260="","",IF(Raw_Data!Q260="oui",1,0))</f>
        <v/>
      </c>
      <c r="AC257" s="12">
        <f>Raw_Data!AF260</f>
        <v>0</v>
      </c>
      <c r="AD257" s="12" t="str">
        <f t="shared" si="32"/>
        <v/>
      </c>
      <c r="AE257" s="12" t="str">
        <f t="shared" si="33"/>
        <v/>
      </c>
      <c r="AF257" s="12" t="str">
        <f t="shared" si="34"/>
        <v/>
      </c>
      <c r="AG257" s="12">
        <f t="shared" si="35"/>
        <v>0</v>
      </c>
    </row>
    <row r="258" spans="1:33" ht="15" customHeight="1" x14ac:dyDescent="0.25">
      <c r="A258" s="12" t="str">
        <f>IF(Raw_Data!B261="","",Raw_Data!B261)</f>
        <v/>
      </c>
      <c r="B258" s="12">
        <f>IF(Raw_Data!X261&lt;&gt;"",Raw_Data!X261,Raw_Data!C261)</f>
        <v>0</v>
      </c>
      <c r="C258" s="12" t="str">
        <f>IF(Raw_Data!G261="","",Raw_Data!G261)</f>
        <v/>
      </c>
      <c r="D258" s="12" t="str">
        <f>IF(Raw_Data!H261="","",Raw_Data!H261)</f>
        <v/>
      </c>
      <c r="E258" s="12" t="str">
        <f>IF(Raw_Data!I261="","",Raw_Data!I261)</f>
        <v/>
      </c>
      <c r="F258" s="12" t="str">
        <f>IF(Raw_Data!J261="","",Raw_Data!J261)</f>
        <v/>
      </c>
      <c r="G258" s="12" t="str">
        <f>IF(Raw_Data!AH261&lt;&gt;"",Raw_Data!AH261,IF(Raw_Data!K261&lt;&gt;"",Raw_Data!K261,""))</f>
        <v/>
      </c>
      <c r="H258" s="12" t="str">
        <f>IF(Raw_Data!AI261&lt;&gt;"",Raw_Data!AI261,IF(Raw_Data!L261&lt;&gt;"",Raw_Data!L261,""))</f>
        <v/>
      </c>
      <c r="I258" s="12" t="str">
        <f t="shared" ref="I258:I321" si="36">IF(H258="","",IF(H258&lt;18,"&lt;18 ans",IF(H258&lt;60,"18-59 ans","60 ans et +")))</f>
        <v/>
      </c>
      <c r="J258" s="12" t="str">
        <f>IF(Raw_Data!M261="","",Raw_Data!M261)</f>
        <v/>
      </c>
      <c r="K258" s="12">
        <f>IF(Raw_Data!AJ261&lt;&gt;"",Raw_Data!AJ261,Raw_Data!N261)</f>
        <v>0</v>
      </c>
      <c r="L258" s="12">
        <f t="shared" ref="L258:L321" si="37">IF(K258="",0,1)</f>
        <v>1</v>
      </c>
      <c r="M258" s="12" t="str">
        <f>IF(Raw_Data!AK261="","",Raw_Data!AK261)</f>
        <v/>
      </c>
      <c r="N258" s="12" t="str">
        <f>IF(Raw_Data!T261="","",Raw_Data!T261)</f>
        <v/>
      </c>
      <c r="O258" s="12" t="str">
        <f>IF(Raw_Data!AB261&lt;&gt;"",Raw_Data!AB261,IF(N258="tres_insatisfait",1,IF(N258="insatisfait",2,IF(N258="neutre",3,IF(N258="satisfait",4,IF(N258="tres_satisfait",5,""))))))</f>
        <v/>
      </c>
      <c r="P258" s="12">
        <f>IF(Raw_Data!AL261&lt;&gt;"",Raw_Data!AL261,Raw_Data!R261)</f>
        <v>0</v>
      </c>
      <c r="Q258" s="12">
        <f t="shared" ref="Q258:Q321" si="38">IF(P258="","",IF(P258="oui",1,0))</f>
        <v>0</v>
      </c>
      <c r="R258" s="12" t="str">
        <f>IF(Raw_Data!AM261="","",Raw_Data!AM261)</f>
        <v/>
      </c>
      <c r="S258" s="12" t="str">
        <f t="shared" ref="S258:S321" si="39">IF(R258="","",IF(R258="oui",1,0))</f>
        <v/>
      </c>
      <c r="T258" s="12" t="str">
        <f>IF(Raw_Data!AN261="","",Raw_Data!AN261)</f>
        <v/>
      </c>
      <c r="U258" s="12" t="str">
        <f t="shared" ref="U258:U321" si="40">IF(T258="","",IF(T258="oui",1,0))</f>
        <v/>
      </c>
      <c r="V258" s="12" t="str">
        <f>IF(Raw_Data!AP261="","",IF(Raw_Data!AP261="oui",1,0))</f>
        <v/>
      </c>
      <c r="W258" s="12" t="str">
        <f>IF(Raw_Data!AQ261="","",IF(Raw_Data!AQ261="oui",1,0))</f>
        <v/>
      </c>
      <c r="X258" s="12" t="str">
        <f>IF(Raw_Data!AR261="","",IF(Raw_Data!AR261="oui",1,0))</f>
        <v/>
      </c>
      <c r="Y258" s="12" t="str">
        <f>IF(Raw_Data!AS261="","",IF(Raw_Data!AS261="oui",1,0))</f>
        <v/>
      </c>
      <c r="Z258" s="12" t="str">
        <f>IF(Raw_Data!V261="","",IF(Raw_Data!V261="oui",1,0))</f>
        <v/>
      </c>
      <c r="AA258" s="12" t="str">
        <f>IF(Raw_Data!W261="","",IF(Raw_Data!W261="oui",1,0))</f>
        <v/>
      </c>
      <c r="AB258" s="12" t="str">
        <f>IF(Raw_Data!Q261="","",IF(Raw_Data!Q261="oui",1,0))</f>
        <v/>
      </c>
      <c r="AC258" s="12">
        <f>Raw_Data!AF261</f>
        <v>0</v>
      </c>
      <c r="AD258" s="12" t="str">
        <f t="shared" ref="AD258:AD321" si="41">IF(A258="","",F258&amp;"|"&amp;E258&amp;"|"&amp;TEXT(B258,"YYYY-MM-DD"))</f>
        <v/>
      </c>
      <c r="AE258" s="12" t="str">
        <f t="shared" ref="AE258:AE321" si="42">IF(AD258="","",IF(COUNTIF($AD$2:$AD$1000,AD258)&gt;1,1,0))</f>
        <v/>
      </c>
      <c r="AF258" s="12" t="str">
        <f t="shared" ref="AF258:AF321" si="43">IF(A258="","",IF(OR(C258="",D258="",G258="",H258="",N258=""),1,0))</f>
        <v/>
      </c>
      <c r="AG258" s="12">
        <f t="shared" ref="AG258:AG321" si="44">IF(A258="",0,1)</f>
        <v>0</v>
      </c>
    </row>
    <row r="259" spans="1:33" ht="15" customHeight="1" x14ac:dyDescent="0.25">
      <c r="A259" s="12" t="str">
        <f>IF(Raw_Data!B262="","",Raw_Data!B262)</f>
        <v/>
      </c>
      <c r="B259" s="12">
        <f>IF(Raw_Data!X262&lt;&gt;"",Raw_Data!X262,Raw_Data!C262)</f>
        <v>0</v>
      </c>
      <c r="C259" s="12" t="str">
        <f>IF(Raw_Data!G262="","",Raw_Data!G262)</f>
        <v/>
      </c>
      <c r="D259" s="12" t="str">
        <f>IF(Raw_Data!H262="","",Raw_Data!H262)</f>
        <v/>
      </c>
      <c r="E259" s="12" t="str">
        <f>IF(Raw_Data!I262="","",Raw_Data!I262)</f>
        <v/>
      </c>
      <c r="F259" s="12" t="str">
        <f>IF(Raw_Data!J262="","",Raw_Data!J262)</f>
        <v/>
      </c>
      <c r="G259" s="12" t="str">
        <f>IF(Raw_Data!AH262&lt;&gt;"",Raw_Data!AH262,IF(Raw_Data!K262&lt;&gt;"",Raw_Data!K262,""))</f>
        <v/>
      </c>
      <c r="H259" s="12" t="str">
        <f>IF(Raw_Data!AI262&lt;&gt;"",Raw_Data!AI262,IF(Raw_Data!L262&lt;&gt;"",Raw_Data!L262,""))</f>
        <v/>
      </c>
      <c r="I259" s="12" t="str">
        <f t="shared" si="36"/>
        <v/>
      </c>
      <c r="J259" s="12" t="str">
        <f>IF(Raw_Data!M262="","",Raw_Data!M262)</f>
        <v/>
      </c>
      <c r="K259" s="12">
        <f>IF(Raw_Data!AJ262&lt;&gt;"",Raw_Data!AJ262,Raw_Data!N262)</f>
        <v>0</v>
      </c>
      <c r="L259" s="12">
        <f t="shared" si="37"/>
        <v>1</v>
      </c>
      <c r="M259" s="12" t="str">
        <f>IF(Raw_Data!AK262="","",Raw_Data!AK262)</f>
        <v/>
      </c>
      <c r="N259" s="12" t="str">
        <f>IF(Raw_Data!T262="","",Raw_Data!T262)</f>
        <v/>
      </c>
      <c r="O259" s="12" t="str">
        <f>IF(Raw_Data!AB262&lt;&gt;"",Raw_Data!AB262,IF(N259="tres_insatisfait",1,IF(N259="insatisfait",2,IF(N259="neutre",3,IF(N259="satisfait",4,IF(N259="tres_satisfait",5,""))))))</f>
        <v/>
      </c>
      <c r="P259" s="12">
        <f>IF(Raw_Data!AL262&lt;&gt;"",Raw_Data!AL262,Raw_Data!R262)</f>
        <v>0</v>
      </c>
      <c r="Q259" s="12">
        <f t="shared" si="38"/>
        <v>0</v>
      </c>
      <c r="R259" s="12" t="str">
        <f>IF(Raw_Data!AM262="","",Raw_Data!AM262)</f>
        <v/>
      </c>
      <c r="S259" s="12" t="str">
        <f t="shared" si="39"/>
        <v/>
      </c>
      <c r="T259" s="12" t="str">
        <f>IF(Raw_Data!AN262="","",Raw_Data!AN262)</f>
        <v/>
      </c>
      <c r="U259" s="12" t="str">
        <f t="shared" si="40"/>
        <v/>
      </c>
      <c r="V259" s="12" t="str">
        <f>IF(Raw_Data!AP262="","",IF(Raw_Data!AP262="oui",1,0))</f>
        <v/>
      </c>
      <c r="W259" s="12" t="str">
        <f>IF(Raw_Data!AQ262="","",IF(Raw_Data!AQ262="oui",1,0))</f>
        <v/>
      </c>
      <c r="X259" s="12" t="str">
        <f>IF(Raw_Data!AR262="","",IF(Raw_Data!AR262="oui",1,0))</f>
        <v/>
      </c>
      <c r="Y259" s="12" t="str">
        <f>IF(Raw_Data!AS262="","",IF(Raw_Data!AS262="oui",1,0))</f>
        <v/>
      </c>
      <c r="Z259" s="12" t="str">
        <f>IF(Raw_Data!V262="","",IF(Raw_Data!V262="oui",1,0))</f>
        <v/>
      </c>
      <c r="AA259" s="12" t="str">
        <f>IF(Raw_Data!W262="","",IF(Raw_Data!W262="oui",1,0))</f>
        <v/>
      </c>
      <c r="AB259" s="12" t="str">
        <f>IF(Raw_Data!Q262="","",IF(Raw_Data!Q262="oui",1,0))</f>
        <v/>
      </c>
      <c r="AC259" s="12">
        <f>Raw_Data!AF262</f>
        <v>0</v>
      </c>
      <c r="AD259" s="12" t="str">
        <f t="shared" si="41"/>
        <v/>
      </c>
      <c r="AE259" s="12" t="str">
        <f t="shared" si="42"/>
        <v/>
      </c>
      <c r="AF259" s="12" t="str">
        <f t="shared" si="43"/>
        <v/>
      </c>
      <c r="AG259" s="12">
        <f t="shared" si="44"/>
        <v>0</v>
      </c>
    </row>
    <row r="260" spans="1:33" ht="15" customHeight="1" x14ac:dyDescent="0.25">
      <c r="A260" s="12" t="str">
        <f>IF(Raw_Data!B263="","",Raw_Data!B263)</f>
        <v/>
      </c>
      <c r="B260" s="12">
        <f>IF(Raw_Data!X263&lt;&gt;"",Raw_Data!X263,Raw_Data!C263)</f>
        <v>0</v>
      </c>
      <c r="C260" s="12" t="str">
        <f>IF(Raw_Data!G263="","",Raw_Data!G263)</f>
        <v/>
      </c>
      <c r="D260" s="12" t="str">
        <f>IF(Raw_Data!H263="","",Raw_Data!H263)</f>
        <v/>
      </c>
      <c r="E260" s="12" t="str">
        <f>IF(Raw_Data!I263="","",Raw_Data!I263)</f>
        <v/>
      </c>
      <c r="F260" s="12" t="str">
        <f>IF(Raw_Data!J263="","",Raw_Data!J263)</f>
        <v/>
      </c>
      <c r="G260" s="12" t="str">
        <f>IF(Raw_Data!AH263&lt;&gt;"",Raw_Data!AH263,IF(Raw_Data!K263&lt;&gt;"",Raw_Data!K263,""))</f>
        <v/>
      </c>
      <c r="H260" s="12" t="str">
        <f>IF(Raw_Data!AI263&lt;&gt;"",Raw_Data!AI263,IF(Raw_Data!L263&lt;&gt;"",Raw_Data!L263,""))</f>
        <v/>
      </c>
      <c r="I260" s="12" t="str">
        <f t="shared" si="36"/>
        <v/>
      </c>
      <c r="J260" s="12" t="str">
        <f>IF(Raw_Data!M263="","",Raw_Data!M263)</f>
        <v/>
      </c>
      <c r="K260" s="12">
        <f>IF(Raw_Data!AJ263&lt;&gt;"",Raw_Data!AJ263,Raw_Data!N263)</f>
        <v>0</v>
      </c>
      <c r="L260" s="12">
        <f t="shared" si="37"/>
        <v>1</v>
      </c>
      <c r="M260" s="12" t="str">
        <f>IF(Raw_Data!AK263="","",Raw_Data!AK263)</f>
        <v/>
      </c>
      <c r="N260" s="12" t="str">
        <f>IF(Raw_Data!T263="","",Raw_Data!T263)</f>
        <v/>
      </c>
      <c r="O260" s="12" t="str">
        <f>IF(Raw_Data!AB263&lt;&gt;"",Raw_Data!AB263,IF(N260="tres_insatisfait",1,IF(N260="insatisfait",2,IF(N260="neutre",3,IF(N260="satisfait",4,IF(N260="tres_satisfait",5,""))))))</f>
        <v/>
      </c>
      <c r="P260" s="12">
        <f>IF(Raw_Data!AL263&lt;&gt;"",Raw_Data!AL263,Raw_Data!R263)</f>
        <v>0</v>
      </c>
      <c r="Q260" s="12">
        <f t="shared" si="38"/>
        <v>0</v>
      </c>
      <c r="R260" s="12" t="str">
        <f>IF(Raw_Data!AM263="","",Raw_Data!AM263)</f>
        <v/>
      </c>
      <c r="S260" s="12" t="str">
        <f t="shared" si="39"/>
        <v/>
      </c>
      <c r="T260" s="12" t="str">
        <f>IF(Raw_Data!AN263="","",Raw_Data!AN263)</f>
        <v/>
      </c>
      <c r="U260" s="12" t="str">
        <f t="shared" si="40"/>
        <v/>
      </c>
      <c r="V260" s="12" t="str">
        <f>IF(Raw_Data!AP263="","",IF(Raw_Data!AP263="oui",1,0))</f>
        <v/>
      </c>
      <c r="W260" s="12" t="str">
        <f>IF(Raw_Data!AQ263="","",IF(Raw_Data!AQ263="oui",1,0))</f>
        <v/>
      </c>
      <c r="X260" s="12" t="str">
        <f>IF(Raw_Data!AR263="","",IF(Raw_Data!AR263="oui",1,0))</f>
        <v/>
      </c>
      <c r="Y260" s="12" t="str">
        <f>IF(Raw_Data!AS263="","",IF(Raw_Data!AS263="oui",1,0))</f>
        <v/>
      </c>
      <c r="Z260" s="12" t="str">
        <f>IF(Raw_Data!V263="","",IF(Raw_Data!V263="oui",1,0))</f>
        <v/>
      </c>
      <c r="AA260" s="12" t="str">
        <f>IF(Raw_Data!W263="","",IF(Raw_Data!W263="oui",1,0))</f>
        <v/>
      </c>
      <c r="AB260" s="12" t="str">
        <f>IF(Raw_Data!Q263="","",IF(Raw_Data!Q263="oui",1,0))</f>
        <v/>
      </c>
      <c r="AC260" s="12">
        <f>Raw_Data!AF263</f>
        <v>0</v>
      </c>
      <c r="AD260" s="12" t="str">
        <f t="shared" si="41"/>
        <v/>
      </c>
      <c r="AE260" s="12" t="str">
        <f t="shared" si="42"/>
        <v/>
      </c>
      <c r="AF260" s="12" t="str">
        <f t="shared" si="43"/>
        <v/>
      </c>
      <c r="AG260" s="12">
        <f t="shared" si="44"/>
        <v>0</v>
      </c>
    </row>
    <row r="261" spans="1:33" ht="15" customHeight="1" x14ac:dyDescent="0.25">
      <c r="A261" s="12" t="str">
        <f>IF(Raw_Data!B264="","",Raw_Data!B264)</f>
        <v/>
      </c>
      <c r="B261" s="12">
        <f>IF(Raw_Data!X264&lt;&gt;"",Raw_Data!X264,Raw_Data!C264)</f>
        <v>0</v>
      </c>
      <c r="C261" s="12" t="str">
        <f>IF(Raw_Data!G264="","",Raw_Data!G264)</f>
        <v/>
      </c>
      <c r="D261" s="12" t="str">
        <f>IF(Raw_Data!H264="","",Raw_Data!H264)</f>
        <v/>
      </c>
      <c r="E261" s="12" t="str">
        <f>IF(Raw_Data!I264="","",Raw_Data!I264)</f>
        <v/>
      </c>
      <c r="F261" s="12" t="str">
        <f>IF(Raw_Data!J264="","",Raw_Data!J264)</f>
        <v/>
      </c>
      <c r="G261" s="12" t="str">
        <f>IF(Raw_Data!AH264&lt;&gt;"",Raw_Data!AH264,IF(Raw_Data!K264&lt;&gt;"",Raw_Data!K264,""))</f>
        <v/>
      </c>
      <c r="H261" s="12" t="str">
        <f>IF(Raw_Data!AI264&lt;&gt;"",Raw_Data!AI264,IF(Raw_Data!L264&lt;&gt;"",Raw_Data!L264,""))</f>
        <v/>
      </c>
      <c r="I261" s="12" t="str">
        <f t="shared" si="36"/>
        <v/>
      </c>
      <c r="J261" s="12" t="str">
        <f>IF(Raw_Data!M264="","",Raw_Data!M264)</f>
        <v/>
      </c>
      <c r="K261" s="12">
        <f>IF(Raw_Data!AJ264&lt;&gt;"",Raw_Data!AJ264,Raw_Data!N264)</f>
        <v>0</v>
      </c>
      <c r="L261" s="12">
        <f t="shared" si="37"/>
        <v>1</v>
      </c>
      <c r="M261" s="12" t="str">
        <f>IF(Raw_Data!AK264="","",Raw_Data!AK264)</f>
        <v/>
      </c>
      <c r="N261" s="12" t="str">
        <f>IF(Raw_Data!T264="","",Raw_Data!T264)</f>
        <v/>
      </c>
      <c r="O261" s="12" t="str">
        <f>IF(Raw_Data!AB264&lt;&gt;"",Raw_Data!AB264,IF(N261="tres_insatisfait",1,IF(N261="insatisfait",2,IF(N261="neutre",3,IF(N261="satisfait",4,IF(N261="tres_satisfait",5,""))))))</f>
        <v/>
      </c>
      <c r="P261" s="12">
        <f>IF(Raw_Data!AL264&lt;&gt;"",Raw_Data!AL264,Raw_Data!R264)</f>
        <v>0</v>
      </c>
      <c r="Q261" s="12">
        <f t="shared" si="38"/>
        <v>0</v>
      </c>
      <c r="R261" s="12" t="str">
        <f>IF(Raw_Data!AM264="","",Raw_Data!AM264)</f>
        <v/>
      </c>
      <c r="S261" s="12" t="str">
        <f t="shared" si="39"/>
        <v/>
      </c>
      <c r="T261" s="12" t="str">
        <f>IF(Raw_Data!AN264="","",Raw_Data!AN264)</f>
        <v/>
      </c>
      <c r="U261" s="12" t="str">
        <f t="shared" si="40"/>
        <v/>
      </c>
      <c r="V261" s="12" t="str">
        <f>IF(Raw_Data!AP264="","",IF(Raw_Data!AP264="oui",1,0))</f>
        <v/>
      </c>
      <c r="W261" s="12" t="str">
        <f>IF(Raw_Data!AQ264="","",IF(Raw_Data!AQ264="oui",1,0))</f>
        <v/>
      </c>
      <c r="X261" s="12" t="str">
        <f>IF(Raw_Data!AR264="","",IF(Raw_Data!AR264="oui",1,0))</f>
        <v/>
      </c>
      <c r="Y261" s="12" t="str">
        <f>IF(Raw_Data!AS264="","",IF(Raw_Data!AS264="oui",1,0))</f>
        <v/>
      </c>
      <c r="Z261" s="12" t="str">
        <f>IF(Raw_Data!V264="","",IF(Raw_Data!V264="oui",1,0))</f>
        <v/>
      </c>
      <c r="AA261" s="12" t="str">
        <f>IF(Raw_Data!W264="","",IF(Raw_Data!W264="oui",1,0))</f>
        <v/>
      </c>
      <c r="AB261" s="12" t="str">
        <f>IF(Raw_Data!Q264="","",IF(Raw_Data!Q264="oui",1,0))</f>
        <v/>
      </c>
      <c r="AC261" s="12">
        <f>Raw_Data!AF264</f>
        <v>0</v>
      </c>
      <c r="AD261" s="12" t="str">
        <f t="shared" si="41"/>
        <v/>
      </c>
      <c r="AE261" s="12" t="str">
        <f t="shared" si="42"/>
        <v/>
      </c>
      <c r="AF261" s="12" t="str">
        <f t="shared" si="43"/>
        <v/>
      </c>
      <c r="AG261" s="12">
        <f t="shared" si="44"/>
        <v>0</v>
      </c>
    </row>
    <row r="262" spans="1:33" ht="15" customHeight="1" x14ac:dyDescent="0.25">
      <c r="A262" s="12" t="str">
        <f>IF(Raw_Data!B265="","",Raw_Data!B265)</f>
        <v/>
      </c>
      <c r="B262" s="12">
        <f>IF(Raw_Data!X265&lt;&gt;"",Raw_Data!X265,Raw_Data!C265)</f>
        <v>0</v>
      </c>
      <c r="C262" s="12" t="str">
        <f>IF(Raw_Data!G265="","",Raw_Data!G265)</f>
        <v/>
      </c>
      <c r="D262" s="12" t="str">
        <f>IF(Raw_Data!H265="","",Raw_Data!H265)</f>
        <v/>
      </c>
      <c r="E262" s="12" t="str">
        <f>IF(Raw_Data!I265="","",Raw_Data!I265)</f>
        <v/>
      </c>
      <c r="F262" s="12" t="str">
        <f>IF(Raw_Data!J265="","",Raw_Data!J265)</f>
        <v/>
      </c>
      <c r="G262" s="12" t="str">
        <f>IF(Raw_Data!AH265&lt;&gt;"",Raw_Data!AH265,IF(Raw_Data!K265&lt;&gt;"",Raw_Data!K265,""))</f>
        <v/>
      </c>
      <c r="H262" s="12" t="str">
        <f>IF(Raw_Data!AI265&lt;&gt;"",Raw_Data!AI265,IF(Raw_Data!L265&lt;&gt;"",Raw_Data!L265,""))</f>
        <v/>
      </c>
      <c r="I262" s="12" t="str">
        <f t="shared" si="36"/>
        <v/>
      </c>
      <c r="J262" s="12" t="str">
        <f>IF(Raw_Data!M265="","",Raw_Data!M265)</f>
        <v/>
      </c>
      <c r="K262" s="12">
        <f>IF(Raw_Data!AJ265&lt;&gt;"",Raw_Data!AJ265,Raw_Data!N265)</f>
        <v>0</v>
      </c>
      <c r="L262" s="12">
        <f t="shared" si="37"/>
        <v>1</v>
      </c>
      <c r="M262" s="12" t="str">
        <f>IF(Raw_Data!AK265="","",Raw_Data!AK265)</f>
        <v/>
      </c>
      <c r="N262" s="12" t="str">
        <f>IF(Raw_Data!T265="","",Raw_Data!T265)</f>
        <v/>
      </c>
      <c r="O262" s="12" t="str">
        <f>IF(Raw_Data!AB265&lt;&gt;"",Raw_Data!AB265,IF(N262="tres_insatisfait",1,IF(N262="insatisfait",2,IF(N262="neutre",3,IF(N262="satisfait",4,IF(N262="tres_satisfait",5,""))))))</f>
        <v/>
      </c>
      <c r="P262" s="12">
        <f>IF(Raw_Data!AL265&lt;&gt;"",Raw_Data!AL265,Raw_Data!R265)</f>
        <v>0</v>
      </c>
      <c r="Q262" s="12">
        <f t="shared" si="38"/>
        <v>0</v>
      </c>
      <c r="R262" s="12" t="str">
        <f>IF(Raw_Data!AM265="","",Raw_Data!AM265)</f>
        <v/>
      </c>
      <c r="S262" s="12" t="str">
        <f t="shared" si="39"/>
        <v/>
      </c>
      <c r="T262" s="12" t="str">
        <f>IF(Raw_Data!AN265="","",Raw_Data!AN265)</f>
        <v/>
      </c>
      <c r="U262" s="12" t="str">
        <f t="shared" si="40"/>
        <v/>
      </c>
      <c r="V262" s="12" t="str">
        <f>IF(Raw_Data!AP265="","",IF(Raw_Data!AP265="oui",1,0))</f>
        <v/>
      </c>
      <c r="W262" s="12" t="str">
        <f>IF(Raw_Data!AQ265="","",IF(Raw_Data!AQ265="oui",1,0))</f>
        <v/>
      </c>
      <c r="X262" s="12" t="str">
        <f>IF(Raw_Data!AR265="","",IF(Raw_Data!AR265="oui",1,0))</f>
        <v/>
      </c>
      <c r="Y262" s="12" t="str">
        <f>IF(Raw_Data!AS265="","",IF(Raw_Data!AS265="oui",1,0))</f>
        <v/>
      </c>
      <c r="Z262" s="12" t="str">
        <f>IF(Raw_Data!V265="","",IF(Raw_Data!V265="oui",1,0))</f>
        <v/>
      </c>
      <c r="AA262" s="12" t="str">
        <f>IF(Raw_Data!W265="","",IF(Raw_Data!W265="oui",1,0))</f>
        <v/>
      </c>
      <c r="AB262" s="12" t="str">
        <f>IF(Raw_Data!Q265="","",IF(Raw_Data!Q265="oui",1,0))</f>
        <v/>
      </c>
      <c r="AC262" s="12">
        <f>Raw_Data!AF265</f>
        <v>0</v>
      </c>
      <c r="AD262" s="12" t="str">
        <f t="shared" si="41"/>
        <v/>
      </c>
      <c r="AE262" s="12" t="str">
        <f t="shared" si="42"/>
        <v/>
      </c>
      <c r="AF262" s="12" t="str">
        <f t="shared" si="43"/>
        <v/>
      </c>
      <c r="AG262" s="12">
        <f t="shared" si="44"/>
        <v>0</v>
      </c>
    </row>
    <row r="263" spans="1:33" ht="15" customHeight="1" x14ac:dyDescent="0.25">
      <c r="A263" s="12" t="str">
        <f>IF(Raw_Data!B266="","",Raw_Data!B266)</f>
        <v/>
      </c>
      <c r="B263" s="12">
        <f>IF(Raw_Data!X266&lt;&gt;"",Raw_Data!X266,Raw_Data!C266)</f>
        <v>0</v>
      </c>
      <c r="C263" s="12" t="str">
        <f>IF(Raw_Data!G266="","",Raw_Data!G266)</f>
        <v/>
      </c>
      <c r="D263" s="12" t="str">
        <f>IF(Raw_Data!H266="","",Raw_Data!H266)</f>
        <v/>
      </c>
      <c r="E263" s="12" t="str">
        <f>IF(Raw_Data!I266="","",Raw_Data!I266)</f>
        <v/>
      </c>
      <c r="F263" s="12" t="str">
        <f>IF(Raw_Data!J266="","",Raw_Data!J266)</f>
        <v/>
      </c>
      <c r="G263" s="12" t="str">
        <f>IF(Raw_Data!AH266&lt;&gt;"",Raw_Data!AH266,IF(Raw_Data!K266&lt;&gt;"",Raw_Data!K266,""))</f>
        <v/>
      </c>
      <c r="H263" s="12" t="str">
        <f>IF(Raw_Data!AI266&lt;&gt;"",Raw_Data!AI266,IF(Raw_Data!L266&lt;&gt;"",Raw_Data!L266,""))</f>
        <v/>
      </c>
      <c r="I263" s="12" t="str">
        <f t="shared" si="36"/>
        <v/>
      </c>
      <c r="J263" s="12" t="str">
        <f>IF(Raw_Data!M266="","",Raw_Data!M266)</f>
        <v/>
      </c>
      <c r="K263" s="12">
        <f>IF(Raw_Data!AJ266&lt;&gt;"",Raw_Data!AJ266,Raw_Data!N266)</f>
        <v>0</v>
      </c>
      <c r="L263" s="12">
        <f t="shared" si="37"/>
        <v>1</v>
      </c>
      <c r="M263" s="12" t="str">
        <f>IF(Raw_Data!AK266="","",Raw_Data!AK266)</f>
        <v/>
      </c>
      <c r="N263" s="12" t="str">
        <f>IF(Raw_Data!T266="","",Raw_Data!T266)</f>
        <v/>
      </c>
      <c r="O263" s="12" t="str">
        <f>IF(Raw_Data!AB266&lt;&gt;"",Raw_Data!AB266,IF(N263="tres_insatisfait",1,IF(N263="insatisfait",2,IF(N263="neutre",3,IF(N263="satisfait",4,IF(N263="tres_satisfait",5,""))))))</f>
        <v/>
      </c>
      <c r="P263" s="12">
        <f>IF(Raw_Data!AL266&lt;&gt;"",Raw_Data!AL266,Raw_Data!R266)</f>
        <v>0</v>
      </c>
      <c r="Q263" s="12">
        <f t="shared" si="38"/>
        <v>0</v>
      </c>
      <c r="R263" s="12" t="str">
        <f>IF(Raw_Data!AM266="","",Raw_Data!AM266)</f>
        <v/>
      </c>
      <c r="S263" s="12" t="str">
        <f t="shared" si="39"/>
        <v/>
      </c>
      <c r="T263" s="12" t="str">
        <f>IF(Raw_Data!AN266="","",Raw_Data!AN266)</f>
        <v/>
      </c>
      <c r="U263" s="12" t="str">
        <f t="shared" si="40"/>
        <v/>
      </c>
      <c r="V263" s="12" t="str">
        <f>IF(Raw_Data!AP266="","",IF(Raw_Data!AP266="oui",1,0))</f>
        <v/>
      </c>
      <c r="W263" s="12" t="str">
        <f>IF(Raw_Data!AQ266="","",IF(Raw_Data!AQ266="oui",1,0))</f>
        <v/>
      </c>
      <c r="X263" s="12" t="str">
        <f>IF(Raw_Data!AR266="","",IF(Raw_Data!AR266="oui",1,0))</f>
        <v/>
      </c>
      <c r="Y263" s="12" t="str">
        <f>IF(Raw_Data!AS266="","",IF(Raw_Data!AS266="oui",1,0))</f>
        <v/>
      </c>
      <c r="Z263" s="12" t="str">
        <f>IF(Raw_Data!V266="","",IF(Raw_Data!V266="oui",1,0))</f>
        <v/>
      </c>
      <c r="AA263" s="12" t="str">
        <f>IF(Raw_Data!W266="","",IF(Raw_Data!W266="oui",1,0))</f>
        <v/>
      </c>
      <c r="AB263" s="12" t="str">
        <f>IF(Raw_Data!Q266="","",IF(Raw_Data!Q266="oui",1,0))</f>
        <v/>
      </c>
      <c r="AC263" s="12">
        <f>Raw_Data!AF266</f>
        <v>0</v>
      </c>
      <c r="AD263" s="12" t="str">
        <f t="shared" si="41"/>
        <v/>
      </c>
      <c r="AE263" s="12" t="str">
        <f t="shared" si="42"/>
        <v/>
      </c>
      <c r="AF263" s="12" t="str">
        <f t="shared" si="43"/>
        <v/>
      </c>
      <c r="AG263" s="12">
        <f t="shared" si="44"/>
        <v>0</v>
      </c>
    </row>
    <row r="264" spans="1:33" ht="15" customHeight="1" x14ac:dyDescent="0.25">
      <c r="A264" s="12" t="str">
        <f>IF(Raw_Data!B267="","",Raw_Data!B267)</f>
        <v/>
      </c>
      <c r="B264" s="12">
        <f>IF(Raw_Data!X267&lt;&gt;"",Raw_Data!X267,Raw_Data!C267)</f>
        <v>0</v>
      </c>
      <c r="C264" s="12" t="str">
        <f>IF(Raw_Data!G267="","",Raw_Data!G267)</f>
        <v/>
      </c>
      <c r="D264" s="12" t="str">
        <f>IF(Raw_Data!H267="","",Raw_Data!H267)</f>
        <v/>
      </c>
      <c r="E264" s="12" t="str">
        <f>IF(Raw_Data!I267="","",Raw_Data!I267)</f>
        <v/>
      </c>
      <c r="F264" s="12" t="str">
        <f>IF(Raw_Data!J267="","",Raw_Data!J267)</f>
        <v/>
      </c>
      <c r="G264" s="12" t="str">
        <f>IF(Raw_Data!AH267&lt;&gt;"",Raw_Data!AH267,IF(Raw_Data!K267&lt;&gt;"",Raw_Data!K267,""))</f>
        <v/>
      </c>
      <c r="H264" s="12" t="str">
        <f>IF(Raw_Data!AI267&lt;&gt;"",Raw_Data!AI267,IF(Raw_Data!L267&lt;&gt;"",Raw_Data!L267,""))</f>
        <v/>
      </c>
      <c r="I264" s="12" t="str">
        <f t="shared" si="36"/>
        <v/>
      </c>
      <c r="J264" s="12" t="str">
        <f>IF(Raw_Data!M267="","",Raw_Data!M267)</f>
        <v/>
      </c>
      <c r="K264" s="12">
        <f>IF(Raw_Data!AJ267&lt;&gt;"",Raw_Data!AJ267,Raw_Data!N267)</f>
        <v>0</v>
      </c>
      <c r="L264" s="12">
        <f t="shared" si="37"/>
        <v>1</v>
      </c>
      <c r="M264" s="12" t="str">
        <f>IF(Raw_Data!AK267="","",Raw_Data!AK267)</f>
        <v/>
      </c>
      <c r="N264" s="12" t="str">
        <f>IF(Raw_Data!T267="","",Raw_Data!T267)</f>
        <v/>
      </c>
      <c r="O264" s="12" t="str">
        <f>IF(Raw_Data!AB267&lt;&gt;"",Raw_Data!AB267,IF(N264="tres_insatisfait",1,IF(N264="insatisfait",2,IF(N264="neutre",3,IF(N264="satisfait",4,IF(N264="tres_satisfait",5,""))))))</f>
        <v/>
      </c>
      <c r="P264" s="12">
        <f>IF(Raw_Data!AL267&lt;&gt;"",Raw_Data!AL267,Raw_Data!R267)</f>
        <v>0</v>
      </c>
      <c r="Q264" s="12">
        <f t="shared" si="38"/>
        <v>0</v>
      </c>
      <c r="R264" s="12" t="str">
        <f>IF(Raw_Data!AM267="","",Raw_Data!AM267)</f>
        <v/>
      </c>
      <c r="S264" s="12" t="str">
        <f t="shared" si="39"/>
        <v/>
      </c>
      <c r="T264" s="12" t="str">
        <f>IF(Raw_Data!AN267="","",Raw_Data!AN267)</f>
        <v/>
      </c>
      <c r="U264" s="12" t="str">
        <f t="shared" si="40"/>
        <v/>
      </c>
      <c r="V264" s="12" t="str">
        <f>IF(Raw_Data!AP267="","",IF(Raw_Data!AP267="oui",1,0))</f>
        <v/>
      </c>
      <c r="W264" s="12" t="str">
        <f>IF(Raw_Data!AQ267="","",IF(Raw_Data!AQ267="oui",1,0))</f>
        <v/>
      </c>
      <c r="X264" s="12" t="str">
        <f>IF(Raw_Data!AR267="","",IF(Raw_Data!AR267="oui",1,0))</f>
        <v/>
      </c>
      <c r="Y264" s="12" t="str">
        <f>IF(Raw_Data!AS267="","",IF(Raw_Data!AS267="oui",1,0))</f>
        <v/>
      </c>
      <c r="Z264" s="12" t="str">
        <f>IF(Raw_Data!V267="","",IF(Raw_Data!V267="oui",1,0))</f>
        <v/>
      </c>
      <c r="AA264" s="12" t="str">
        <f>IF(Raw_Data!W267="","",IF(Raw_Data!W267="oui",1,0))</f>
        <v/>
      </c>
      <c r="AB264" s="12" t="str">
        <f>IF(Raw_Data!Q267="","",IF(Raw_Data!Q267="oui",1,0))</f>
        <v/>
      </c>
      <c r="AC264" s="12">
        <f>Raw_Data!AF267</f>
        <v>0</v>
      </c>
      <c r="AD264" s="12" t="str">
        <f t="shared" si="41"/>
        <v/>
      </c>
      <c r="AE264" s="12" t="str">
        <f t="shared" si="42"/>
        <v/>
      </c>
      <c r="AF264" s="12" t="str">
        <f t="shared" si="43"/>
        <v/>
      </c>
      <c r="AG264" s="12">
        <f t="shared" si="44"/>
        <v>0</v>
      </c>
    </row>
    <row r="265" spans="1:33" ht="15" customHeight="1" x14ac:dyDescent="0.25">
      <c r="A265" s="12" t="str">
        <f>IF(Raw_Data!B268="","",Raw_Data!B268)</f>
        <v/>
      </c>
      <c r="B265" s="12">
        <f>IF(Raw_Data!X268&lt;&gt;"",Raw_Data!X268,Raw_Data!C268)</f>
        <v>0</v>
      </c>
      <c r="C265" s="12" t="str">
        <f>IF(Raw_Data!G268="","",Raw_Data!G268)</f>
        <v/>
      </c>
      <c r="D265" s="12" t="str">
        <f>IF(Raw_Data!H268="","",Raw_Data!H268)</f>
        <v/>
      </c>
      <c r="E265" s="12" t="str">
        <f>IF(Raw_Data!I268="","",Raw_Data!I268)</f>
        <v/>
      </c>
      <c r="F265" s="12" t="str">
        <f>IF(Raw_Data!J268="","",Raw_Data!J268)</f>
        <v/>
      </c>
      <c r="G265" s="12" t="str">
        <f>IF(Raw_Data!AH268&lt;&gt;"",Raw_Data!AH268,IF(Raw_Data!K268&lt;&gt;"",Raw_Data!K268,""))</f>
        <v/>
      </c>
      <c r="H265" s="12" t="str">
        <f>IF(Raw_Data!AI268&lt;&gt;"",Raw_Data!AI268,IF(Raw_Data!L268&lt;&gt;"",Raw_Data!L268,""))</f>
        <v/>
      </c>
      <c r="I265" s="12" t="str">
        <f t="shared" si="36"/>
        <v/>
      </c>
      <c r="J265" s="12" t="str">
        <f>IF(Raw_Data!M268="","",Raw_Data!M268)</f>
        <v/>
      </c>
      <c r="K265" s="12">
        <f>IF(Raw_Data!AJ268&lt;&gt;"",Raw_Data!AJ268,Raw_Data!N268)</f>
        <v>0</v>
      </c>
      <c r="L265" s="12">
        <f t="shared" si="37"/>
        <v>1</v>
      </c>
      <c r="M265" s="12" t="str">
        <f>IF(Raw_Data!AK268="","",Raw_Data!AK268)</f>
        <v/>
      </c>
      <c r="N265" s="12" t="str">
        <f>IF(Raw_Data!T268="","",Raw_Data!T268)</f>
        <v/>
      </c>
      <c r="O265" s="12" t="str">
        <f>IF(Raw_Data!AB268&lt;&gt;"",Raw_Data!AB268,IF(N265="tres_insatisfait",1,IF(N265="insatisfait",2,IF(N265="neutre",3,IF(N265="satisfait",4,IF(N265="tres_satisfait",5,""))))))</f>
        <v/>
      </c>
      <c r="P265" s="12">
        <f>IF(Raw_Data!AL268&lt;&gt;"",Raw_Data!AL268,Raw_Data!R268)</f>
        <v>0</v>
      </c>
      <c r="Q265" s="12">
        <f t="shared" si="38"/>
        <v>0</v>
      </c>
      <c r="R265" s="12" t="str">
        <f>IF(Raw_Data!AM268="","",Raw_Data!AM268)</f>
        <v/>
      </c>
      <c r="S265" s="12" t="str">
        <f t="shared" si="39"/>
        <v/>
      </c>
      <c r="T265" s="12" t="str">
        <f>IF(Raw_Data!AN268="","",Raw_Data!AN268)</f>
        <v/>
      </c>
      <c r="U265" s="12" t="str">
        <f t="shared" si="40"/>
        <v/>
      </c>
      <c r="V265" s="12" t="str">
        <f>IF(Raw_Data!AP268="","",IF(Raw_Data!AP268="oui",1,0))</f>
        <v/>
      </c>
      <c r="W265" s="12" t="str">
        <f>IF(Raw_Data!AQ268="","",IF(Raw_Data!AQ268="oui",1,0))</f>
        <v/>
      </c>
      <c r="X265" s="12" t="str">
        <f>IF(Raw_Data!AR268="","",IF(Raw_Data!AR268="oui",1,0))</f>
        <v/>
      </c>
      <c r="Y265" s="12" t="str">
        <f>IF(Raw_Data!AS268="","",IF(Raw_Data!AS268="oui",1,0))</f>
        <v/>
      </c>
      <c r="Z265" s="12" t="str">
        <f>IF(Raw_Data!V268="","",IF(Raw_Data!V268="oui",1,0))</f>
        <v/>
      </c>
      <c r="AA265" s="12" t="str">
        <f>IF(Raw_Data!W268="","",IF(Raw_Data!W268="oui",1,0))</f>
        <v/>
      </c>
      <c r="AB265" s="12" t="str">
        <f>IF(Raw_Data!Q268="","",IF(Raw_Data!Q268="oui",1,0))</f>
        <v/>
      </c>
      <c r="AC265" s="12">
        <f>Raw_Data!AF268</f>
        <v>0</v>
      </c>
      <c r="AD265" s="12" t="str">
        <f t="shared" si="41"/>
        <v/>
      </c>
      <c r="AE265" s="12" t="str">
        <f t="shared" si="42"/>
        <v/>
      </c>
      <c r="AF265" s="12" t="str">
        <f t="shared" si="43"/>
        <v/>
      </c>
      <c r="AG265" s="12">
        <f t="shared" si="44"/>
        <v>0</v>
      </c>
    </row>
    <row r="266" spans="1:33" ht="15" customHeight="1" x14ac:dyDescent="0.25">
      <c r="A266" s="12" t="str">
        <f>IF(Raw_Data!B269="","",Raw_Data!B269)</f>
        <v/>
      </c>
      <c r="B266" s="12">
        <f>IF(Raw_Data!X269&lt;&gt;"",Raw_Data!X269,Raw_Data!C269)</f>
        <v>0</v>
      </c>
      <c r="C266" s="12" t="str">
        <f>IF(Raw_Data!G269="","",Raw_Data!G269)</f>
        <v/>
      </c>
      <c r="D266" s="12" t="str">
        <f>IF(Raw_Data!H269="","",Raw_Data!H269)</f>
        <v/>
      </c>
      <c r="E266" s="12" t="str">
        <f>IF(Raw_Data!I269="","",Raw_Data!I269)</f>
        <v/>
      </c>
      <c r="F266" s="12" t="str">
        <f>IF(Raw_Data!J269="","",Raw_Data!J269)</f>
        <v/>
      </c>
      <c r="G266" s="12" t="str">
        <f>IF(Raw_Data!AH269&lt;&gt;"",Raw_Data!AH269,IF(Raw_Data!K269&lt;&gt;"",Raw_Data!K269,""))</f>
        <v/>
      </c>
      <c r="H266" s="12" t="str">
        <f>IF(Raw_Data!AI269&lt;&gt;"",Raw_Data!AI269,IF(Raw_Data!L269&lt;&gt;"",Raw_Data!L269,""))</f>
        <v/>
      </c>
      <c r="I266" s="12" t="str">
        <f t="shared" si="36"/>
        <v/>
      </c>
      <c r="J266" s="12" t="str">
        <f>IF(Raw_Data!M269="","",Raw_Data!M269)</f>
        <v/>
      </c>
      <c r="K266" s="12">
        <f>IF(Raw_Data!AJ269&lt;&gt;"",Raw_Data!AJ269,Raw_Data!N269)</f>
        <v>0</v>
      </c>
      <c r="L266" s="12">
        <f t="shared" si="37"/>
        <v>1</v>
      </c>
      <c r="M266" s="12" t="str">
        <f>IF(Raw_Data!AK269="","",Raw_Data!AK269)</f>
        <v/>
      </c>
      <c r="N266" s="12" t="str">
        <f>IF(Raw_Data!T269="","",Raw_Data!T269)</f>
        <v/>
      </c>
      <c r="O266" s="12" t="str">
        <f>IF(Raw_Data!AB269&lt;&gt;"",Raw_Data!AB269,IF(N266="tres_insatisfait",1,IF(N266="insatisfait",2,IF(N266="neutre",3,IF(N266="satisfait",4,IF(N266="tres_satisfait",5,""))))))</f>
        <v/>
      </c>
      <c r="P266" s="12">
        <f>IF(Raw_Data!AL269&lt;&gt;"",Raw_Data!AL269,Raw_Data!R269)</f>
        <v>0</v>
      </c>
      <c r="Q266" s="12">
        <f t="shared" si="38"/>
        <v>0</v>
      </c>
      <c r="R266" s="12" t="str">
        <f>IF(Raw_Data!AM269="","",Raw_Data!AM269)</f>
        <v/>
      </c>
      <c r="S266" s="12" t="str">
        <f t="shared" si="39"/>
        <v/>
      </c>
      <c r="T266" s="12" t="str">
        <f>IF(Raw_Data!AN269="","",Raw_Data!AN269)</f>
        <v/>
      </c>
      <c r="U266" s="12" t="str">
        <f t="shared" si="40"/>
        <v/>
      </c>
      <c r="V266" s="12" t="str">
        <f>IF(Raw_Data!AP269="","",IF(Raw_Data!AP269="oui",1,0))</f>
        <v/>
      </c>
      <c r="W266" s="12" t="str">
        <f>IF(Raw_Data!AQ269="","",IF(Raw_Data!AQ269="oui",1,0))</f>
        <v/>
      </c>
      <c r="X266" s="12" t="str">
        <f>IF(Raw_Data!AR269="","",IF(Raw_Data!AR269="oui",1,0))</f>
        <v/>
      </c>
      <c r="Y266" s="12" t="str">
        <f>IF(Raw_Data!AS269="","",IF(Raw_Data!AS269="oui",1,0))</f>
        <v/>
      </c>
      <c r="Z266" s="12" t="str">
        <f>IF(Raw_Data!V269="","",IF(Raw_Data!V269="oui",1,0))</f>
        <v/>
      </c>
      <c r="AA266" s="12" t="str">
        <f>IF(Raw_Data!W269="","",IF(Raw_Data!W269="oui",1,0))</f>
        <v/>
      </c>
      <c r="AB266" s="12" t="str">
        <f>IF(Raw_Data!Q269="","",IF(Raw_Data!Q269="oui",1,0))</f>
        <v/>
      </c>
      <c r="AC266" s="12">
        <f>Raw_Data!AF269</f>
        <v>0</v>
      </c>
      <c r="AD266" s="12" t="str">
        <f t="shared" si="41"/>
        <v/>
      </c>
      <c r="AE266" s="12" t="str">
        <f t="shared" si="42"/>
        <v/>
      </c>
      <c r="AF266" s="12" t="str">
        <f t="shared" si="43"/>
        <v/>
      </c>
      <c r="AG266" s="12">
        <f t="shared" si="44"/>
        <v>0</v>
      </c>
    </row>
    <row r="267" spans="1:33" ht="15" customHeight="1" x14ac:dyDescent="0.25">
      <c r="A267" s="12" t="str">
        <f>IF(Raw_Data!B270="","",Raw_Data!B270)</f>
        <v/>
      </c>
      <c r="B267" s="12">
        <f>IF(Raw_Data!X270&lt;&gt;"",Raw_Data!X270,Raw_Data!C270)</f>
        <v>0</v>
      </c>
      <c r="C267" s="12" t="str">
        <f>IF(Raw_Data!G270="","",Raw_Data!G270)</f>
        <v/>
      </c>
      <c r="D267" s="12" t="str">
        <f>IF(Raw_Data!H270="","",Raw_Data!H270)</f>
        <v/>
      </c>
      <c r="E267" s="12" t="str">
        <f>IF(Raw_Data!I270="","",Raw_Data!I270)</f>
        <v/>
      </c>
      <c r="F267" s="12" t="str">
        <f>IF(Raw_Data!J270="","",Raw_Data!J270)</f>
        <v/>
      </c>
      <c r="G267" s="12" t="str">
        <f>IF(Raw_Data!AH270&lt;&gt;"",Raw_Data!AH270,IF(Raw_Data!K270&lt;&gt;"",Raw_Data!K270,""))</f>
        <v/>
      </c>
      <c r="H267" s="12" t="str">
        <f>IF(Raw_Data!AI270&lt;&gt;"",Raw_Data!AI270,IF(Raw_Data!L270&lt;&gt;"",Raw_Data!L270,""))</f>
        <v/>
      </c>
      <c r="I267" s="12" t="str">
        <f t="shared" si="36"/>
        <v/>
      </c>
      <c r="J267" s="12" t="str">
        <f>IF(Raw_Data!M270="","",Raw_Data!M270)</f>
        <v/>
      </c>
      <c r="K267" s="12">
        <f>IF(Raw_Data!AJ270&lt;&gt;"",Raw_Data!AJ270,Raw_Data!N270)</f>
        <v>0</v>
      </c>
      <c r="L267" s="12">
        <f t="shared" si="37"/>
        <v>1</v>
      </c>
      <c r="M267" s="12" t="str">
        <f>IF(Raw_Data!AK270="","",Raw_Data!AK270)</f>
        <v/>
      </c>
      <c r="N267" s="12" t="str">
        <f>IF(Raw_Data!T270="","",Raw_Data!T270)</f>
        <v/>
      </c>
      <c r="O267" s="12" t="str">
        <f>IF(Raw_Data!AB270&lt;&gt;"",Raw_Data!AB270,IF(N267="tres_insatisfait",1,IF(N267="insatisfait",2,IF(N267="neutre",3,IF(N267="satisfait",4,IF(N267="tres_satisfait",5,""))))))</f>
        <v/>
      </c>
      <c r="P267" s="12">
        <f>IF(Raw_Data!AL270&lt;&gt;"",Raw_Data!AL270,Raw_Data!R270)</f>
        <v>0</v>
      </c>
      <c r="Q267" s="12">
        <f t="shared" si="38"/>
        <v>0</v>
      </c>
      <c r="R267" s="12" t="str">
        <f>IF(Raw_Data!AM270="","",Raw_Data!AM270)</f>
        <v/>
      </c>
      <c r="S267" s="12" t="str">
        <f t="shared" si="39"/>
        <v/>
      </c>
      <c r="T267" s="12" t="str">
        <f>IF(Raw_Data!AN270="","",Raw_Data!AN270)</f>
        <v/>
      </c>
      <c r="U267" s="12" t="str">
        <f t="shared" si="40"/>
        <v/>
      </c>
      <c r="V267" s="12" t="str">
        <f>IF(Raw_Data!AP270="","",IF(Raw_Data!AP270="oui",1,0))</f>
        <v/>
      </c>
      <c r="W267" s="12" t="str">
        <f>IF(Raw_Data!AQ270="","",IF(Raw_Data!AQ270="oui",1,0))</f>
        <v/>
      </c>
      <c r="X267" s="12" t="str">
        <f>IF(Raw_Data!AR270="","",IF(Raw_Data!AR270="oui",1,0))</f>
        <v/>
      </c>
      <c r="Y267" s="12" t="str">
        <f>IF(Raw_Data!AS270="","",IF(Raw_Data!AS270="oui",1,0))</f>
        <v/>
      </c>
      <c r="Z267" s="12" t="str">
        <f>IF(Raw_Data!V270="","",IF(Raw_Data!V270="oui",1,0))</f>
        <v/>
      </c>
      <c r="AA267" s="12" t="str">
        <f>IF(Raw_Data!W270="","",IF(Raw_Data!W270="oui",1,0))</f>
        <v/>
      </c>
      <c r="AB267" s="12" t="str">
        <f>IF(Raw_Data!Q270="","",IF(Raw_Data!Q270="oui",1,0))</f>
        <v/>
      </c>
      <c r="AC267" s="12">
        <f>Raw_Data!AF270</f>
        <v>0</v>
      </c>
      <c r="AD267" s="12" t="str">
        <f t="shared" si="41"/>
        <v/>
      </c>
      <c r="AE267" s="12" t="str">
        <f t="shared" si="42"/>
        <v/>
      </c>
      <c r="AF267" s="12" t="str">
        <f t="shared" si="43"/>
        <v/>
      </c>
      <c r="AG267" s="12">
        <f t="shared" si="44"/>
        <v>0</v>
      </c>
    </row>
    <row r="268" spans="1:33" ht="15" customHeight="1" x14ac:dyDescent="0.25">
      <c r="A268" s="12" t="str">
        <f>IF(Raw_Data!B271="","",Raw_Data!B271)</f>
        <v/>
      </c>
      <c r="B268" s="12">
        <f>IF(Raw_Data!X271&lt;&gt;"",Raw_Data!X271,Raw_Data!C271)</f>
        <v>0</v>
      </c>
      <c r="C268" s="12" t="str">
        <f>IF(Raw_Data!G271="","",Raw_Data!G271)</f>
        <v/>
      </c>
      <c r="D268" s="12" t="str">
        <f>IF(Raw_Data!H271="","",Raw_Data!H271)</f>
        <v/>
      </c>
      <c r="E268" s="12" t="str">
        <f>IF(Raw_Data!I271="","",Raw_Data!I271)</f>
        <v/>
      </c>
      <c r="F268" s="12" t="str">
        <f>IF(Raw_Data!J271="","",Raw_Data!J271)</f>
        <v/>
      </c>
      <c r="G268" s="12" t="str">
        <f>IF(Raw_Data!AH271&lt;&gt;"",Raw_Data!AH271,IF(Raw_Data!K271&lt;&gt;"",Raw_Data!K271,""))</f>
        <v/>
      </c>
      <c r="H268" s="12" t="str">
        <f>IF(Raw_Data!AI271&lt;&gt;"",Raw_Data!AI271,IF(Raw_Data!L271&lt;&gt;"",Raw_Data!L271,""))</f>
        <v/>
      </c>
      <c r="I268" s="12" t="str">
        <f t="shared" si="36"/>
        <v/>
      </c>
      <c r="J268" s="12" t="str">
        <f>IF(Raw_Data!M271="","",Raw_Data!M271)</f>
        <v/>
      </c>
      <c r="K268" s="12">
        <f>IF(Raw_Data!AJ271&lt;&gt;"",Raw_Data!AJ271,Raw_Data!N271)</f>
        <v>0</v>
      </c>
      <c r="L268" s="12">
        <f t="shared" si="37"/>
        <v>1</v>
      </c>
      <c r="M268" s="12" t="str">
        <f>IF(Raw_Data!AK271="","",Raw_Data!AK271)</f>
        <v/>
      </c>
      <c r="N268" s="12" t="str">
        <f>IF(Raw_Data!T271="","",Raw_Data!T271)</f>
        <v/>
      </c>
      <c r="O268" s="12" t="str">
        <f>IF(Raw_Data!AB271&lt;&gt;"",Raw_Data!AB271,IF(N268="tres_insatisfait",1,IF(N268="insatisfait",2,IF(N268="neutre",3,IF(N268="satisfait",4,IF(N268="tres_satisfait",5,""))))))</f>
        <v/>
      </c>
      <c r="P268" s="12">
        <f>IF(Raw_Data!AL271&lt;&gt;"",Raw_Data!AL271,Raw_Data!R271)</f>
        <v>0</v>
      </c>
      <c r="Q268" s="12">
        <f t="shared" si="38"/>
        <v>0</v>
      </c>
      <c r="R268" s="12" t="str">
        <f>IF(Raw_Data!AM271="","",Raw_Data!AM271)</f>
        <v/>
      </c>
      <c r="S268" s="12" t="str">
        <f t="shared" si="39"/>
        <v/>
      </c>
      <c r="T268" s="12" t="str">
        <f>IF(Raw_Data!AN271="","",Raw_Data!AN271)</f>
        <v/>
      </c>
      <c r="U268" s="12" t="str">
        <f t="shared" si="40"/>
        <v/>
      </c>
      <c r="V268" s="12" t="str">
        <f>IF(Raw_Data!AP271="","",IF(Raw_Data!AP271="oui",1,0))</f>
        <v/>
      </c>
      <c r="W268" s="12" t="str">
        <f>IF(Raw_Data!AQ271="","",IF(Raw_Data!AQ271="oui",1,0))</f>
        <v/>
      </c>
      <c r="X268" s="12" t="str">
        <f>IF(Raw_Data!AR271="","",IF(Raw_Data!AR271="oui",1,0))</f>
        <v/>
      </c>
      <c r="Y268" s="12" t="str">
        <f>IF(Raw_Data!AS271="","",IF(Raw_Data!AS271="oui",1,0))</f>
        <v/>
      </c>
      <c r="Z268" s="12" t="str">
        <f>IF(Raw_Data!V271="","",IF(Raw_Data!V271="oui",1,0))</f>
        <v/>
      </c>
      <c r="AA268" s="12" t="str">
        <f>IF(Raw_Data!W271="","",IF(Raw_Data!W271="oui",1,0))</f>
        <v/>
      </c>
      <c r="AB268" s="12" t="str">
        <f>IF(Raw_Data!Q271="","",IF(Raw_Data!Q271="oui",1,0))</f>
        <v/>
      </c>
      <c r="AC268" s="12">
        <f>Raw_Data!AF271</f>
        <v>0</v>
      </c>
      <c r="AD268" s="12" t="str">
        <f t="shared" si="41"/>
        <v/>
      </c>
      <c r="AE268" s="12" t="str">
        <f t="shared" si="42"/>
        <v/>
      </c>
      <c r="AF268" s="12" t="str">
        <f t="shared" si="43"/>
        <v/>
      </c>
      <c r="AG268" s="12">
        <f t="shared" si="44"/>
        <v>0</v>
      </c>
    </row>
    <row r="269" spans="1:33" ht="15" customHeight="1" x14ac:dyDescent="0.25">
      <c r="A269" s="12" t="str">
        <f>IF(Raw_Data!B272="","",Raw_Data!B272)</f>
        <v/>
      </c>
      <c r="B269" s="12">
        <f>IF(Raw_Data!X272&lt;&gt;"",Raw_Data!X272,Raw_Data!C272)</f>
        <v>0</v>
      </c>
      <c r="C269" s="12" t="str">
        <f>IF(Raw_Data!G272="","",Raw_Data!G272)</f>
        <v/>
      </c>
      <c r="D269" s="12" t="str">
        <f>IF(Raw_Data!H272="","",Raw_Data!H272)</f>
        <v/>
      </c>
      <c r="E269" s="12" t="str">
        <f>IF(Raw_Data!I272="","",Raw_Data!I272)</f>
        <v/>
      </c>
      <c r="F269" s="12" t="str">
        <f>IF(Raw_Data!J272="","",Raw_Data!J272)</f>
        <v/>
      </c>
      <c r="G269" s="12" t="str">
        <f>IF(Raw_Data!AH272&lt;&gt;"",Raw_Data!AH272,IF(Raw_Data!K272&lt;&gt;"",Raw_Data!K272,""))</f>
        <v/>
      </c>
      <c r="H269" s="12" t="str">
        <f>IF(Raw_Data!AI272&lt;&gt;"",Raw_Data!AI272,IF(Raw_Data!L272&lt;&gt;"",Raw_Data!L272,""))</f>
        <v/>
      </c>
      <c r="I269" s="12" t="str">
        <f t="shared" si="36"/>
        <v/>
      </c>
      <c r="J269" s="12" t="str">
        <f>IF(Raw_Data!M272="","",Raw_Data!M272)</f>
        <v/>
      </c>
      <c r="K269" s="12">
        <f>IF(Raw_Data!AJ272&lt;&gt;"",Raw_Data!AJ272,Raw_Data!N272)</f>
        <v>0</v>
      </c>
      <c r="L269" s="12">
        <f t="shared" si="37"/>
        <v>1</v>
      </c>
      <c r="M269" s="12" t="str">
        <f>IF(Raw_Data!AK272="","",Raw_Data!AK272)</f>
        <v/>
      </c>
      <c r="N269" s="12" t="str">
        <f>IF(Raw_Data!T272="","",Raw_Data!T272)</f>
        <v/>
      </c>
      <c r="O269" s="12" t="str">
        <f>IF(Raw_Data!AB272&lt;&gt;"",Raw_Data!AB272,IF(N269="tres_insatisfait",1,IF(N269="insatisfait",2,IF(N269="neutre",3,IF(N269="satisfait",4,IF(N269="tres_satisfait",5,""))))))</f>
        <v/>
      </c>
      <c r="P269" s="12">
        <f>IF(Raw_Data!AL272&lt;&gt;"",Raw_Data!AL272,Raw_Data!R272)</f>
        <v>0</v>
      </c>
      <c r="Q269" s="12">
        <f t="shared" si="38"/>
        <v>0</v>
      </c>
      <c r="R269" s="12" t="str">
        <f>IF(Raw_Data!AM272="","",Raw_Data!AM272)</f>
        <v/>
      </c>
      <c r="S269" s="12" t="str">
        <f t="shared" si="39"/>
        <v/>
      </c>
      <c r="T269" s="12" t="str">
        <f>IF(Raw_Data!AN272="","",Raw_Data!AN272)</f>
        <v/>
      </c>
      <c r="U269" s="12" t="str">
        <f t="shared" si="40"/>
        <v/>
      </c>
      <c r="V269" s="12" t="str">
        <f>IF(Raw_Data!AP272="","",IF(Raw_Data!AP272="oui",1,0))</f>
        <v/>
      </c>
      <c r="W269" s="12" t="str">
        <f>IF(Raw_Data!AQ272="","",IF(Raw_Data!AQ272="oui",1,0))</f>
        <v/>
      </c>
      <c r="X269" s="12" t="str">
        <f>IF(Raw_Data!AR272="","",IF(Raw_Data!AR272="oui",1,0))</f>
        <v/>
      </c>
      <c r="Y269" s="12" t="str">
        <f>IF(Raw_Data!AS272="","",IF(Raw_Data!AS272="oui",1,0))</f>
        <v/>
      </c>
      <c r="Z269" s="12" t="str">
        <f>IF(Raw_Data!V272="","",IF(Raw_Data!V272="oui",1,0))</f>
        <v/>
      </c>
      <c r="AA269" s="12" t="str">
        <f>IF(Raw_Data!W272="","",IF(Raw_Data!W272="oui",1,0))</f>
        <v/>
      </c>
      <c r="AB269" s="12" t="str">
        <f>IF(Raw_Data!Q272="","",IF(Raw_Data!Q272="oui",1,0))</f>
        <v/>
      </c>
      <c r="AC269" s="12">
        <f>Raw_Data!AF272</f>
        <v>0</v>
      </c>
      <c r="AD269" s="12" t="str">
        <f t="shared" si="41"/>
        <v/>
      </c>
      <c r="AE269" s="12" t="str">
        <f t="shared" si="42"/>
        <v/>
      </c>
      <c r="AF269" s="12" t="str">
        <f t="shared" si="43"/>
        <v/>
      </c>
      <c r="AG269" s="12">
        <f t="shared" si="44"/>
        <v>0</v>
      </c>
    </row>
    <row r="270" spans="1:33" ht="15" customHeight="1" x14ac:dyDescent="0.25">
      <c r="A270" s="12" t="str">
        <f>IF(Raw_Data!B273="","",Raw_Data!B273)</f>
        <v/>
      </c>
      <c r="B270" s="12">
        <f>IF(Raw_Data!X273&lt;&gt;"",Raw_Data!X273,Raw_Data!C273)</f>
        <v>0</v>
      </c>
      <c r="C270" s="12" t="str">
        <f>IF(Raw_Data!G273="","",Raw_Data!G273)</f>
        <v/>
      </c>
      <c r="D270" s="12" t="str">
        <f>IF(Raw_Data!H273="","",Raw_Data!H273)</f>
        <v/>
      </c>
      <c r="E270" s="12" t="str">
        <f>IF(Raw_Data!I273="","",Raw_Data!I273)</f>
        <v/>
      </c>
      <c r="F270" s="12" t="str">
        <f>IF(Raw_Data!J273="","",Raw_Data!J273)</f>
        <v/>
      </c>
      <c r="G270" s="12" t="str">
        <f>IF(Raw_Data!AH273&lt;&gt;"",Raw_Data!AH273,IF(Raw_Data!K273&lt;&gt;"",Raw_Data!K273,""))</f>
        <v/>
      </c>
      <c r="H270" s="12" t="str">
        <f>IF(Raw_Data!AI273&lt;&gt;"",Raw_Data!AI273,IF(Raw_Data!L273&lt;&gt;"",Raw_Data!L273,""))</f>
        <v/>
      </c>
      <c r="I270" s="12" t="str">
        <f t="shared" si="36"/>
        <v/>
      </c>
      <c r="J270" s="12" t="str">
        <f>IF(Raw_Data!M273="","",Raw_Data!M273)</f>
        <v/>
      </c>
      <c r="K270" s="12">
        <f>IF(Raw_Data!AJ273&lt;&gt;"",Raw_Data!AJ273,Raw_Data!N273)</f>
        <v>0</v>
      </c>
      <c r="L270" s="12">
        <f t="shared" si="37"/>
        <v>1</v>
      </c>
      <c r="M270" s="12" t="str">
        <f>IF(Raw_Data!AK273="","",Raw_Data!AK273)</f>
        <v/>
      </c>
      <c r="N270" s="12" t="str">
        <f>IF(Raw_Data!T273="","",Raw_Data!T273)</f>
        <v/>
      </c>
      <c r="O270" s="12" t="str">
        <f>IF(Raw_Data!AB273&lt;&gt;"",Raw_Data!AB273,IF(N270="tres_insatisfait",1,IF(N270="insatisfait",2,IF(N270="neutre",3,IF(N270="satisfait",4,IF(N270="tres_satisfait",5,""))))))</f>
        <v/>
      </c>
      <c r="P270" s="12">
        <f>IF(Raw_Data!AL273&lt;&gt;"",Raw_Data!AL273,Raw_Data!R273)</f>
        <v>0</v>
      </c>
      <c r="Q270" s="12">
        <f t="shared" si="38"/>
        <v>0</v>
      </c>
      <c r="R270" s="12" t="str">
        <f>IF(Raw_Data!AM273="","",Raw_Data!AM273)</f>
        <v/>
      </c>
      <c r="S270" s="12" t="str">
        <f t="shared" si="39"/>
        <v/>
      </c>
      <c r="T270" s="12" t="str">
        <f>IF(Raw_Data!AN273="","",Raw_Data!AN273)</f>
        <v/>
      </c>
      <c r="U270" s="12" t="str">
        <f t="shared" si="40"/>
        <v/>
      </c>
      <c r="V270" s="12" t="str">
        <f>IF(Raw_Data!AP273="","",IF(Raw_Data!AP273="oui",1,0))</f>
        <v/>
      </c>
      <c r="W270" s="12" t="str">
        <f>IF(Raw_Data!AQ273="","",IF(Raw_Data!AQ273="oui",1,0))</f>
        <v/>
      </c>
      <c r="X270" s="12" t="str">
        <f>IF(Raw_Data!AR273="","",IF(Raw_Data!AR273="oui",1,0))</f>
        <v/>
      </c>
      <c r="Y270" s="12" t="str">
        <f>IF(Raw_Data!AS273="","",IF(Raw_Data!AS273="oui",1,0))</f>
        <v/>
      </c>
      <c r="Z270" s="12" t="str">
        <f>IF(Raw_Data!V273="","",IF(Raw_Data!V273="oui",1,0))</f>
        <v/>
      </c>
      <c r="AA270" s="12" t="str">
        <f>IF(Raw_Data!W273="","",IF(Raw_Data!W273="oui",1,0))</f>
        <v/>
      </c>
      <c r="AB270" s="12" t="str">
        <f>IF(Raw_Data!Q273="","",IF(Raw_Data!Q273="oui",1,0))</f>
        <v/>
      </c>
      <c r="AC270" s="12">
        <f>Raw_Data!AF273</f>
        <v>0</v>
      </c>
      <c r="AD270" s="12" t="str">
        <f t="shared" si="41"/>
        <v/>
      </c>
      <c r="AE270" s="12" t="str">
        <f t="shared" si="42"/>
        <v/>
      </c>
      <c r="AF270" s="12" t="str">
        <f t="shared" si="43"/>
        <v/>
      </c>
      <c r="AG270" s="12">
        <f t="shared" si="44"/>
        <v>0</v>
      </c>
    </row>
    <row r="271" spans="1:33" ht="15" customHeight="1" x14ac:dyDescent="0.25">
      <c r="A271" s="12" t="str">
        <f>IF(Raw_Data!B274="","",Raw_Data!B274)</f>
        <v/>
      </c>
      <c r="B271" s="12">
        <f>IF(Raw_Data!X274&lt;&gt;"",Raw_Data!X274,Raw_Data!C274)</f>
        <v>0</v>
      </c>
      <c r="C271" s="12" t="str">
        <f>IF(Raw_Data!G274="","",Raw_Data!G274)</f>
        <v/>
      </c>
      <c r="D271" s="12" t="str">
        <f>IF(Raw_Data!H274="","",Raw_Data!H274)</f>
        <v/>
      </c>
      <c r="E271" s="12" t="str">
        <f>IF(Raw_Data!I274="","",Raw_Data!I274)</f>
        <v/>
      </c>
      <c r="F271" s="12" t="str">
        <f>IF(Raw_Data!J274="","",Raw_Data!J274)</f>
        <v/>
      </c>
      <c r="G271" s="12" t="str">
        <f>IF(Raw_Data!AH274&lt;&gt;"",Raw_Data!AH274,IF(Raw_Data!K274&lt;&gt;"",Raw_Data!K274,""))</f>
        <v/>
      </c>
      <c r="H271" s="12" t="str">
        <f>IF(Raw_Data!AI274&lt;&gt;"",Raw_Data!AI274,IF(Raw_Data!L274&lt;&gt;"",Raw_Data!L274,""))</f>
        <v/>
      </c>
      <c r="I271" s="12" t="str">
        <f t="shared" si="36"/>
        <v/>
      </c>
      <c r="J271" s="12" t="str">
        <f>IF(Raw_Data!M274="","",Raw_Data!M274)</f>
        <v/>
      </c>
      <c r="K271" s="12">
        <f>IF(Raw_Data!AJ274&lt;&gt;"",Raw_Data!AJ274,Raw_Data!N274)</f>
        <v>0</v>
      </c>
      <c r="L271" s="12">
        <f t="shared" si="37"/>
        <v>1</v>
      </c>
      <c r="M271" s="12" t="str">
        <f>IF(Raw_Data!AK274="","",Raw_Data!AK274)</f>
        <v/>
      </c>
      <c r="N271" s="12" t="str">
        <f>IF(Raw_Data!T274="","",Raw_Data!T274)</f>
        <v/>
      </c>
      <c r="O271" s="12" t="str">
        <f>IF(Raw_Data!AB274&lt;&gt;"",Raw_Data!AB274,IF(N271="tres_insatisfait",1,IF(N271="insatisfait",2,IF(N271="neutre",3,IF(N271="satisfait",4,IF(N271="tres_satisfait",5,""))))))</f>
        <v/>
      </c>
      <c r="P271" s="12">
        <f>IF(Raw_Data!AL274&lt;&gt;"",Raw_Data!AL274,Raw_Data!R274)</f>
        <v>0</v>
      </c>
      <c r="Q271" s="12">
        <f t="shared" si="38"/>
        <v>0</v>
      </c>
      <c r="R271" s="12" t="str">
        <f>IF(Raw_Data!AM274="","",Raw_Data!AM274)</f>
        <v/>
      </c>
      <c r="S271" s="12" t="str">
        <f t="shared" si="39"/>
        <v/>
      </c>
      <c r="T271" s="12" t="str">
        <f>IF(Raw_Data!AN274="","",Raw_Data!AN274)</f>
        <v/>
      </c>
      <c r="U271" s="12" t="str">
        <f t="shared" si="40"/>
        <v/>
      </c>
      <c r="V271" s="12" t="str">
        <f>IF(Raw_Data!AP274="","",IF(Raw_Data!AP274="oui",1,0))</f>
        <v/>
      </c>
      <c r="W271" s="12" t="str">
        <f>IF(Raw_Data!AQ274="","",IF(Raw_Data!AQ274="oui",1,0))</f>
        <v/>
      </c>
      <c r="X271" s="12" t="str">
        <f>IF(Raw_Data!AR274="","",IF(Raw_Data!AR274="oui",1,0))</f>
        <v/>
      </c>
      <c r="Y271" s="12" t="str">
        <f>IF(Raw_Data!AS274="","",IF(Raw_Data!AS274="oui",1,0))</f>
        <v/>
      </c>
      <c r="Z271" s="12" t="str">
        <f>IF(Raw_Data!V274="","",IF(Raw_Data!V274="oui",1,0))</f>
        <v/>
      </c>
      <c r="AA271" s="12" t="str">
        <f>IF(Raw_Data!W274="","",IF(Raw_Data!W274="oui",1,0))</f>
        <v/>
      </c>
      <c r="AB271" s="12" t="str">
        <f>IF(Raw_Data!Q274="","",IF(Raw_Data!Q274="oui",1,0))</f>
        <v/>
      </c>
      <c r="AC271" s="12">
        <f>Raw_Data!AF274</f>
        <v>0</v>
      </c>
      <c r="AD271" s="12" t="str">
        <f t="shared" si="41"/>
        <v/>
      </c>
      <c r="AE271" s="12" t="str">
        <f t="shared" si="42"/>
        <v/>
      </c>
      <c r="AF271" s="12" t="str">
        <f t="shared" si="43"/>
        <v/>
      </c>
      <c r="AG271" s="12">
        <f t="shared" si="44"/>
        <v>0</v>
      </c>
    </row>
    <row r="272" spans="1:33" ht="15" customHeight="1" x14ac:dyDescent="0.25">
      <c r="A272" s="12" t="str">
        <f>IF(Raw_Data!B275="","",Raw_Data!B275)</f>
        <v/>
      </c>
      <c r="B272" s="12">
        <f>IF(Raw_Data!X275&lt;&gt;"",Raw_Data!X275,Raw_Data!C275)</f>
        <v>0</v>
      </c>
      <c r="C272" s="12" t="str">
        <f>IF(Raw_Data!G275="","",Raw_Data!G275)</f>
        <v/>
      </c>
      <c r="D272" s="12" t="str">
        <f>IF(Raw_Data!H275="","",Raw_Data!H275)</f>
        <v/>
      </c>
      <c r="E272" s="12" t="str">
        <f>IF(Raw_Data!I275="","",Raw_Data!I275)</f>
        <v/>
      </c>
      <c r="F272" s="12" t="str">
        <f>IF(Raw_Data!J275="","",Raw_Data!J275)</f>
        <v/>
      </c>
      <c r="G272" s="12" t="str">
        <f>IF(Raw_Data!AH275&lt;&gt;"",Raw_Data!AH275,IF(Raw_Data!K275&lt;&gt;"",Raw_Data!K275,""))</f>
        <v/>
      </c>
      <c r="H272" s="12" t="str">
        <f>IF(Raw_Data!AI275&lt;&gt;"",Raw_Data!AI275,IF(Raw_Data!L275&lt;&gt;"",Raw_Data!L275,""))</f>
        <v/>
      </c>
      <c r="I272" s="12" t="str">
        <f t="shared" si="36"/>
        <v/>
      </c>
      <c r="J272" s="12" t="str">
        <f>IF(Raw_Data!M275="","",Raw_Data!M275)</f>
        <v/>
      </c>
      <c r="K272" s="12">
        <f>IF(Raw_Data!AJ275&lt;&gt;"",Raw_Data!AJ275,Raw_Data!N275)</f>
        <v>0</v>
      </c>
      <c r="L272" s="12">
        <f t="shared" si="37"/>
        <v>1</v>
      </c>
      <c r="M272" s="12" t="str">
        <f>IF(Raw_Data!AK275="","",Raw_Data!AK275)</f>
        <v/>
      </c>
      <c r="N272" s="12" t="str">
        <f>IF(Raw_Data!T275="","",Raw_Data!T275)</f>
        <v/>
      </c>
      <c r="O272" s="12" t="str">
        <f>IF(Raw_Data!AB275&lt;&gt;"",Raw_Data!AB275,IF(N272="tres_insatisfait",1,IF(N272="insatisfait",2,IF(N272="neutre",3,IF(N272="satisfait",4,IF(N272="tres_satisfait",5,""))))))</f>
        <v/>
      </c>
      <c r="P272" s="12">
        <f>IF(Raw_Data!AL275&lt;&gt;"",Raw_Data!AL275,Raw_Data!R275)</f>
        <v>0</v>
      </c>
      <c r="Q272" s="12">
        <f t="shared" si="38"/>
        <v>0</v>
      </c>
      <c r="R272" s="12" t="str">
        <f>IF(Raw_Data!AM275="","",Raw_Data!AM275)</f>
        <v/>
      </c>
      <c r="S272" s="12" t="str">
        <f t="shared" si="39"/>
        <v/>
      </c>
      <c r="T272" s="12" t="str">
        <f>IF(Raw_Data!AN275="","",Raw_Data!AN275)</f>
        <v/>
      </c>
      <c r="U272" s="12" t="str">
        <f t="shared" si="40"/>
        <v/>
      </c>
      <c r="V272" s="12" t="str">
        <f>IF(Raw_Data!AP275="","",IF(Raw_Data!AP275="oui",1,0))</f>
        <v/>
      </c>
      <c r="W272" s="12" t="str">
        <f>IF(Raw_Data!AQ275="","",IF(Raw_Data!AQ275="oui",1,0))</f>
        <v/>
      </c>
      <c r="X272" s="12" t="str">
        <f>IF(Raw_Data!AR275="","",IF(Raw_Data!AR275="oui",1,0))</f>
        <v/>
      </c>
      <c r="Y272" s="12" t="str">
        <f>IF(Raw_Data!AS275="","",IF(Raw_Data!AS275="oui",1,0))</f>
        <v/>
      </c>
      <c r="Z272" s="12" t="str">
        <f>IF(Raw_Data!V275="","",IF(Raw_Data!V275="oui",1,0))</f>
        <v/>
      </c>
      <c r="AA272" s="12" t="str">
        <f>IF(Raw_Data!W275="","",IF(Raw_Data!W275="oui",1,0))</f>
        <v/>
      </c>
      <c r="AB272" s="12" t="str">
        <f>IF(Raw_Data!Q275="","",IF(Raw_Data!Q275="oui",1,0))</f>
        <v/>
      </c>
      <c r="AC272" s="12">
        <f>Raw_Data!AF275</f>
        <v>0</v>
      </c>
      <c r="AD272" s="12" t="str">
        <f t="shared" si="41"/>
        <v/>
      </c>
      <c r="AE272" s="12" t="str">
        <f t="shared" si="42"/>
        <v/>
      </c>
      <c r="AF272" s="12" t="str">
        <f t="shared" si="43"/>
        <v/>
      </c>
      <c r="AG272" s="12">
        <f t="shared" si="44"/>
        <v>0</v>
      </c>
    </row>
    <row r="273" spans="1:33" ht="15" customHeight="1" x14ac:dyDescent="0.25">
      <c r="A273" s="12" t="str">
        <f>IF(Raw_Data!B276="","",Raw_Data!B276)</f>
        <v/>
      </c>
      <c r="B273" s="12">
        <f>IF(Raw_Data!X276&lt;&gt;"",Raw_Data!X276,Raw_Data!C276)</f>
        <v>0</v>
      </c>
      <c r="C273" s="12" t="str">
        <f>IF(Raw_Data!G276="","",Raw_Data!G276)</f>
        <v/>
      </c>
      <c r="D273" s="12" t="str">
        <f>IF(Raw_Data!H276="","",Raw_Data!H276)</f>
        <v/>
      </c>
      <c r="E273" s="12" t="str">
        <f>IF(Raw_Data!I276="","",Raw_Data!I276)</f>
        <v/>
      </c>
      <c r="F273" s="12" t="str">
        <f>IF(Raw_Data!J276="","",Raw_Data!J276)</f>
        <v/>
      </c>
      <c r="G273" s="12" t="str">
        <f>IF(Raw_Data!AH276&lt;&gt;"",Raw_Data!AH276,IF(Raw_Data!K276&lt;&gt;"",Raw_Data!K276,""))</f>
        <v/>
      </c>
      <c r="H273" s="12" t="str">
        <f>IF(Raw_Data!AI276&lt;&gt;"",Raw_Data!AI276,IF(Raw_Data!L276&lt;&gt;"",Raw_Data!L276,""))</f>
        <v/>
      </c>
      <c r="I273" s="12" t="str">
        <f t="shared" si="36"/>
        <v/>
      </c>
      <c r="J273" s="12" t="str">
        <f>IF(Raw_Data!M276="","",Raw_Data!M276)</f>
        <v/>
      </c>
      <c r="K273" s="12">
        <f>IF(Raw_Data!AJ276&lt;&gt;"",Raw_Data!AJ276,Raw_Data!N276)</f>
        <v>0</v>
      </c>
      <c r="L273" s="12">
        <f t="shared" si="37"/>
        <v>1</v>
      </c>
      <c r="M273" s="12" t="str">
        <f>IF(Raw_Data!AK276="","",Raw_Data!AK276)</f>
        <v/>
      </c>
      <c r="N273" s="12" t="str">
        <f>IF(Raw_Data!T276="","",Raw_Data!T276)</f>
        <v/>
      </c>
      <c r="O273" s="12" t="str">
        <f>IF(Raw_Data!AB276&lt;&gt;"",Raw_Data!AB276,IF(N273="tres_insatisfait",1,IF(N273="insatisfait",2,IF(N273="neutre",3,IF(N273="satisfait",4,IF(N273="tres_satisfait",5,""))))))</f>
        <v/>
      </c>
      <c r="P273" s="12">
        <f>IF(Raw_Data!AL276&lt;&gt;"",Raw_Data!AL276,Raw_Data!R276)</f>
        <v>0</v>
      </c>
      <c r="Q273" s="12">
        <f t="shared" si="38"/>
        <v>0</v>
      </c>
      <c r="R273" s="12" t="str">
        <f>IF(Raw_Data!AM276="","",Raw_Data!AM276)</f>
        <v/>
      </c>
      <c r="S273" s="12" t="str">
        <f t="shared" si="39"/>
        <v/>
      </c>
      <c r="T273" s="12" t="str">
        <f>IF(Raw_Data!AN276="","",Raw_Data!AN276)</f>
        <v/>
      </c>
      <c r="U273" s="12" t="str">
        <f t="shared" si="40"/>
        <v/>
      </c>
      <c r="V273" s="12" t="str">
        <f>IF(Raw_Data!AP276="","",IF(Raw_Data!AP276="oui",1,0))</f>
        <v/>
      </c>
      <c r="W273" s="12" t="str">
        <f>IF(Raw_Data!AQ276="","",IF(Raw_Data!AQ276="oui",1,0))</f>
        <v/>
      </c>
      <c r="X273" s="12" t="str">
        <f>IF(Raw_Data!AR276="","",IF(Raw_Data!AR276="oui",1,0))</f>
        <v/>
      </c>
      <c r="Y273" s="12" t="str">
        <f>IF(Raw_Data!AS276="","",IF(Raw_Data!AS276="oui",1,0))</f>
        <v/>
      </c>
      <c r="Z273" s="12" t="str">
        <f>IF(Raw_Data!V276="","",IF(Raw_Data!V276="oui",1,0))</f>
        <v/>
      </c>
      <c r="AA273" s="12" t="str">
        <f>IF(Raw_Data!W276="","",IF(Raw_Data!W276="oui",1,0))</f>
        <v/>
      </c>
      <c r="AB273" s="12" t="str">
        <f>IF(Raw_Data!Q276="","",IF(Raw_Data!Q276="oui",1,0))</f>
        <v/>
      </c>
      <c r="AC273" s="12">
        <f>Raw_Data!AF276</f>
        <v>0</v>
      </c>
      <c r="AD273" s="12" t="str">
        <f t="shared" si="41"/>
        <v/>
      </c>
      <c r="AE273" s="12" t="str">
        <f t="shared" si="42"/>
        <v/>
      </c>
      <c r="AF273" s="12" t="str">
        <f t="shared" si="43"/>
        <v/>
      </c>
      <c r="AG273" s="12">
        <f t="shared" si="44"/>
        <v>0</v>
      </c>
    </row>
    <row r="274" spans="1:33" ht="15" customHeight="1" x14ac:dyDescent="0.25">
      <c r="A274" s="12" t="str">
        <f>IF(Raw_Data!B277="","",Raw_Data!B277)</f>
        <v/>
      </c>
      <c r="B274" s="12">
        <f>IF(Raw_Data!X277&lt;&gt;"",Raw_Data!X277,Raw_Data!C277)</f>
        <v>0</v>
      </c>
      <c r="C274" s="12" t="str">
        <f>IF(Raw_Data!G277="","",Raw_Data!G277)</f>
        <v/>
      </c>
      <c r="D274" s="12" t="str">
        <f>IF(Raw_Data!H277="","",Raw_Data!H277)</f>
        <v/>
      </c>
      <c r="E274" s="12" t="str">
        <f>IF(Raw_Data!I277="","",Raw_Data!I277)</f>
        <v/>
      </c>
      <c r="F274" s="12" t="str">
        <f>IF(Raw_Data!J277="","",Raw_Data!J277)</f>
        <v/>
      </c>
      <c r="G274" s="12" t="str">
        <f>IF(Raw_Data!AH277&lt;&gt;"",Raw_Data!AH277,IF(Raw_Data!K277&lt;&gt;"",Raw_Data!K277,""))</f>
        <v/>
      </c>
      <c r="H274" s="12" t="str">
        <f>IF(Raw_Data!AI277&lt;&gt;"",Raw_Data!AI277,IF(Raw_Data!L277&lt;&gt;"",Raw_Data!L277,""))</f>
        <v/>
      </c>
      <c r="I274" s="12" t="str">
        <f t="shared" si="36"/>
        <v/>
      </c>
      <c r="J274" s="12" t="str">
        <f>IF(Raw_Data!M277="","",Raw_Data!M277)</f>
        <v/>
      </c>
      <c r="K274" s="12">
        <f>IF(Raw_Data!AJ277&lt;&gt;"",Raw_Data!AJ277,Raw_Data!N277)</f>
        <v>0</v>
      </c>
      <c r="L274" s="12">
        <f t="shared" si="37"/>
        <v>1</v>
      </c>
      <c r="M274" s="12" t="str">
        <f>IF(Raw_Data!AK277="","",Raw_Data!AK277)</f>
        <v/>
      </c>
      <c r="N274" s="12" t="str">
        <f>IF(Raw_Data!T277="","",Raw_Data!T277)</f>
        <v/>
      </c>
      <c r="O274" s="12" t="str">
        <f>IF(Raw_Data!AB277&lt;&gt;"",Raw_Data!AB277,IF(N274="tres_insatisfait",1,IF(N274="insatisfait",2,IF(N274="neutre",3,IF(N274="satisfait",4,IF(N274="tres_satisfait",5,""))))))</f>
        <v/>
      </c>
      <c r="P274" s="12">
        <f>IF(Raw_Data!AL277&lt;&gt;"",Raw_Data!AL277,Raw_Data!R277)</f>
        <v>0</v>
      </c>
      <c r="Q274" s="12">
        <f t="shared" si="38"/>
        <v>0</v>
      </c>
      <c r="R274" s="12" t="str">
        <f>IF(Raw_Data!AM277="","",Raw_Data!AM277)</f>
        <v/>
      </c>
      <c r="S274" s="12" t="str">
        <f t="shared" si="39"/>
        <v/>
      </c>
      <c r="T274" s="12" t="str">
        <f>IF(Raw_Data!AN277="","",Raw_Data!AN277)</f>
        <v/>
      </c>
      <c r="U274" s="12" t="str">
        <f t="shared" si="40"/>
        <v/>
      </c>
      <c r="V274" s="12" t="str">
        <f>IF(Raw_Data!AP277="","",IF(Raw_Data!AP277="oui",1,0))</f>
        <v/>
      </c>
      <c r="W274" s="12" t="str">
        <f>IF(Raw_Data!AQ277="","",IF(Raw_Data!AQ277="oui",1,0))</f>
        <v/>
      </c>
      <c r="X274" s="12" t="str">
        <f>IF(Raw_Data!AR277="","",IF(Raw_Data!AR277="oui",1,0))</f>
        <v/>
      </c>
      <c r="Y274" s="12" t="str">
        <f>IF(Raw_Data!AS277="","",IF(Raw_Data!AS277="oui",1,0))</f>
        <v/>
      </c>
      <c r="Z274" s="12" t="str">
        <f>IF(Raw_Data!V277="","",IF(Raw_Data!V277="oui",1,0))</f>
        <v/>
      </c>
      <c r="AA274" s="12" t="str">
        <f>IF(Raw_Data!W277="","",IF(Raw_Data!W277="oui",1,0))</f>
        <v/>
      </c>
      <c r="AB274" s="12" t="str">
        <f>IF(Raw_Data!Q277="","",IF(Raw_Data!Q277="oui",1,0))</f>
        <v/>
      </c>
      <c r="AC274" s="12">
        <f>Raw_Data!AF277</f>
        <v>0</v>
      </c>
      <c r="AD274" s="12" t="str">
        <f t="shared" si="41"/>
        <v/>
      </c>
      <c r="AE274" s="12" t="str">
        <f t="shared" si="42"/>
        <v/>
      </c>
      <c r="AF274" s="12" t="str">
        <f t="shared" si="43"/>
        <v/>
      </c>
      <c r="AG274" s="12">
        <f t="shared" si="44"/>
        <v>0</v>
      </c>
    </row>
    <row r="275" spans="1:33" ht="15" customHeight="1" x14ac:dyDescent="0.25">
      <c r="A275" s="12" t="str">
        <f>IF(Raw_Data!B278="","",Raw_Data!B278)</f>
        <v/>
      </c>
      <c r="B275" s="12">
        <f>IF(Raw_Data!X278&lt;&gt;"",Raw_Data!X278,Raw_Data!C278)</f>
        <v>0</v>
      </c>
      <c r="C275" s="12" t="str">
        <f>IF(Raw_Data!G278="","",Raw_Data!G278)</f>
        <v/>
      </c>
      <c r="D275" s="12" t="str">
        <f>IF(Raw_Data!H278="","",Raw_Data!H278)</f>
        <v/>
      </c>
      <c r="E275" s="12" t="str">
        <f>IF(Raw_Data!I278="","",Raw_Data!I278)</f>
        <v/>
      </c>
      <c r="F275" s="12" t="str">
        <f>IF(Raw_Data!J278="","",Raw_Data!J278)</f>
        <v/>
      </c>
      <c r="G275" s="12" t="str">
        <f>IF(Raw_Data!AH278&lt;&gt;"",Raw_Data!AH278,IF(Raw_Data!K278&lt;&gt;"",Raw_Data!K278,""))</f>
        <v/>
      </c>
      <c r="H275" s="12" t="str">
        <f>IF(Raw_Data!AI278&lt;&gt;"",Raw_Data!AI278,IF(Raw_Data!L278&lt;&gt;"",Raw_Data!L278,""))</f>
        <v/>
      </c>
      <c r="I275" s="12" t="str">
        <f t="shared" si="36"/>
        <v/>
      </c>
      <c r="J275" s="12" t="str">
        <f>IF(Raw_Data!M278="","",Raw_Data!M278)</f>
        <v/>
      </c>
      <c r="K275" s="12">
        <f>IF(Raw_Data!AJ278&lt;&gt;"",Raw_Data!AJ278,Raw_Data!N278)</f>
        <v>0</v>
      </c>
      <c r="L275" s="12">
        <f t="shared" si="37"/>
        <v>1</v>
      </c>
      <c r="M275" s="12" t="str">
        <f>IF(Raw_Data!AK278="","",Raw_Data!AK278)</f>
        <v/>
      </c>
      <c r="N275" s="12" t="str">
        <f>IF(Raw_Data!T278="","",Raw_Data!T278)</f>
        <v/>
      </c>
      <c r="O275" s="12" t="str">
        <f>IF(Raw_Data!AB278&lt;&gt;"",Raw_Data!AB278,IF(N275="tres_insatisfait",1,IF(N275="insatisfait",2,IF(N275="neutre",3,IF(N275="satisfait",4,IF(N275="tres_satisfait",5,""))))))</f>
        <v/>
      </c>
      <c r="P275" s="12">
        <f>IF(Raw_Data!AL278&lt;&gt;"",Raw_Data!AL278,Raw_Data!R278)</f>
        <v>0</v>
      </c>
      <c r="Q275" s="12">
        <f t="shared" si="38"/>
        <v>0</v>
      </c>
      <c r="R275" s="12" t="str">
        <f>IF(Raw_Data!AM278="","",Raw_Data!AM278)</f>
        <v/>
      </c>
      <c r="S275" s="12" t="str">
        <f t="shared" si="39"/>
        <v/>
      </c>
      <c r="T275" s="12" t="str">
        <f>IF(Raw_Data!AN278="","",Raw_Data!AN278)</f>
        <v/>
      </c>
      <c r="U275" s="12" t="str">
        <f t="shared" si="40"/>
        <v/>
      </c>
      <c r="V275" s="12" t="str">
        <f>IF(Raw_Data!AP278="","",IF(Raw_Data!AP278="oui",1,0))</f>
        <v/>
      </c>
      <c r="W275" s="12" t="str">
        <f>IF(Raw_Data!AQ278="","",IF(Raw_Data!AQ278="oui",1,0))</f>
        <v/>
      </c>
      <c r="X275" s="12" t="str">
        <f>IF(Raw_Data!AR278="","",IF(Raw_Data!AR278="oui",1,0))</f>
        <v/>
      </c>
      <c r="Y275" s="12" t="str">
        <f>IF(Raw_Data!AS278="","",IF(Raw_Data!AS278="oui",1,0))</f>
        <v/>
      </c>
      <c r="Z275" s="12" t="str">
        <f>IF(Raw_Data!V278="","",IF(Raw_Data!V278="oui",1,0))</f>
        <v/>
      </c>
      <c r="AA275" s="12" t="str">
        <f>IF(Raw_Data!W278="","",IF(Raw_Data!W278="oui",1,0))</f>
        <v/>
      </c>
      <c r="AB275" s="12" t="str">
        <f>IF(Raw_Data!Q278="","",IF(Raw_Data!Q278="oui",1,0))</f>
        <v/>
      </c>
      <c r="AC275" s="12">
        <f>Raw_Data!AF278</f>
        <v>0</v>
      </c>
      <c r="AD275" s="12" t="str">
        <f t="shared" si="41"/>
        <v/>
      </c>
      <c r="AE275" s="12" t="str">
        <f t="shared" si="42"/>
        <v/>
      </c>
      <c r="AF275" s="12" t="str">
        <f t="shared" si="43"/>
        <v/>
      </c>
      <c r="AG275" s="12">
        <f t="shared" si="44"/>
        <v>0</v>
      </c>
    </row>
    <row r="276" spans="1:33" ht="15" customHeight="1" x14ac:dyDescent="0.25">
      <c r="A276" s="12" t="str">
        <f>IF(Raw_Data!B279="","",Raw_Data!B279)</f>
        <v/>
      </c>
      <c r="B276" s="12">
        <f>IF(Raw_Data!X279&lt;&gt;"",Raw_Data!X279,Raw_Data!C279)</f>
        <v>0</v>
      </c>
      <c r="C276" s="12" t="str">
        <f>IF(Raw_Data!G279="","",Raw_Data!G279)</f>
        <v/>
      </c>
      <c r="D276" s="12" t="str">
        <f>IF(Raw_Data!H279="","",Raw_Data!H279)</f>
        <v/>
      </c>
      <c r="E276" s="12" t="str">
        <f>IF(Raw_Data!I279="","",Raw_Data!I279)</f>
        <v/>
      </c>
      <c r="F276" s="12" t="str">
        <f>IF(Raw_Data!J279="","",Raw_Data!J279)</f>
        <v/>
      </c>
      <c r="G276" s="12" t="str">
        <f>IF(Raw_Data!AH279&lt;&gt;"",Raw_Data!AH279,IF(Raw_Data!K279&lt;&gt;"",Raw_Data!K279,""))</f>
        <v/>
      </c>
      <c r="H276" s="12" t="str">
        <f>IF(Raw_Data!AI279&lt;&gt;"",Raw_Data!AI279,IF(Raw_Data!L279&lt;&gt;"",Raw_Data!L279,""))</f>
        <v/>
      </c>
      <c r="I276" s="12" t="str">
        <f t="shared" si="36"/>
        <v/>
      </c>
      <c r="J276" s="12" t="str">
        <f>IF(Raw_Data!M279="","",Raw_Data!M279)</f>
        <v/>
      </c>
      <c r="K276" s="12">
        <f>IF(Raw_Data!AJ279&lt;&gt;"",Raw_Data!AJ279,Raw_Data!N279)</f>
        <v>0</v>
      </c>
      <c r="L276" s="12">
        <f t="shared" si="37"/>
        <v>1</v>
      </c>
      <c r="M276" s="12" t="str">
        <f>IF(Raw_Data!AK279="","",Raw_Data!AK279)</f>
        <v/>
      </c>
      <c r="N276" s="12" t="str">
        <f>IF(Raw_Data!T279="","",Raw_Data!T279)</f>
        <v/>
      </c>
      <c r="O276" s="12" t="str">
        <f>IF(Raw_Data!AB279&lt;&gt;"",Raw_Data!AB279,IF(N276="tres_insatisfait",1,IF(N276="insatisfait",2,IF(N276="neutre",3,IF(N276="satisfait",4,IF(N276="tres_satisfait",5,""))))))</f>
        <v/>
      </c>
      <c r="P276" s="12">
        <f>IF(Raw_Data!AL279&lt;&gt;"",Raw_Data!AL279,Raw_Data!R279)</f>
        <v>0</v>
      </c>
      <c r="Q276" s="12">
        <f t="shared" si="38"/>
        <v>0</v>
      </c>
      <c r="R276" s="12" t="str">
        <f>IF(Raw_Data!AM279="","",Raw_Data!AM279)</f>
        <v/>
      </c>
      <c r="S276" s="12" t="str">
        <f t="shared" si="39"/>
        <v/>
      </c>
      <c r="T276" s="12" t="str">
        <f>IF(Raw_Data!AN279="","",Raw_Data!AN279)</f>
        <v/>
      </c>
      <c r="U276" s="12" t="str">
        <f t="shared" si="40"/>
        <v/>
      </c>
      <c r="V276" s="12" t="str">
        <f>IF(Raw_Data!AP279="","",IF(Raw_Data!AP279="oui",1,0))</f>
        <v/>
      </c>
      <c r="W276" s="12" t="str">
        <f>IF(Raw_Data!AQ279="","",IF(Raw_Data!AQ279="oui",1,0))</f>
        <v/>
      </c>
      <c r="X276" s="12" t="str">
        <f>IF(Raw_Data!AR279="","",IF(Raw_Data!AR279="oui",1,0))</f>
        <v/>
      </c>
      <c r="Y276" s="12" t="str">
        <f>IF(Raw_Data!AS279="","",IF(Raw_Data!AS279="oui",1,0))</f>
        <v/>
      </c>
      <c r="Z276" s="12" t="str">
        <f>IF(Raw_Data!V279="","",IF(Raw_Data!V279="oui",1,0))</f>
        <v/>
      </c>
      <c r="AA276" s="12" t="str">
        <f>IF(Raw_Data!W279="","",IF(Raw_Data!W279="oui",1,0))</f>
        <v/>
      </c>
      <c r="AB276" s="12" t="str">
        <f>IF(Raw_Data!Q279="","",IF(Raw_Data!Q279="oui",1,0))</f>
        <v/>
      </c>
      <c r="AC276" s="12">
        <f>Raw_Data!AF279</f>
        <v>0</v>
      </c>
      <c r="AD276" s="12" t="str">
        <f t="shared" si="41"/>
        <v/>
      </c>
      <c r="AE276" s="12" t="str">
        <f t="shared" si="42"/>
        <v/>
      </c>
      <c r="AF276" s="12" t="str">
        <f t="shared" si="43"/>
        <v/>
      </c>
      <c r="AG276" s="12">
        <f t="shared" si="44"/>
        <v>0</v>
      </c>
    </row>
    <row r="277" spans="1:33" ht="15" customHeight="1" x14ac:dyDescent="0.25">
      <c r="A277" s="12" t="str">
        <f>IF(Raw_Data!B280="","",Raw_Data!B280)</f>
        <v/>
      </c>
      <c r="B277" s="12">
        <f>IF(Raw_Data!X280&lt;&gt;"",Raw_Data!X280,Raw_Data!C280)</f>
        <v>0</v>
      </c>
      <c r="C277" s="12" t="str">
        <f>IF(Raw_Data!G280="","",Raw_Data!G280)</f>
        <v/>
      </c>
      <c r="D277" s="12" t="str">
        <f>IF(Raw_Data!H280="","",Raw_Data!H280)</f>
        <v/>
      </c>
      <c r="E277" s="12" t="str">
        <f>IF(Raw_Data!I280="","",Raw_Data!I280)</f>
        <v/>
      </c>
      <c r="F277" s="12" t="str">
        <f>IF(Raw_Data!J280="","",Raw_Data!J280)</f>
        <v/>
      </c>
      <c r="G277" s="12" t="str">
        <f>IF(Raw_Data!AH280&lt;&gt;"",Raw_Data!AH280,IF(Raw_Data!K280&lt;&gt;"",Raw_Data!K280,""))</f>
        <v/>
      </c>
      <c r="H277" s="12" t="str">
        <f>IF(Raw_Data!AI280&lt;&gt;"",Raw_Data!AI280,IF(Raw_Data!L280&lt;&gt;"",Raw_Data!L280,""))</f>
        <v/>
      </c>
      <c r="I277" s="12" t="str">
        <f t="shared" si="36"/>
        <v/>
      </c>
      <c r="J277" s="12" t="str">
        <f>IF(Raw_Data!M280="","",Raw_Data!M280)</f>
        <v/>
      </c>
      <c r="K277" s="12">
        <f>IF(Raw_Data!AJ280&lt;&gt;"",Raw_Data!AJ280,Raw_Data!N280)</f>
        <v>0</v>
      </c>
      <c r="L277" s="12">
        <f t="shared" si="37"/>
        <v>1</v>
      </c>
      <c r="M277" s="12" t="str">
        <f>IF(Raw_Data!AK280="","",Raw_Data!AK280)</f>
        <v/>
      </c>
      <c r="N277" s="12" t="str">
        <f>IF(Raw_Data!T280="","",Raw_Data!T280)</f>
        <v/>
      </c>
      <c r="O277" s="12" t="str">
        <f>IF(Raw_Data!AB280&lt;&gt;"",Raw_Data!AB280,IF(N277="tres_insatisfait",1,IF(N277="insatisfait",2,IF(N277="neutre",3,IF(N277="satisfait",4,IF(N277="tres_satisfait",5,""))))))</f>
        <v/>
      </c>
      <c r="P277" s="12">
        <f>IF(Raw_Data!AL280&lt;&gt;"",Raw_Data!AL280,Raw_Data!R280)</f>
        <v>0</v>
      </c>
      <c r="Q277" s="12">
        <f t="shared" si="38"/>
        <v>0</v>
      </c>
      <c r="R277" s="12" t="str">
        <f>IF(Raw_Data!AM280="","",Raw_Data!AM280)</f>
        <v/>
      </c>
      <c r="S277" s="12" t="str">
        <f t="shared" si="39"/>
        <v/>
      </c>
      <c r="T277" s="12" t="str">
        <f>IF(Raw_Data!AN280="","",Raw_Data!AN280)</f>
        <v/>
      </c>
      <c r="U277" s="12" t="str">
        <f t="shared" si="40"/>
        <v/>
      </c>
      <c r="V277" s="12" t="str">
        <f>IF(Raw_Data!AP280="","",IF(Raw_Data!AP280="oui",1,0))</f>
        <v/>
      </c>
      <c r="W277" s="12" t="str">
        <f>IF(Raw_Data!AQ280="","",IF(Raw_Data!AQ280="oui",1,0))</f>
        <v/>
      </c>
      <c r="X277" s="12" t="str">
        <f>IF(Raw_Data!AR280="","",IF(Raw_Data!AR280="oui",1,0))</f>
        <v/>
      </c>
      <c r="Y277" s="12" t="str">
        <f>IF(Raw_Data!AS280="","",IF(Raw_Data!AS280="oui",1,0))</f>
        <v/>
      </c>
      <c r="Z277" s="12" t="str">
        <f>IF(Raw_Data!V280="","",IF(Raw_Data!V280="oui",1,0))</f>
        <v/>
      </c>
      <c r="AA277" s="12" t="str">
        <f>IF(Raw_Data!W280="","",IF(Raw_Data!W280="oui",1,0))</f>
        <v/>
      </c>
      <c r="AB277" s="12" t="str">
        <f>IF(Raw_Data!Q280="","",IF(Raw_Data!Q280="oui",1,0))</f>
        <v/>
      </c>
      <c r="AC277" s="12">
        <f>Raw_Data!AF280</f>
        <v>0</v>
      </c>
      <c r="AD277" s="12" t="str">
        <f t="shared" si="41"/>
        <v/>
      </c>
      <c r="AE277" s="12" t="str">
        <f t="shared" si="42"/>
        <v/>
      </c>
      <c r="AF277" s="12" t="str">
        <f t="shared" si="43"/>
        <v/>
      </c>
      <c r="AG277" s="12">
        <f t="shared" si="44"/>
        <v>0</v>
      </c>
    </row>
    <row r="278" spans="1:33" ht="15" customHeight="1" x14ac:dyDescent="0.25">
      <c r="A278" s="12" t="str">
        <f>IF(Raw_Data!B281="","",Raw_Data!B281)</f>
        <v/>
      </c>
      <c r="B278" s="12">
        <f>IF(Raw_Data!X281&lt;&gt;"",Raw_Data!X281,Raw_Data!C281)</f>
        <v>0</v>
      </c>
      <c r="C278" s="12" t="str">
        <f>IF(Raw_Data!G281="","",Raw_Data!G281)</f>
        <v/>
      </c>
      <c r="D278" s="12" t="str">
        <f>IF(Raw_Data!H281="","",Raw_Data!H281)</f>
        <v/>
      </c>
      <c r="E278" s="12" t="str">
        <f>IF(Raw_Data!I281="","",Raw_Data!I281)</f>
        <v/>
      </c>
      <c r="F278" s="12" t="str">
        <f>IF(Raw_Data!J281="","",Raw_Data!J281)</f>
        <v/>
      </c>
      <c r="G278" s="12" t="str">
        <f>IF(Raw_Data!AH281&lt;&gt;"",Raw_Data!AH281,IF(Raw_Data!K281&lt;&gt;"",Raw_Data!K281,""))</f>
        <v/>
      </c>
      <c r="H278" s="12" t="str">
        <f>IF(Raw_Data!AI281&lt;&gt;"",Raw_Data!AI281,IF(Raw_Data!L281&lt;&gt;"",Raw_Data!L281,""))</f>
        <v/>
      </c>
      <c r="I278" s="12" t="str">
        <f t="shared" si="36"/>
        <v/>
      </c>
      <c r="J278" s="12" t="str">
        <f>IF(Raw_Data!M281="","",Raw_Data!M281)</f>
        <v/>
      </c>
      <c r="K278" s="12">
        <f>IF(Raw_Data!AJ281&lt;&gt;"",Raw_Data!AJ281,Raw_Data!N281)</f>
        <v>0</v>
      </c>
      <c r="L278" s="12">
        <f t="shared" si="37"/>
        <v>1</v>
      </c>
      <c r="M278" s="12" t="str">
        <f>IF(Raw_Data!AK281="","",Raw_Data!AK281)</f>
        <v/>
      </c>
      <c r="N278" s="12" t="str">
        <f>IF(Raw_Data!T281="","",Raw_Data!T281)</f>
        <v/>
      </c>
      <c r="O278" s="12" t="str">
        <f>IF(Raw_Data!AB281&lt;&gt;"",Raw_Data!AB281,IF(N278="tres_insatisfait",1,IF(N278="insatisfait",2,IF(N278="neutre",3,IF(N278="satisfait",4,IF(N278="tres_satisfait",5,""))))))</f>
        <v/>
      </c>
      <c r="P278" s="12">
        <f>IF(Raw_Data!AL281&lt;&gt;"",Raw_Data!AL281,Raw_Data!R281)</f>
        <v>0</v>
      </c>
      <c r="Q278" s="12">
        <f t="shared" si="38"/>
        <v>0</v>
      </c>
      <c r="R278" s="12" t="str">
        <f>IF(Raw_Data!AM281="","",Raw_Data!AM281)</f>
        <v/>
      </c>
      <c r="S278" s="12" t="str">
        <f t="shared" si="39"/>
        <v/>
      </c>
      <c r="T278" s="12" t="str">
        <f>IF(Raw_Data!AN281="","",Raw_Data!AN281)</f>
        <v/>
      </c>
      <c r="U278" s="12" t="str">
        <f t="shared" si="40"/>
        <v/>
      </c>
      <c r="V278" s="12" t="str">
        <f>IF(Raw_Data!AP281="","",IF(Raw_Data!AP281="oui",1,0))</f>
        <v/>
      </c>
      <c r="W278" s="12" t="str">
        <f>IF(Raw_Data!AQ281="","",IF(Raw_Data!AQ281="oui",1,0))</f>
        <v/>
      </c>
      <c r="X278" s="12" t="str">
        <f>IF(Raw_Data!AR281="","",IF(Raw_Data!AR281="oui",1,0))</f>
        <v/>
      </c>
      <c r="Y278" s="12" t="str">
        <f>IF(Raw_Data!AS281="","",IF(Raw_Data!AS281="oui",1,0))</f>
        <v/>
      </c>
      <c r="Z278" s="12" t="str">
        <f>IF(Raw_Data!V281="","",IF(Raw_Data!V281="oui",1,0))</f>
        <v/>
      </c>
      <c r="AA278" s="12" t="str">
        <f>IF(Raw_Data!W281="","",IF(Raw_Data!W281="oui",1,0))</f>
        <v/>
      </c>
      <c r="AB278" s="12" t="str">
        <f>IF(Raw_Data!Q281="","",IF(Raw_Data!Q281="oui",1,0))</f>
        <v/>
      </c>
      <c r="AC278" s="12">
        <f>Raw_Data!AF281</f>
        <v>0</v>
      </c>
      <c r="AD278" s="12" t="str">
        <f t="shared" si="41"/>
        <v/>
      </c>
      <c r="AE278" s="12" t="str">
        <f t="shared" si="42"/>
        <v/>
      </c>
      <c r="AF278" s="12" t="str">
        <f t="shared" si="43"/>
        <v/>
      </c>
      <c r="AG278" s="12">
        <f t="shared" si="44"/>
        <v>0</v>
      </c>
    </row>
    <row r="279" spans="1:33" ht="15" customHeight="1" x14ac:dyDescent="0.25">
      <c r="A279" s="12" t="str">
        <f>IF(Raw_Data!B282="","",Raw_Data!B282)</f>
        <v/>
      </c>
      <c r="B279" s="12">
        <f>IF(Raw_Data!X282&lt;&gt;"",Raw_Data!X282,Raw_Data!C282)</f>
        <v>0</v>
      </c>
      <c r="C279" s="12" t="str">
        <f>IF(Raw_Data!G282="","",Raw_Data!G282)</f>
        <v/>
      </c>
      <c r="D279" s="12" t="str">
        <f>IF(Raw_Data!H282="","",Raw_Data!H282)</f>
        <v/>
      </c>
      <c r="E279" s="12" t="str">
        <f>IF(Raw_Data!I282="","",Raw_Data!I282)</f>
        <v/>
      </c>
      <c r="F279" s="12" t="str">
        <f>IF(Raw_Data!J282="","",Raw_Data!J282)</f>
        <v/>
      </c>
      <c r="G279" s="12" t="str">
        <f>IF(Raw_Data!AH282&lt;&gt;"",Raw_Data!AH282,IF(Raw_Data!K282&lt;&gt;"",Raw_Data!K282,""))</f>
        <v/>
      </c>
      <c r="H279" s="12" t="str">
        <f>IF(Raw_Data!AI282&lt;&gt;"",Raw_Data!AI282,IF(Raw_Data!L282&lt;&gt;"",Raw_Data!L282,""))</f>
        <v/>
      </c>
      <c r="I279" s="12" t="str">
        <f t="shared" si="36"/>
        <v/>
      </c>
      <c r="J279" s="12" t="str">
        <f>IF(Raw_Data!M282="","",Raw_Data!M282)</f>
        <v/>
      </c>
      <c r="K279" s="12">
        <f>IF(Raw_Data!AJ282&lt;&gt;"",Raw_Data!AJ282,Raw_Data!N282)</f>
        <v>0</v>
      </c>
      <c r="L279" s="12">
        <f t="shared" si="37"/>
        <v>1</v>
      </c>
      <c r="M279" s="12" t="str">
        <f>IF(Raw_Data!AK282="","",Raw_Data!AK282)</f>
        <v/>
      </c>
      <c r="N279" s="12" t="str">
        <f>IF(Raw_Data!T282="","",Raw_Data!T282)</f>
        <v/>
      </c>
      <c r="O279" s="12" t="str">
        <f>IF(Raw_Data!AB282&lt;&gt;"",Raw_Data!AB282,IF(N279="tres_insatisfait",1,IF(N279="insatisfait",2,IF(N279="neutre",3,IF(N279="satisfait",4,IF(N279="tres_satisfait",5,""))))))</f>
        <v/>
      </c>
      <c r="P279" s="12">
        <f>IF(Raw_Data!AL282&lt;&gt;"",Raw_Data!AL282,Raw_Data!R282)</f>
        <v>0</v>
      </c>
      <c r="Q279" s="12">
        <f t="shared" si="38"/>
        <v>0</v>
      </c>
      <c r="R279" s="12" t="str">
        <f>IF(Raw_Data!AM282="","",Raw_Data!AM282)</f>
        <v/>
      </c>
      <c r="S279" s="12" t="str">
        <f t="shared" si="39"/>
        <v/>
      </c>
      <c r="T279" s="12" t="str">
        <f>IF(Raw_Data!AN282="","",Raw_Data!AN282)</f>
        <v/>
      </c>
      <c r="U279" s="12" t="str">
        <f t="shared" si="40"/>
        <v/>
      </c>
      <c r="V279" s="12" t="str">
        <f>IF(Raw_Data!AP282="","",IF(Raw_Data!AP282="oui",1,0))</f>
        <v/>
      </c>
      <c r="W279" s="12" t="str">
        <f>IF(Raw_Data!AQ282="","",IF(Raw_Data!AQ282="oui",1,0))</f>
        <v/>
      </c>
      <c r="X279" s="12" t="str">
        <f>IF(Raw_Data!AR282="","",IF(Raw_Data!AR282="oui",1,0))</f>
        <v/>
      </c>
      <c r="Y279" s="12" t="str">
        <f>IF(Raw_Data!AS282="","",IF(Raw_Data!AS282="oui",1,0))</f>
        <v/>
      </c>
      <c r="Z279" s="12" t="str">
        <f>IF(Raw_Data!V282="","",IF(Raw_Data!V282="oui",1,0))</f>
        <v/>
      </c>
      <c r="AA279" s="12" t="str">
        <f>IF(Raw_Data!W282="","",IF(Raw_Data!W282="oui",1,0))</f>
        <v/>
      </c>
      <c r="AB279" s="12" t="str">
        <f>IF(Raw_Data!Q282="","",IF(Raw_Data!Q282="oui",1,0))</f>
        <v/>
      </c>
      <c r="AC279" s="12">
        <f>Raw_Data!AF282</f>
        <v>0</v>
      </c>
      <c r="AD279" s="12" t="str">
        <f t="shared" si="41"/>
        <v/>
      </c>
      <c r="AE279" s="12" t="str">
        <f t="shared" si="42"/>
        <v/>
      </c>
      <c r="AF279" s="12" t="str">
        <f t="shared" si="43"/>
        <v/>
      </c>
      <c r="AG279" s="12">
        <f t="shared" si="44"/>
        <v>0</v>
      </c>
    </row>
    <row r="280" spans="1:33" ht="15" customHeight="1" x14ac:dyDescent="0.25">
      <c r="A280" s="12" t="str">
        <f>IF(Raw_Data!B283="","",Raw_Data!B283)</f>
        <v/>
      </c>
      <c r="B280" s="12">
        <f>IF(Raw_Data!X283&lt;&gt;"",Raw_Data!X283,Raw_Data!C283)</f>
        <v>0</v>
      </c>
      <c r="C280" s="12" t="str">
        <f>IF(Raw_Data!G283="","",Raw_Data!G283)</f>
        <v/>
      </c>
      <c r="D280" s="12" t="str">
        <f>IF(Raw_Data!H283="","",Raw_Data!H283)</f>
        <v/>
      </c>
      <c r="E280" s="12" t="str">
        <f>IF(Raw_Data!I283="","",Raw_Data!I283)</f>
        <v/>
      </c>
      <c r="F280" s="12" t="str">
        <f>IF(Raw_Data!J283="","",Raw_Data!J283)</f>
        <v/>
      </c>
      <c r="G280" s="12" t="str">
        <f>IF(Raw_Data!AH283&lt;&gt;"",Raw_Data!AH283,IF(Raw_Data!K283&lt;&gt;"",Raw_Data!K283,""))</f>
        <v/>
      </c>
      <c r="H280" s="12" t="str">
        <f>IF(Raw_Data!AI283&lt;&gt;"",Raw_Data!AI283,IF(Raw_Data!L283&lt;&gt;"",Raw_Data!L283,""))</f>
        <v/>
      </c>
      <c r="I280" s="12" t="str">
        <f t="shared" si="36"/>
        <v/>
      </c>
      <c r="J280" s="12" t="str">
        <f>IF(Raw_Data!M283="","",Raw_Data!M283)</f>
        <v/>
      </c>
      <c r="K280" s="12">
        <f>IF(Raw_Data!AJ283&lt;&gt;"",Raw_Data!AJ283,Raw_Data!N283)</f>
        <v>0</v>
      </c>
      <c r="L280" s="12">
        <f t="shared" si="37"/>
        <v>1</v>
      </c>
      <c r="M280" s="12" t="str">
        <f>IF(Raw_Data!AK283="","",Raw_Data!AK283)</f>
        <v/>
      </c>
      <c r="N280" s="12" t="str">
        <f>IF(Raw_Data!T283="","",Raw_Data!T283)</f>
        <v/>
      </c>
      <c r="O280" s="12" t="str">
        <f>IF(Raw_Data!AB283&lt;&gt;"",Raw_Data!AB283,IF(N280="tres_insatisfait",1,IF(N280="insatisfait",2,IF(N280="neutre",3,IF(N280="satisfait",4,IF(N280="tres_satisfait",5,""))))))</f>
        <v/>
      </c>
      <c r="P280" s="12">
        <f>IF(Raw_Data!AL283&lt;&gt;"",Raw_Data!AL283,Raw_Data!R283)</f>
        <v>0</v>
      </c>
      <c r="Q280" s="12">
        <f t="shared" si="38"/>
        <v>0</v>
      </c>
      <c r="R280" s="12" t="str">
        <f>IF(Raw_Data!AM283="","",Raw_Data!AM283)</f>
        <v/>
      </c>
      <c r="S280" s="12" t="str">
        <f t="shared" si="39"/>
        <v/>
      </c>
      <c r="T280" s="12" t="str">
        <f>IF(Raw_Data!AN283="","",Raw_Data!AN283)</f>
        <v/>
      </c>
      <c r="U280" s="12" t="str">
        <f t="shared" si="40"/>
        <v/>
      </c>
      <c r="V280" s="12" t="str">
        <f>IF(Raw_Data!AP283="","",IF(Raw_Data!AP283="oui",1,0))</f>
        <v/>
      </c>
      <c r="W280" s="12" t="str">
        <f>IF(Raw_Data!AQ283="","",IF(Raw_Data!AQ283="oui",1,0))</f>
        <v/>
      </c>
      <c r="X280" s="12" t="str">
        <f>IF(Raw_Data!AR283="","",IF(Raw_Data!AR283="oui",1,0))</f>
        <v/>
      </c>
      <c r="Y280" s="12" t="str">
        <f>IF(Raw_Data!AS283="","",IF(Raw_Data!AS283="oui",1,0))</f>
        <v/>
      </c>
      <c r="Z280" s="12" t="str">
        <f>IF(Raw_Data!V283="","",IF(Raw_Data!V283="oui",1,0))</f>
        <v/>
      </c>
      <c r="AA280" s="12" t="str">
        <f>IF(Raw_Data!W283="","",IF(Raw_Data!W283="oui",1,0))</f>
        <v/>
      </c>
      <c r="AB280" s="12" t="str">
        <f>IF(Raw_Data!Q283="","",IF(Raw_Data!Q283="oui",1,0))</f>
        <v/>
      </c>
      <c r="AC280" s="12">
        <f>Raw_Data!AF283</f>
        <v>0</v>
      </c>
      <c r="AD280" s="12" t="str">
        <f t="shared" si="41"/>
        <v/>
      </c>
      <c r="AE280" s="12" t="str">
        <f t="shared" si="42"/>
        <v/>
      </c>
      <c r="AF280" s="12" t="str">
        <f t="shared" si="43"/>
        <v/>
      </c>
      <c r="AG280" s="12">
        <f t="shared" si="44"/>
        <v>0</v>
      </c>
    </row>
    <row r="281" spans="1:33" ht="15" customHeight="1" x14ac:dyDescent="0.25">
      <c r="A281" s="12" t="str">
        <f>IF(Raw_Data!B284="","",Raw_Data!B284)</f>
        <v/>
      </c>
      <c r="B281" s="12">
        <f>IF(Raw_Data!X284&lt;&gt;"",Raw_Data!X284,Raw_Data!C284)</f>
        <v>0</v>
      </c>
      <c r="C281" s="12" t="str">
        <f>IF(Raw_Data!G284="","",Raw_Data!G284)</f>
        <v/>
      </c>
      <c r="D281" s="12" t="str">
        <f>IF(Raw_Data!H284="","",Raw_Data!H284)</f>
        <v/>
      </c>
      <c r="E281" s="12" t="str">
        <f>IF(Raw_Data!I284="","",Raw_Data!I284)</f>
        <v/>
      </c>
      <c r="F281" s="12" t="str">
        <f>IF(Raw_Data!J284="","",Raw_Data!J284)</f>
        <v/>
      </c>
      <c r="G281" s="12" t="str">
        <f>IF(Raw_Data!AH284&lt;&gt;"",Raw_Data!AH284,IF(Raw_Data!K284&lt;&gt;"",Raw_Data!K284,""))</f>
        <v/>
      </c>
      <c r="H281" s="12" t="str">
        <f>IF(Raw_Data!AI284&lt;&gt;"",Raw_Data!AI284,IF(Raw_Data!L284&lt;&gt;"",Raw_Data!L284,""))</f>
        <v/>
      </c>
      <c r="I281" s="12" t="str">
        <f t="shared" si="36"/>
        <v/>
      </c>
      <c r="J281" s="12" t="str">
        <f>IF(Raw_Data!M284="","",Raw_Data!M284)</f>
        <v/>
      </c>
      <c r="K281" s="12">
        <f>IF(Raw_Data!AJ284&lt;&gt;"",Raw_Data!AJ284,Raw_Data!N284)</f>
        <v>0</v>
      </c>
      <c r="L281" s="12">
        <f t="shared" si="37"/>
        <v>1</v>
      </c>
      <c r="M281" s="12" t="str">
        <f>IF(Raw_Data!AK284="","",Raw_Data!AK284)</f>
        <v/>
      </c>
      <c r="N281" s="12" t="str">
        <f>IF(Raw_Data!T284="","",Raw_Data!T284)</f>
        <v/>
      </c>
      <c r="O281" s="12" t="str">
        <f>IF(Raw_Data!AB284&lt;&gt;"",Raw_Data!AB284,IF(N281="tres_insatisfait",1,IF(N281="insatisfait",2,IF(N281="neutre",3,IF(N281="satisfait",4,IF(N281="tres_satisfait",5,""))))))</f>
        <v/>
      </c>
      <c r="P281" s="12">
        <f>IF(Raw_Data!AL284&lt;&gt;"",Raw_Data!AL284,Raw_Data!R284)</f>
        <v>0</v>
      </c>
      <c r="Q281" s="12">
        <f t="shared" si="38"/>
        <v>0</v>
      </c>
      <c r="R281" s="12" t="str">
        <f>IF(Raw_Data!AM284="","",Raw_Data!AM284)</f>
        <v/>
      </c>
      <c r="S281" s="12" t="str">
        <f t="shared" si="39"/>
        <v/>
      </c>
      <c r="T281" s="12" t="str">
        <f>IF(Raw_Data!AN284="","",Raw_Data!AN284)</f>
        <v/>
      </c>
      <c r="U281" s="12" t="str">
        <f t="shared" si="40"/>
        <v/>
      </c>
      <c r="V281" s="12" t="str">
        <f>IF(Raw_Data!AP284="","",IF(Raw_Data!AP284="oui",1,0))</f>
        <v/>
      </c>
      <c r="W281" s="12" t="str">
        <f>IF(Raw_Data!AQ284="","",IF(Raw_Data!AQ284="oui",1,0))</f>
        <v/>
      </c>
      <c r="X281" s="12" t="str">
        <f>IF(Raw_Data!AR284="","",IF(Raw_Data!AR284="oui",1,0))</f>
        <v/>
      </c>
      <c r="Y281" s="12" t="str">
        <f>IF(Raw_Data!AS284="","",IF(Raw_Data!AS284="oui",1,0))</f>
        <v/>
      </c>
      <c r="Z281" s="12" t="str">
        <f>IF(Raw_Data!V284="","",IF(Raw_Data!V284="oui",1,0))</f>
        <v/>
      </c>
      <c r="AA281" s="12" t="str">
        <f>IF(Raw_Data!W284="","",IF(Raw_Data!W284="oui",1,0))</f>
        <v/>
      </c>
      <c r="AB281" s="12" t="str">
        <f>IF(Raw_Data!Q284="","",IF(Raw_Data!Q284="oui",1,0))</f>
        <v/>
      </c>
      <c r="AC281" s="12">
        <f>Raw_Data!AF284</f>
        <v>0</v>
      </c>
      <c r="AD281" s="12" t="str">
        <f t="shared" si="41"/>
        <v/>
      </c>
      <c r="AE281" s="12" t="str">
        <f t="shared" si="42"/>
        <v/>
      </c>
      <c r="AF281" s="12" t="str">
        <f t="shared" si="43"/>
        <v/>
      </c>
      <c r="AG281" s="12">
        <f t="shared" si="44"/>
        <v>0</v>
      </c>
    </row>
    <row r="282" spans="1:33" ht="15" customHeight="1" x14ac:dyDescent="0.25">
      <c r="A282" s="12" t="str">
        <f>IF(Raw_Data!B285="","",Raw_Data!B285)</f>
        <v/>
      </c>
      <c r="B282" s="12">
        <f>IF(Raw_Data!X285&lt;&gt;"",Raw_Data!X285,Raw_Data!C285)</f>
        <v>0</v>
      </c>
      <c r="C282" s="12" t="str">
        <f>IF(Raw_Data!G285="","",Raw_Data!G285)</f>
        <v/>
      </c>
      <c r="D282" s="12" t="str">
        <f>IF(Raw_Data!H285="","",Raw_Data!H285)</f>
        <v/>
      </c>
      <c r="E282" s="12" t="str">
        <f>IF(Raw_Data!I285="","",Raw_Data!I285)</f>
        <v/>
      </c>
      <c r="F282" s="12" t="str">
        <f>IF(Raw_Data!J285="","",Raw_Data!J285)</f>
        <v/>
      </c>
      <c r="G282" s="12" t="str">
        <f>IF(Raw_Data!AH285&lt;&gt;"",Raw_Data!AH285,IF(Raw_Data!K285&lt;&gt;"",Raw_Data!K285,""))</f>
        <v/>
      </c>
      <c r="H282" s="12" t="str">
        <f>IF(Raw_Data!AI285&lt;&gt;"",Raw_Data!AI285,IF(Raw_Data!L285&lt;&gt;"",Raw_Data!L285,""))</f>
        <v/>
      </c>
      <c r="I282" s="12" t="str">
        <f t="shared" si="36"/>
        <v/>
      </c>
      <c r="J282" s="12" t="str">
        <f>IF(Raw_Data!M285="","",Raw_Data!M285)</f>
        <v/>
      </c>
      <c r="K282" s="12">
        <f>IF(Raw_Data!AJ285&lt;&gt;"",Raw_Data!AJ285,Raw_Data!N285)</f>
        <v>0</v>
      </c>
      <c r="L282" s="12">
        <f t="shared" si="37"/>
        <v>1</v>
      </c>
      <c r="M282" s="12" t="str">
        <f>IF(Raw_Data!AK285="","",Raw_Data!AK285)</f>
        <v/>
      </c>
      <c r="N282" s="12" t="str">
        <f>IF(Raw_Data!T285="","",Raw_Data!T285)</f>
        <v/>
      </c>
      <c r="O282" s="12" t="str">
        <f>IF(Raw_Data!AB285&lt;&gt;"",Raw_Data!AB285,IF(N282="tres_insatisfait",1,IF(N282="insatisfait",2,IF(N282="neutre",3,IF(N282="satisfait",4,IF(N282="tres_satisfait",5,""))))))</f>
        <v/>
      </c>
      <c r="P282" s="12">
        <f>IF(Raw_Data!AL285&lt;&gt;"",Raw_Data!AL285,Raw_Data!R285)</f>
        <v>0</v>
      </c>
      <c r="Q282" s="12">
        <f t="shared" si="38"/>
        <v>0</v>
      </c>
      <c r="R282" s="12" t="str">
        <f>IF(Raw_Data!AM285="","",Raw_Data!AM285)</f>
        <v/>
      </c>
      <c r="S282" s="12" t="str">
        <f t="shared" si="39"/>
        <v/>
      </c>
      <c r="T282" s="12" t="str">
        <f>IF(Raw_Data!AN285="","",Raw_Data!AN285)</f>
        <v/>
      </c>
      <c r="U282" s="12" t="str">
        <f t="shared" si="40"/>
        <v/>
      </c>
      <c r="V282" s="12" t="str">
        <f>IF(Raw_Data!AP285="","",IF(Raw_Data!AP285="oui",1,0))</f>
        <v/>
      </c>
      <c r="W282" s="12" t="str">
        <f>IF(Raw_Data!AQ285="","",IF(Raw_Data!AQ285="oui",1,0))</f>
        <v/>
      </c>
      <c r="X282" s="12" t="str">
        <f>IF(Raw_Data!AR285="","",IF(Raw_Data!AR285="oui",1,0))</f>
        <v/>
      </c>
      <c r="Y282" s="12" t="str">
        <f>IF(Raw_Data!AS285="","",IF(Raw_Data!AS285="oui",1,0))</f>
        <v/>
      </c>
      <c r="Z282" s="12" t="str">
        <f>IF(Raw_Data!V285="","",IF(Raw_Data!V285="oui",1,0))</f>
        <v/>
      </c>
      <c r="AA282" s="12" t="str">
        <f>IF(Raw_Data!W285="","",IF(Raw_Data!W285="oui",1,0))</f>
        <v/>
      </c>
      <c r="AB282" s="12" t="str">
        <f>IF(Raw_Data!Q285="","",IF(Raw_Data!Q285="oui",1,0))</f>
        <v/>
      </c>
      <c r="AC282" s="12">
        <f>Raw_Data!AF285</f>
        <v>0</v>
      </c>
      <c r="AD282" s="12" t="str">
        <f t="shared" si="41"/>
        <v/>
      </c>
      <c r="AE282" s="12" t="str">
        <f t="shared" si="42"/>
        <v/>
      </c>
      <c r="AF282" s="12" t="str">
        <f t="shared" si="43"/>
        <v/>
      </c>
      <c r="AG282" s="12">
        <f t="shared" si="44"/>
        <v>0</v>
      </c>
    </row>
    <row r="283" spans="1:33" ht="15" customHeight="1" x14ac:dyDescent="0.25">
      <c r="A283" s="12" t="str">
        <f>IF(Raw_Data!B286="","",Raw_Data!B286)</f>
        <v/>
      </c>
      <c r="B283" s="12">
        <f>IF(Raw_Data!X286&lt;&gt;"",Raw_Data!X286,Raw_Data!C286)</f>
        <v>0</v>
      </c>
      <c r="C283" s="12" t="str">
        <f>IF(Raw_Data!G286="","",Raw_Data!G286)</f>
        <v/>
      </c>
      <c r="D283" s="12" t="str">
        <f>IF(Raw_Data!H286="","",Raw_Data!H286)</f>
        <v/>
      </c>
      <c r="E283" s="12" t="str">
        <f>IF(Raw_Data!I286="","",Raw_Data!I286)</f>
        <v/>
      </c>
      <c r="F283" s="12" t="str">
        <f>IF(Raw_Data!J286="","",Raw_Data!J286)</f>
        <v/>
      </c>
      <c r="G283" s="12" t="str">
        <f>IF(Raw_Data!AH286&lt;&gt;"",Raw_Data!AH286,IF(Raw_Data!K286&lt;&gt;"",Raw_Data!K286,""))</f>
        <v/>
      </c>
      <c r="H283" s="12" t="str">
        <f>IF(Raw_Data!AI286&lt;&gt;"",Raw_Data!AI286,IF(Raw_Data!L286&lt;&gt;"",Raw_Data!L286,""))</f>
        <v/>
      </c>
      <c r="I283" s="12" t="str">
        <f t="shared" si="36"/>
        <v/>
      </c>
      <c r="J283" s="12" t="str">
        <f>IF(Raw_Data!M286="","",Raw_Data!M286)</f>
        <v/>
      </c>
      <c r="K283" s="12">
        <f>IF(Raw_Data!AJ286&lt;&gt;"",Raw_Data!AJ286,Raw_Data!N286)</f>
        <v>0</v>
      </c>
      <c r="L283" s="12">
        <f t="shared" si="37"/>
        <v>1</v>
      </c>
      <c r="M283" s="12" t="str">
        <f>IF(Raw_Data!AK286="","",Raw_Data!AK286)</f>
        <v/>
      </c>
      <c r="N283" s="12" t="str">
        <f>IF(Raw_Data!T286="","",Raw_Data!T286)</f>
        <v/>
      </c>
      <c r="O283" s="12" t="str">
        <f>IF(Raw_Data!AB286&lt;&gt;"",Raw_Data!AB286,IF(N283="tres_insatisfait",1,IF(N283="insatisfait",2,IF(N283="neutre",3,IF(N283="satisfait",4,IF(N283="tres_satisfait",5,""))))))</f>
        <v/>
      </c>
      <c r="P283" s="12">
        <f>IF(Raw_Data!AL286&lt;&gt;"",Raw_Data!AL286,Raw_Data!R286)</f>
        <v>0</v>
      </c>
      <c r="Q283" s="12">
        <f t="shared" si="38"/>
        <v>0</v>
      </c>
      <c r="R283" s="12" t="str">
        <f>IF(Raw_Data!AM286="","",Raw_Data!AM286)</f>
        <v/>
      </c>
      <c r="S283" s="12" t="str">
        <f t="shared" si="39"/>
        <v/>
      </c>
      <c r="T283" s="12" t="str">
        <f>IF(Raw_Data!AN286="","",Raw_Data!AN286)</f>
        <v/>
      </c>
      <c r="U283" s="12" t="str">
        <f t="shared" si="40"/>
        <v/>
      </c>
      <c r="V283" s="12" t="str">
        <f>IF(Raw_Data!AP286="","",IF(Raw_Data!AP286="oui",1,0))</f>
        <v/>
      </c>
      <c r="W283" s="12" t="str">
        <f>IF(Raw_Data!AQ286="","",IF(Raw_Data!AQ286="oui",1,0))</f>
        <v/>
      </c>
      <c r="X283" s="12" t="str">
        <f>IF(Raw_Data!AR286="","",IF(Raw_Data!AR286="oui",1,0))</f>
        <v/>
      </c>
      <c r="Y283" s="12" t="str">
        <f>IF(Raw_Data!AS286="","",IF(Raw_Data!AS286="oui",1,0))</f>
        <v/>
      </c>
      <c r="Z283" s="12" t="str">
        <f>IF(Raw_Data!V286="","",IF(Raw_Data!V286="oui",1,0))</f>
        <v/>
      </c>
      <c r="AA283" s="12" t="str">
        <f>IF(Raw_Data!W286="","",IF(Raw_Data!W286="oui",1,0))</f>
        <v/>
      </c>
      <c r="AB283" s="12" t="str">
        <f>IF(Raw_Data!Q286="","",IF(Raw_Data!Q286="oui",1,0))</f>
        <v/>
      </c>
      <c r="AC283" s="12">
        <f>Raw_Data!AF286</f>
        <v>0</v>
      </c>
      <c r="AD283" s="12" t="str">
        <f t="shared" si="41"/>
        <v/>
      </c>
      <c r="AE283" s="12" t="str">
        <f t="shared" si="42"/>
        <v/>
      </c>
      <c r="AF283" s="12" t="str">
        <f t="shared" si="43"/>
        <v/>
      </c>
      <c r="AG283" s="12">
        <f t="shared" si="44"/>
        <v>0</v>
      </c>
    </row>
    <row r="284" spans="1:33" ht="15" customHeight="1" x14ac:dyDescent="0.25">
      <c r="A284" s="12" t="str">
        <f>IF(Raw_Data!B287="","",Raw_Data!B287)</f>
        <v/>
      </c>
      <c r="B284" s="12">
        <f>IF(Raw_Data!X287&lt;&gt;"",Raw_Data!X287,Raw_Data!C287)</f>
        <v>0</v>
      </c>
      <c r="C284" s="12" t="str">
        <f>IF(Raw_Data!G287="","",Raw_Data!G287)</f>
        <v/>
      </c>
      <c r="D284" s="12" t="str">
        <f>IF(Raw_Data!H287="","",Raw_Data!H287)</f>
        <v/>
      </c>
      <c r="E284" s="12" t="str">
        <f>IF(Raw_Data!I287="","",Raw_Data!I287)</f>
        <v/>
      </c>
      <c r="F284" s="12" t="str">
        <f>IF(Raw_Data!J287="","",Raw_Data!J287)</f>
        <v/>
      </c>
      <c r="G284" s="12" t="str">
        <f>IF(Raw_Data!AH287&lt;&gt;"",Raw_Data!AH287,IF(Raw_Data!K287&lt;&gt;"",Raw_Data!K287,""))</f>
        <v/>
      </c>
      <c r="H284" s="12" t="str">
        <f>IF(Raw_Data!AI287&lt;&gt;"",Raw_Data!AI287,IF(Raw_Data!L287&lt;&gt;"",Raw_Data!L287,""))</f>
        <v/>
      </c>
      <c r="I284" s="12" t="str">
        <f t="shared" si="36"/>
        <v/>
      </c>
      <c r="J284" s="12" t="str">
        <f>IF(Raw_Data!M287="","",Raw_Data!M287)</f>
        <v/>
      </c>
      <c r="K284" s="12">
        <f>IF(Raw_Data!AJ287&lt;&gt;"",Raw_Data!AJ287,Raw_Data!N287)</f>
        <v>0</v>
      </c>
      <c r="L284" s="12">
        <f t="shared" si="37"/>
        <v>1</v>
      </c>
      <c r="M284" s="12" t="str">
        <f>IF(Raw_Data!AK287="","",Raw_Data!AK287)</f>
        <v/>
      </c>
      <c r="N284" s="12" t="str">
        <f>IF(Raw_Data!T287="","",Raw_Data!T287)</f>
        <v/>
      </c>
      <c r="O284" s="12" t="str">
        <f>IF(Raw_Data!AB287&lt;&gt;"",Raw_Data!AB287,IF(N284="tres_insatisfait",1,IF(N284="insatisfait",2,IF(N284="neutre",3,IF(N284="satisfait",4,IF(N284="tres_satisfait",5,""))))))</f>
        <v/>
      </c>
      <c r="P284" s="12">
        <f>IF(Raw_Data!AL287&lt;&gt;"",Raw_Data!AL287,Raw_Data!R287)</f>
        <v>0</v>
      </c>
      <c r="Q284" s="12">
        <f t="shared" si="38"/>
        <v>0</v>
      </c>
      <c r="R284" s="12" t="str">
        <f>IF(Raw_Data!AM287="","",Raw_Data!AM287)</f>
        <v/>
      </c>
      <c r="S284" s="12" t="str">
        <f t="shared" si="39"/>
        <v/>
      </c>
      <c r="T284" s="12" t="str">
        <f>IF(Raw_Data!AN287="","",Raw_Data!AN287)</f>
        <v/>
      </c>
      <c r="U284" s="12" t="str">
        <f t="shared" si="40"/>
        <v/>
      </c>
      <c r="V284" s="12" t="str">
        <f>IF(Raw_Data!AP287="","",IF(Raw_Data!AP287="oui",1,0))</f>
        <v/>
      </c>
      <c r="W284" s="12" t="str">
        <f>IF(Raw_Data!AQ287="","",IF(Raw_Data!AQ287="oui",1,0))</f>
        <v/>
      </c>
      <c r="X284" s="12" t="str">
        <f>IF(Raw_Data!AR287="","",IF(Raw_Data!AR287="oui",1,0))</f>
        <v/>
      </c>
      <c r="Y284" s="12" t="str">
        <f>IF(Raw_Data!AS287="","",IF(Raw_Data!AS287="oui",1,0))</f>
        <v/>
      </c>
      <c r="Z284" s="12" t="str">
        <f>IF(Raw_Data!V287="","",IF(Raw_Data!V287="oui",1,0))</f>
        <v/>
      </c>
      <c r="AA284" s="12" t="str">
        <f>IF(Raw_Data!W287="","",IF(Raw_Data!W287="oui",1,0))</f>
        <v/>
      </c>
      <c r="AB284" s="12" t="str">
        <f>IF(Raw_Data!Q287="","",IF(Raw_Data!Q287="oui",1,0))</f>
        <v/>
      </c>
      <c r="AC284" s="12">
        <f>Raw_Data!AF287</f>
        <v>0</v>
      </c>
      <c r="AD284" s="12" t="str">
        <f t="shared" si="41"/>
        <v/>
      </c>
      <c r="AE284" s="12" t="str">
        <f t="shared" si="42"/>
        <v/>
      </c>
      <c r="AF284" s="12" t="str">
        <f t="shared" si="43"/>
        <v/>
      </c>
      <c r="AG284" s="12">
        <f t="shared" si="44"/>
        <v>0</v>
      </c>
    </row>
    <row r="285" spans="1:33" ht="15" customHeight="1" x14ac:dyDescent="0.25">
      <c r="A285" s="12" t="str">
        <f>IF(Raw_Data!B288="","",Raw_Data!B288)</f>
        <v/>
      </c>
      <c r="B285" s="12">
        <f>IF(Raw_Data!X288&lt;&gt;"",Raw_Data!X288,Raw_Data!C288)</f>
        <v>0</v>
      </c>
      <c r="C285" s="12" t="str">
        <f>IF(Raw_Data!G288="","",Raw_Data!G288)</f>
        <v/>
      </c>
      <c r="D285" s="12" t="str">
        <f>IF(Raw_Data!H288="","",Raw_Data!H288)</f>
        <v/>
      </c>
      <c r="E285" s="12" t="str">
        <f>IF(Raw_Data!I288="","",Raw_Data!I288)</f>
        <v/>
      </c>
      <c r="F285" s="12" t="str">
        <f>IF(Raw_Data!J288="","",Raw_Data!J288)</f>
        <v/>
      </c>
      <c r="G285" s="12" t="str">
        <f>IF(Raw_Data!AH288&lt;&gt;"",Raw_Data!AH288,IF(Raw_Data!K288&lt;&gt;"",Raw_Data!K288,""))</f>
        <v/>
      </c>
      <c r="H285" s="12" t="str">
        <f>IF(Raw_Data!AI288&lt;&gt;"",Raw_Data!AI288,IF(Raw_Data!L288&lt;&gt;"",Raw_Data!L288,""))</f>
        <v/>
      </c>
      <c r="I285" s="12" t="str">
        <f t="shared" si="36"/>
        <v/>
      </c>
      <c r="J285" s="12" t="str">
        <f>IF(Raw_Data!M288="","",Raw_Data!M288)</f>
        <v/>
      </c>
      <c r="K285" s="12">
        <f>IF(Raw_Data!AJ288&lt;&gt;"",Raw_Data!AJ288,Raw_Data!N288)</f>
        <v>0</v>
      </c>
      <c r="L285" s="12">
        <f t="shared" si="37"/>
        <v>1</v>
      </c>
      <c r="M285" s="12" t="str">
        <f>IF(Raw_Data!AK288="","",Raw_Data!AK288)</f>
        <v/>
      </c>
      <c r="N285" s="12" t="str">
        <f>IF(Raw_Data!T288="","",Raw_Data!T288)</f>
        <v/>
      </c>
      <c r="O285" s="12" t="str">
        <f>IF(Raw_Data!AB288&lt;&gt;"",Raw_Data!AB288,IF(N285="tres_insatisfait",1,IF(N285="insatisfait",2,IF(N285="neutre",3,IF(N285="satisfait",4,IF(N285="tres_satisfait",5,""))))))</f>
        <v/>
      </c>
      <c r="P285" s="12">
        <f>IF(Raw_Data!AL288&lt;&gt;"",Raw_Data!AL288,Raw_Data!R288)</f>
        <v>0</v>
      </c>
      <c r="Q285" s="12">
        <f t="shared" si="38"/>
        <v>0</v>
      </c>
      <c r="R285" s="12" t="str">
        <f>IF(Raw_Data!AM288="","",Raw_Data!AM288)</f>
        <v/>
      </c>
      <c r="S285" s="12" t="str">
        <f t="shared" si="39"/>
        <v/>
      </c>
      <c r="T285" s="12" t="str">
        <f>IF(Raw_Data!AN288="","",Raw_Data!AN288)</f>
        <v/>
      </c>
      <c r="U285" s="12" t="str">
        <f t="shared" si="40"/>
        <v/>
      </c>
      <c r="V285" s="12" t="str">
        <f>IF(Raw_Data!AP288="","",IF(Raw_Data!AP288="oui",1,0))</f>
        <v/>
      </c>
      <c r="W285" s="12" t="str">
        <f>IF(Raw_Data!AQ288="","",IF(Raw_Data!AQ288="oui",1,0))</f>
        <v/>
      </c>
      <c r="X285" s="12" t="str">
        <f>IF(Raw_Data!AR288="","",IF(Raw_Data!AR288="oui",1,0))</f>
        <v/>
      </c>
      <c r="Y285" s="12" t="str">
        <f>IF(Raw_Data!AS288="","",IF(Raw_Data!AS288="oui",1,0))</f>
        <v/>
      </c>
      <c r="Z285" s="12" t="str">
        <f>IF(Raw_Data!V288="","",IF(Raw_Data!V288="oui",1,0))</f>
        <v/>
      </c>
      <c r="AA285" s="12" t="str">
        <f>IF(Raw_Data!W288="","",IF(Raw_Data!W288="oui",1,0))</f>
        <v/>
      </c>
      <c r="AB285" s="12" t="str">
        <f>IF(Raw_Data!Q288="","",IF(Raw_Data!Q288="oui",1,0))</f>
        <v/>
      </c>
      <c r="AC285" s="12">
        <f>Raw_Data!AF288</f>
        <v>0</v>
      </c>
      <c r="AD285" s="12" t="str">
        <f t="shared" si="41"/>
        <v/>
      </c>
      <c r="AE285" s="12" t="str">
        <f t="shared" si="42"/>
        <v/>
      </c>
      <c r="AF285" s="12" t="str">
        <f t="shared" si="43"/>
        <v/>
      </c>
      <c r="AG285" s="12">
        <f t="shared" si="44"/>
        <v>0</v>
      </c>
    </row>
    <row r="286" spans="1:33" ht="15" customHeight="1" x14ac:dyDescent="0.25">
      <c r="A286" s="12" t="str">
        <f>IF(Raw_Data!B289="","",Raw_Data!B289)</f>
        <v/>
      </c>
      <c r="B286" s="12">
        <f>IF(Raw_Data!X289&lt;&gt;"",Raw_Data!X289,Raw_Data!C289)</f>
        <v>0</v>
      </c>
      <c r="C286" s="12" t="str">
        <f>IF(Raw_Data!G289="","",Raw_Data!G289)</f>
        <v/>
      </c>
      <c r="D286" s="12" t="str">
        <f>IF(Raw_Data!H289="","",Raw_Data!H289)</f>
        <v/>
      </c>
      <c r="E286" s="12" t="str">
        <f>IF(Raw_Data!I289="","",Raw_Data!I289)</f>
        <v/>
      </c>
      <c r="F286" s="12" t="str">
        <f>IF(Raw_Data!J289="","",Raw_Data!J289)</f>
        <v/>
      </c>
      <c r="G286" s="12" t="str">
        <f>IF(Raw_Data!AH289&lt;&gt;"",Raw_Data!AH289,IF(Raw_Data!K289&lt;&gt;"",Raw_Data!K289,""))</f>
        <v/>
      </c>
      <c r="H286" s="12" t="str">
        <f>IF(Raw_Data!AI289&lt;&gt;"",Raw_Data!AI289,IF(Raw_Data!L289&lt;&gt;"",Raw_Data!L289,""))</f>
        <v/>
      </c>
      <c r="I286" s="12" t="str">
        <f t="shared" si="36"/>
        <v/>
      </c>
      <c r="J286" s="12" t="str">
        <f>IF(Raw_Data!M289="","",Raw_Data!M289)</f>
        <v/>
      </c>
      <c r="K286" s="12">
        <f>IF(Raw_Data!AJ289&lt;&gt;"",Raw_Data!AJ289,Raw_Data!N289)</f>
        <v>0</v>
      </c>
      <c r="L286" s="12">
        <f t="shared" si="37"/>
        <v>1</v>
      </c>
      <c r="M286" s="12" t="str">
        <f>IF(Raw_Data!AK289="","",Raw_Data!AK289)</f>
        <v/>
      </c>
      <c r="N286" s="12" t="str">
        <f>IF(Raw_Data!T289="","",Raw_Data!T289)</f>
        <v/>
      </c>
      <c r="O286" s="12" t="str">
        <f>IF(Raw_Data!AB289&lt;&gt;"",Raw_Data!AB289,IF(N286="tres_insatisfait",1,IF(N286="insatisfait",2,IF(N286="neutre",3,IF(N286="satisfait",4,IF(N286="tres_satisfait",5,""))))))</f>
        <v/>
      </c>
      <c r="P286" s="12">
        <f>IF(Raw_Data!AL289&lt;&gt;"",Raw_Data!AL289,Raw_Data!R289)</f>
        <v>0</v>
      </c>
      <c r="Q286" s="12">
        <f t="shared" si="38"/>
        <v>0</v>
      </c>
      <c r="R286" s="12" t="str">
        <f>IF(Raw_Data!AM289="","",Raw_Data!AM289)</f>
        <v/>
      </c>
      <c r="S286" s="12" t="str">
        <f t="shared" si="39"/>
        <v/>
      </c>
      <c r="T286" s="12" t="str">
        <f>IF(Raw_Data!AN289="","",Raw_Data!AN289)</f>
        <v/>
      </c>
      <c r="U286" s="12" t="str">
        <f t="shared" si="40"/>
        <v/>
      </c>
      <c r="V286" s="12" t="str">
        <f>IF(Raw_Data!AP289="","",IF(Raw_Data!AP289="oui",1,0))</f>
        <v/>
      </c>
      <c r="W286" s="12" t="str">
        <f>IF(Raw_Data!AQ289="","",IF(Raw_Data!AQ289="oui",1,0))</f>
        <v/>
      </c>
      <c r="X286" s="12" t="str">
        <f>IF(Raw_Data!AR289="","",IF(Raw_Data!AR289="oui",1,0))</f>
        <v/>
      </c>
      <c r="Y286" s="12" t="str">
        <f>IF(Raw_Data!AS289="","",IF(Raw_Data!AS289="oui",1,0))</f>
        <v/>
      </c>
      <c r="Z286" s="12" t="str">
        <f>IF(Raw_Data!V289="","",IF(Raw_Data!V289="oui",1,0))</f>
        <v/>
      </c>
      <c r="AA286" s="12" t="str">
        <f>IF(Raw_Data!W289="","",IF(Raw_Data!W289="oui",1,0))</f>
        <v/>
      </c>
      <c r="AB286" s="12" t="str">
        <f>IF(Raw_Data!Q289="","",IF(Raw_Data!Q289="oui",1,0))</f>
        <v/>
      </c>
      <c r="AC286" s="12">
        <f>Raw_Data!AF289</f>
        <v>0</v>
      </c>
      <c r="AD286" s="12" t="str">
        <f t="shared" si="41"/>
        <v/>
      </c>
      <c r="AE286" s="12" t="str">
        <f t="shared" si="42"/>
        <v/>
      </c>
      <c r="AF286" s="12" t="str">
        <f t="shared" si="43"/>
        <v/>
      </c>
      <c r="AG286" s="12">
        <f t="shared" si="44"/>
        <v>0</v>
      </c>
    </row>
    <row r="287" spans="1:33" ht="15" customHeight="1" x14ac:dyDescent="0.25">
      <c r="A287" s="12" t="str">
        <f>IF(Raw_Data!B290="","",Raw_Data!B290)</f>
        <v/>
      </c>
      <c r="B287" s="12">
        <f>IF(Raw_Data!X290&lt;&gt;"",Raw_Data!X290,Raw_Data!C290)</f>
        <v>0</v>
      </c>
      <c r="C287" s="12" t="str">
        <f>IF(Raw_Data!G290="","",Raw_Data!G290)</f>
        <v/>
      </c>
      <c r="D287" s="12" t="str">
        <f>IF(Raw_Data!H290="","",Raw_Data!H290)</f>
        <v/>
      </c>
      <c r="E287" s="12" t="str">
        <f>IF(Raw_Data!I290="","",Raw_Data!I290)</f>
        <v/>
      </c>
      <c r="F287" s="12" t="str">
        <f>IF(Raw_Data!J290="","",Raw_Data!J290)</f>
        <v/>
      </c>
      <c r="G287" s="12" t="str">
        <f>IF(Raw_Data!AH290&lt;&gt;"",Raw_Data!AH290,IF(Raw_Data!K290&lt;&gt;"",Raw_Data!K290,""))</f>
        <v/>
      </c>
      <c r="H287" s="12" t="str">
        <f>IF(Raw_Data!AI290&lt;&gt;"",Raw_Data!AI290,IF(Raw_Data!L290&lt;&gt;"",Raw_Data!L290,""))</f>
        <v/>
      </c>
      <c r="I287" s="12" t="str">
        <f t="shared" si="36"/>
        <v/>
      </c>
      <c r="J287" s="12" t="str">
        <f>IF(Raw_Data!M290="","",Raw_Data!M290)</f>
        <v/>
      </c>
      <c r="K287" s="12">
        <f>IF(Raw_Data!AJ290&lt;&gt;"",Raw_Data!AJ290,Raw_Data!N290)</f>
        <v>0</v>
      </c>
      <c r="L287" s="12">
        <f t="shared" si="37"/>
        <v>1</v>
      </c>
      <c r="M287" s="12" t="str">
        <f>IF(Raw_Data!AK290="","",Raw_Data!AK290)</f>
        <v/>
      </c>
      <c r="N287" s="12" t="str">
        <f>IF(Raw_Data!T290="","",Raw_Data!T290)</f>
        <v/>
      </c>
      <c r="O287" s="12" t="str">
        <f>IF(Raw_Data!AB290&lt;&gt;"",Raw_Data!AB290,IF(N287="tres_insatisfait",1,IF(N287="insatisfait",2,IF(N287="neutre",3,IF(N287="satisfait",4,IF(N287="tres_satisfait",5,""))))))</f>
        <v/>
      </c>
      <c r="P287" s="12">
        <f>IF(Raw_Data!AL290&lt;&gt;"",Raw_Data!AL290,Raw_Data!R290)</f>
        <v>0</v>
      </c>
      <c r="Q287" s="12">
        <f t="shared" si="38"/>
        <v>0</v>
      </c>
      <c r="R287" s="12" t="str">
        <f>IF(Raw_Data!AM290="","",Raw_Data!AM290)</f>
        <v/>
      </c>
      <c r="S287" s="12" t="str">
        <f t="shared" si="39"/>
        <v/>
      </c>
      <c r="T287" s="12" t="str">
        <f>IF(Raw_Data!AN290="","",Raw_Data!AN290)</f>
        <v/>
      </c>
      <c r="U287" s="12" t="str">
        <f t="shared" si="40"/>
        <v/>
      </c>
      <c r="V287" s="12" t="str">
        <f>IF(Raw_Data!AP290="","",IF(Raw_Data!AP290="oui",1,0))</f>
        <v/>
      </c>
      <c r="W287" s="12" t="str">
        <f>IF(Raw_Data!AQ290="","",IF(Raw_Data!AQ290="oui",1,0))</f>
        <v/>
      </c>
      <c r="X287" s="12" t="str">
        <f>IF(Raw_Data!AR290="","",IF(Raw_Data!AR290="oui",1,0))</f>
        <v/>
      </c>
      <c r="Y287" s="12" t="str">
        <f>IF(Raw_Data!AS290="","",IF(Raw_Data!AS290="oui",1,0))</f>
        <v/>
      </c>
      <c r="Z287" s="12" t="str">
        <f>IF(Raw_Data!V290="","",IF(Raw_Data!V290="oui",1,0))</f>
        <v/>
      </c>
      <c r="AA287" s="12" t="str">
        <f>IF(Raw_Data!W290="","",IF(Raw_Data!W290="oui",1,0))</f>
        <v/>
      </c>
      <c r="AB287" s="12" t="str">
        <f>IF(Raw_Data!Q290="","",IF(Raw_Data!Q290="oui",1,0))</f>
        <v/>
      </c>
      <c r="AC287" s="12">
        <f>Raw_Data!AF290</f>
        <v>0</v>
      </c>
      <c r="AD287" s="12" t="str">
        <f t="shared" si="41"/>
        <v/>
      </c>
      <c r="AE287" s="12" t="str">
        <f t="shared" si="42"/>
        <v/>
      </c>
      <c r="AF287" s="12" t="str">
        <f t="shared" si="43"/>
        <v/>
      </c>
      <c r="AG287" s="12">
        <f t="shared" si="44"/>
        <v>0</v>
      </c>
    </row>
    <row r="288" spans="1:33" ht="15" customHeight="1" x14ac:dyDescent="0.25">
      <c r="A288" s="12" t="str">
        <f>IF(Raw_Data!B291="","",Raw_Data!B291)</f>
        <v/>
      </c>
      <c r="B288" s="12">
        <f>IF(Raw_Data!X291&lt;&gt;"",Raw_Data!X291,Raw_Data!C291)</f>
        <v>0</v>
      </c>
      <c r="C288" s="12" t="str">
        <f>IF(Raw_Data!G291="","",Raw_Data!G291)</f>
        <v/>
      </c>
      <c r="D288" s="12" t="str">
        <f>IF(Raw_Data!H291="","",Raw_Data!H291)</f>
        <v/>
      </c>
      <c r="E288" s="12" t="str">
        <f>IF(Raw_Data!I291="","",Raw_Data!I291)</f>
        <v/>
      </c>
      <c r="F288" s="12" t="str">
        <f>IF(Raw_Data!J291="","",Raw_Data!J291)</f>
        <v/>
      </c>
      <c r="G288" s="12" t="str">
        <f>IF(Raw_Data!AH291&lt;&gt;"",Raw_Data!AH291,IF(Raw_Data!K291&lt;&gt;"",Raw_Data!K291,""))</f>
        <v/>
      </c>
      <c r="H288" s="12" t="str">
        <f>IF(Raw_Data!AI291&lt;&gt;"",Raw_Data!AI291,IF(Raw_Data!L291&lt;&gt;"",Raw_Data!L291,""))</f>
        <v/>
      </c>
      <c r="I288" s="12" t="str">
        <f t="shared" si="36"/>
        <v/>
      </c>
      <c r="J288" s="12" t="str">
        <f>IF(Raw_Data!M291="","",Raw_Data!M291)</f>
        <v/>
      </c>
      <c r="K288" s="12">
        <f>IF(Raw_Data!AJ291&lt;&gt;"",Raw_Data!AJ291,Raw_Data!N291)</f>
        <v>0</v>
      </c>
      <c r="L288" s="12">
        <f t="shared" si="37"/>
        <v>1</v>
      </c>
      <c r="M288" s="12" t="str">
        <f>IF(Raw_Data!AK291="","",Raw_Data!AK291)</f>
        <v/>
      </c>
      <c r="N288" s="12" t="str">
        <f>IF(Raw_Data!T291="","",Raw_Data!T291)</f>
        <v/>
      </c>
      <c r="O288" s="12" t="str">
        <f>IF(Raw_Data!AB291&lt;&gt;"",Raw_Data!AB291,IF(N288="tres_insatisfait",1,IF(N288="insatisfait",2,IF(N288="neutre",3,IF(N288="satisfait",4,IF(N288="tres_satisfait",5,""))))))</f>
        <v/>
      </c>
      <c r="P288" s="12">
        <f>IF(Raw_Data!AL291&lt;&gt;"",Raw_Data!AL291,Raw_Data!R291)</f>
        <v>0</v>
      </c>
      <c r="Q288" s="12">
        <f t="shared" si="38"/>
        <v>0</v>
      </c>
      <c r="R288" s="12" t="str">
        <f>IF(Raw_Data!AM291="","",Raw_Data!AM291)</f>
        <v/>
      </c>
      <c r="S288" s="12" t="str">
        <f t="shared" si="39"/>
        <v/>
      </c>
      <c r="T288" s="12" t="str">
        <f>IF(Raw_Data!AN291="","",Raw_Data!AN291)</f>
        <v/>
      </c>
      <c r="U288" s="12" t="str">
        <f t="shared" si="40"/>
        <v/>
      </c>
      <c r="V288" s="12" t="str">
        <f>IF(Raw_Data!AP291="","",IF(Raw_Data!AP291="oui",1,0))</f>
        <v/>
      </c>
      <c r="W288" s="12" t="str">
        <f>IF(Raw_Data!AQ291="","",IF(Raw_Data!AQ291="oui",1,0))</f>
        <v/>
      </c>
      <c r="X288" s="12" t="str">
        <f>IF(Raw_Data!AR291="","",IF(Raw_Data!AR291="oui",1,0))</f>
        <v/>
      </c>
      <c r="Y288" s="12" t="str">
        <f>IF(Raw_Data!AS291="","",IF(Raw_Data!AS291="oui",1,0))</f>
        <v/>
      </c>
      <c r="Z288" s="12" t="str">
        <f>IF(Raw_Data!V291="","",IF(Raw_Data!V291="oui",1,0))</f>
        <v/>
      </c>
      <c r="AA288" s="12" t="str">
        <f>IF(Raw_Data!W291="","",IF(Raw_Data!W291="oui",1,0))</f>
        <v/>
      </c>
      <c r="AB288" s="12" t="str">
        <f>IF(Raw_Data!Q291="","",IF(Raw_Data!Q291="oui",1,0))</f>
        <v/>
      </c>
      <c r="AC288" s="12">
        <f>Raw_Data!AF291</f>
        <v>0</v>
      </c>
      <c r="AD288" s="12" t="str">
        <f t="shared" si="41"/>
        <v/>
      </c>
      <c r="AE288" s="12" t="str">
        <f t="shared" si="42"/>
        <v/>
      </c>
      <c r="AF288" s="12" t="str">
        <f t="shared" si="43"/>
        <v/>
      </c>
      <c r="AG288" s="12">
        <f t="shared" si="44"/>
        <v>0</v>
      </c>
    </row>
    <row r="289" spans="1:33" ht="15" customHeight="1" x14ac:dyDescent="0.25">
      <c r="A289" s="12" t="str">
        <f>IF(Raw_Data!B292="","",Raw_Data!B292)</f>
        <v/>
      </c>
      <c r="B289" s="12">
        <f>IF(Raw_Data!X292&lt;&gt;"",Raw_Data!X292,Raw_Data!C292)</f>
        <v>0</v>
      </c>
      <c r="C289" s="12" t="str">
        <f>IF(Raw_Data!G292="","",Raw_Data!G292)</f>
        <v/>
      </c>
      <c r="D289" s="12" t="str">
        <f>IF(Raw_Data!H292="","",Raw_Data!H292)</f>
        <v/>
      </c>
      <c r="E289" s="12" t="str">
        <f>IF(Raw_Data!I292="","",Raw_Data!I292)</f>
        <v/>
      </c>
      <c r="F289" s="12" t="str">
        <f>IF(Raw_Data!J292="","",Raw_Data!J292)</f>
        <v/>
      </c>
      <c r="G289" s="12" t="str">
        <f>IF(Raw_Data!AH292&lt;&gt;"",Raw_Data!AH292,IF(Raw_Data!K292&lt;&gt;"",Raw_Data!K292,""))</f>
        <v/>
      </c>
      <c r="H289" s="12" t="str">
        <f>IF(Raw_Data!AI292&lt;&gt;"",Raw_Data!AI292,IF(Raw_Data!L292&lt;&gt;"",Raw_Data!L292,""))</f>
        <v/>
      </c>
      <c r="I289" s="12" t="str">
        <f t="shared" si="36"/>
        <v/>
      </c>
      <c r="J289" s="12" t="str">
        <f>IF(Raw_Data!M292="","",Raw_Data!M292)</f>
        <v/>
      </c>
      <c r="K289" s="12">
        <f>IF(Raw_Data!AJ292&lt;&gt;"",Raw_Data!AJ292,Raw_Data!N292)</f>
        <v>0</v>
      </c>
      <c r="L289" s="12">
        <f t="shared" si="37"/>
        <v>1</v>
      </c>
      <c r="M289" s="12" t="str">
        <f>IF(Raw_Data!AK292="","",Raw_Data!AK292)</f>
        <v/>
      </c>
      <c r="N289" s="12" t="str">
        <f>IF(Raw_Data!T292="","",Raw_Data!T292)</f>
        <v/>
      </c>
      <c r="O289" s="12" t="str">
        <f>IF(Raw_Data!AB292&lt;&gt;"",Raw_Data!AB292,IF(N289="tres_insatisfait",1,IF(N289="insatisfait",2,IF(N289="neutre",3,IF(N289="satisfait",4,IF(N289="tres_satisfait",5,""))))))</f>
        <v/>
      </c>
      <c r="P289" s="12">
        <f>IF(Raw_Data!AL292&lt;&gt;"",Raw_Data!AL292,Raw_Data!R292)</f>
        <v>0</v>
      </c>
      <c r="Q289" s="12">
        <f t="shared" si="38"/>
        <v>0</v>
      </c>
      <c r="R289" s="12" t="str">
        <f>IF(Raw_Data!AM292="","",Raw_Data!AM292)</f>
        <v/>
      </c>
      <c r="S289" s="12" t="str">
        <f t="shared" si="39"/>
        <v/>
      </c>
      <c r="T289" s="12" t="str">
        <f>IF(Raw_Data!AN292="","",Raw_Data!AN292)</f>
        <v/>
      </c>
      <c r="U289" s="12" t="str">
        <f t="shared" si="40"/>
        <v/>
      </c>
      <c r="V289" s="12" t="str">
        <f>IF(Raw_Data!AP292="","",IF(Raw_Data!AP292="oui",1,0))</f>
        <v/>
      </c>
      <c r="W289" s="12" t="str">
        <f>IF(Raw_Data!AQ292="","",IF(Raw_Data!AQ292="oui",1,0))</f>
        <v/>
      </c>
      <c r="X289" s="12" t="str">
        <f>IF(Raw_Data!AR292="","",IF(Raw_Data!AR292="oui",1,0))</f>
        <v/>
      </c>
      <c r="Y289" s="12" t="str">
        <f>IF(Raw_Data!AS292="","",IF(Raw_Data!AS292="oui",1,0))</f>
        <v/>
      </c>
      <c r="Z289" s="12" t="str">
        <f>IF(Raw_Data!V292="","",IF(Raw_Data!V292="oui",1,0))</f>
        <v/>
      </c>
      <c r="AA289" s="12" t="str">
        <f>IF(Raw_Data!W292="","",IF(Raw_Data!W292="oui",1,0))</f>
        <v/>
      </c>
      <c r="AB289" s="12" t="str">
        <f>IF(Raw_Data!Q292="","",IF(Raw_Data!Q292="oui",1,0))</f>
        <v/>
      </c>
      <c r="AC289" s="12">
        <f>Raw_Data!AF292</f>
        <v>0</v>
      </c>
      <c r="AD289" s="12" t="str">
        <f t="shared" si="41"/>
        <v/>
      </c>
      <c r="AE289" s="12" t="str">
        <f t="shared" si="42"/>
        <v/>
      </c>
      <c r="AF289" s="12" t="str">
        <f t="shared" si="43"/>
        <v/>
      </c>
      <c r="AG289" s="12">
        <f t="shared" si="44"/>
        <v>0</v>
      </c>
    </row>
    <row r="290" spans="1:33" ht="15" customHeight="1" x14ac:dyDescent="0.25">
      <c r="A290" s="12" t="str">
        <f>IF(Raw_Data!B293="","",Raw_Data!B293)</f>
        <v/>
      </c>
      <c r="B290" s="12">
        <f>IF(Raw_Data!X293&lt;&gt;"",Raw_Data!X293,Raw_Data!C293)</f>
        <v>0</v>
      </c>
      <c r="C290" s="12" t="str">
        <f>IF(Raw_Data!G293="","",Raw_Data!G293)</f>
        <v/>
      </c>
      <c r="D290" s="12" t="str">
        <f>IF(Raw_Data!H293="","",Raw_Data!H293)</f>
        <v/>
      </c>
      <c r="E290" s="12" t="str">
        <f>IF(Raw_Data!I293="","",Raw_Data!I293)</f>
        <v/>
      </c>
      <c r="F290" s="12" t="str">
        <f>IF(Raw_Data!J293="","",Raw_Data!J293)</f>
        <v/>
      </c>
      <c r="G290" s="12" t="str">
        <f>IF(Raw_Data!AH293&lt;&gt;"",Raw_Data!AH293,IF(Raw_Data!K293&lt;&gt;"",Raw_Data!K293,""))</f>
        <v/>
      </c>
      <c r="H290" s="12" t="str">
        <f>IF(Raw_Data!AI293&lt;&gt;"",Raw_Data!AI293,IF(Raw_Data!L293&lt;&gt;"",Raw_Data!L293,""))</f>
        <v/>
      </c>
      <c r="I290" s="12" t="str">
        <f t="shared" si="36"/>
        <v/>
      </c>
      <c r="J290" s="12" t="str">
        <f>IF(Raw_Data!M293="","",Raw_Data!M293)</f>
        <v/>
      </c>
      <c r="K290" s="12">
        <f>IF(Raw_Data!AJ293&lt;&gt;"",Raw_Data!AJ293,Raw_Data!N293)</f>
        <v>0</v>
      </c>
      <c r="L290" s="12">
        <f t="shared" si="37"/>
        <v>1</v>
      </c>
      <c r="M290" s="12" t="str">
        <f>IF(Raw_Data!AK293="","",Raw_Data!AK293)</f>
        <v/>
      </c>
      <c r="N290" s="12" t="str">
        <f>IF(Raw_Data!T293="","",Raw_Data!T293)</f>
        <v/>
      </c>
      <c r="O290" s="12" t="str">
        <f>IF(Raw_Data!AB293&lt;&gt;"",Raw_Data!AB293,IF(N290="tres_insatisfait",1,IF(N290="insatisfait",2,IF(N290="neutre",3,IF(N290="satisfait",4,IF(N290="tres_satisfait",5,""))))))</f>
        <v/>
      </c>
      <c r="P290" s="12">
        <f>IF(Raw_Data!AL293&lt;&gt;"",Raw_Data!AL293,Raw_Data!R293)</f>
        <v>0</v>
      </c>
      <c r="Q290" s="12">
        <f t="shared" si="38"/>
        <v>0</v>
      </c>
      <c r="R290" s="12" t="str">
        <f>IF(Raw_Data!AM293="","",Raw_Data!AM293)</f>
        <v/>
      </c>
      <c r="S290" s="12" t="str">
        <f t="shared" si="39"/>
        <v/>
      </c>
      <c r="T290" s="12" t="str">
        <f>IF(Raw_Data!AN293="","",Raw_Data!AN293)</f>
        <v/>
      </c>
      <c r="U290" s="12" t="str">
        <f t="shared" si="40"/>
        <v/>
      </c>
      <c r="V290" s="12" t="str">
        <f>IF(Raw_Data!AP293="","",IF(Raw_Data!AP293="oui",1,0))</f>
        <v/>
      </c>
      <c r="W290" s="12" t="str">
        <f>IF(Raw_Data!AQ293="","",IF(Raw_Data!AQ293="oui",1,0))</f>
        <v/>
      </c>
      <c r="X290" s="12" t="str">
        <f>IF(Raw_Data!AR293="","",IF(Raw_Data!AR293="oui",1,0))</f>
        <v/>
      </c>
      <c r="Y290" s="12" t="str">
        <f>IF(Raw_Data!AS293="","",IF(Raw_Data!AS293="oui",1,0))</f>
        <v/>
      </c>
      <c r="Z290" s="12" t="str">
        <f>IF(Raw_Data!V293="","",IF(Raw_Data!V293="oui",1,0))</f>
        <v/>
      </c>
      <c r="AA290" s="12" t="str">
        <f>IF(Raw_Data!W293="","",IF(Raw_Data!W293="oui",1,0))</f>
        <v/>
      </c>
      <c r="AB290" s="12" t="str">
        <f>IF(Raw_Data!Q293="","",IF(Raw_Data!Q293="oui",1,0))</f>
        <v/>
      </c>
      <c r="AC290" s="12">
        <f>Raw_Data!AF293</f>
        <v>0</v>
      </c>
      <c r="AD290" s="12" t="str">
        <f t="shared" si="41"/>
        <v/>
      </c>
      <c r="AE290" s="12" t="str">
        <f t="shared" si="42"/>
        <v/>
      </c>
      <c r="AF290" s="12" t="str">
        <f t="shared" si="43"/>
        <v/>
      </c>
      <c r="AG290" s="12">
        <f t="shared" si="44"/>
        <v>0</v>
      </c>
    </row>
    <row r="291" spans="1:33" ht="15" customHeight="1" x14ac:dyDescent="0.25">
      <c r="A291" s="12" t="str">
        <f>IF(Raw_Data!B294="","",Raw_Data!B294)</f>
        <v/>
      </c>
      <c r="B291" s="12">
        <f>IF(Raw_Data!X294&lt;&gt;"",Raw_Data!X294,Raw_Data!C294)</f>
        <v>0</v>
      </c>
      <c r="C291" s="12" t="str">
        <f>IF(Raw_Data!G294="","",Raw_Data!G294)</f>
        <v/>
      </c>
      <c r="D291" s="12" t="str">
        <f>IF(Raw_Data!H294="","",Raw_Data!H294)</f>
        <v/>
      </c>
      <c r="E291" s="12" t="str">
        <f>IF(Raw_Data!I294="","",Raw_Data!I294)</f>
        <v/>
      </c>
      <c r="F291" s="12" t="str">
        <f>IF(Raw_Data!J294="","",Raw_Data!J294)</f>
        <v/>
      </c>
      <c r="G291" s="12" t="str">
        <f>IF(Raw_Data!AH294&lt;&gt;"",Raw_Data!AH294,IF(Raw_Data!K294&lt;&gt;"",Raw_Data!K294,""))</f>
        <v/>
      </c>
      <c r="H291" s="12" t="str">
        <f>IF(Raw_Data!AI294&lt;&gt;"",Raw_Data!AI294,IF(Raw_Data!L294&lt;&gt;"",Raw_Data!L294,""))</f>
        <v/>
      </c>
      <c r="I291" s="12" t="str">
        <f t="shared" si="36"/>
        <v/>
      </c>
      <c r="J291" s="12" t="str">
        <f>IF(Raw_Data!M294="","",Raw_Data!M294)</f>
        <v/>
      </c>
      <c r="K291" s="12">
        <f>IF(Raw_Data!AJ294&lt;&gt;"",Raw_Data!AJ294,Raw_Data!N294)</f>
        <v>0</v>
      </c>
      <c r="L291" s="12">
        <f t="shared" si="37"/>
        <v>1</v>
      </c>
      <c r="M291" s="12" t="str">
        <f>IF(Raw_Data!AK294="","",Raw_Data!AK294)</f>
        <v/>
      </c>
      <c r="N291" s="12" t="str">
        <f>IF(Raw_Data!T294="","",Raw_Data!T294)</f>
        <v/>
      </c>
      <c r="O291" s="12" t="str">
        <f>IF(Raw_Data!AB294&lt;&gt;"",Raw_Data!AB294,IF(N291="tres_insatisfait",1,IF(N291="insatisfait",2,IF(N291="neutre",3,IF(N291="satisfait",4,IF(N291="tres_satisfait",5,""))))))</f>
        <v/>
      </c>
      <c r="P291" s="12">
        <f>IF(Raw_Data!AL294&lt;&gt;"",Raw_Data!AL294,Raw_Data!R294)</f>
        <v>0</v>
      </c>
      <c r="Q291" s="12">
        <f t="shared" si="38"/>
        <v>0</v>
      </c>
      <c r="R291" s="12" t="str">
        <f>IF(Raw_Data!AM294="","",Raw_Data!AM294)</f>
        <v/>
      </c>
      <c r="S291" s="12" t="str">
        <f t="shared" si="39"/>
        <v/>
      </c>
      <c r="T291" s="12" t="str">
        <f>IF(Raw_Data!AN294="","",Raw_Data!AN294)</f>
        <v/>
      </c>
      <c r="U291" s="12" t="str">
        <f t="shared" si="40"/>
        <v/>
      </c>
      <c r="V291" s="12" t="str">
        <f>IF(Raw_Data!AP294="","",IF(Raw_Data!AP294="oui",1,0))</f>
        <v/>
      </c>
      <c r="W291" s="12" t="str">
        <f>IF(Raw_Data!AQ294="","",IF(Raw_Data!AQ294="oui",1,0))</f>
        <v/>
      </c>
      <c r="X291" s="12" t="str">
        <f>IF(Raw_Data!AR294="","",IF(Raw_Data!AR294="oui",1,0))</f>
        <v/>
      </c>
      <c r="Y291" s="12" t="str">
        <f>IF(Raw_Data!AS294="","",IF(Raw_Data!AS294="oui",1,0))</f>
        <v/>
      </c>
      <c r="Z291" s="12" t="str">
        <f>IF(Raw_Data!V294="","",IF(Raw_Data!V294="oui",1,0))</f>
        <v/>
      </c>
      <c r="AA291" s="12" t="str">
        <f>IF(Raw_Data!W294="","",IF(Raw_Data!W294="oui",1,0))</f>
        <v/>
      </c>
      <c r="AB291" s="12" t="str">
        <f>IF(Raw_Data!Q294="","",IF(Raw_Data!Q294="oui",1,0))</f>
        <v/>
      </c>
      <c r="AC291" s="12">
        <f>Raw_Data!AF294</f>
        <v>0</v>
      </c>
      <c r="AD291" s="12" t="str">
        <f t="shared" si="41"/>
        <v/>
      </c>
      <c r="AE291" s="12" t="str">
        <f t="shared" si="42"/>
        <v/>
      </c>
      <c r="AF291" s="12" t="str">
        <f t="shared" si="43"/>
        <v/>
      </c>
      <c r="AG291" s="12">
        <f t="shared" si="44"/>
        <v>0</v>
      </c>
    </row>
    <row r="292" spans="1:33" ht="15" customHeight="1" x14ac:dyDescent="0.25">
      <c r="A292" s="12" t="str">
        <f>IF(Raw_Data!B295="","",Raw_Data!B295)</f>
        <v/>
      </c>
      <c r="B292" s="12">
        <f>IF(Raw_Data!X295&lt;&gt;"",Raw_Data!X295,Raw_Data!C295)</f>
        <v>0</v>
      </c>
      <c r="C292" s="12" t="str">
        <f>IF(Raw_Data!G295="","",Raw_Data!G295)</f>
        <v/>
      </c>
      <c r="D292" s="12" t="str">
        <f>IF(Raw_Data!H295="","",Raw_Data!H295)</f>
        <v/>
      </c>
      <c r="E292" s="12" t="str">
        <f>IF(Raw_Data!I295="","",Raw_Data!I295)</f>
        <v/>
      </c>
      <c r="F292" s="12" t="str">
        <f>IF(Raw_Data!J295="","",Raw_Data!J295)</f>
        <v/>
      </c>
      <c r="G292" s="12" t="str">
        <f>IF(Raw_Data!AH295&lt;&gt;"",Raw_Data!AH295,IF(Raw_Data!K295&lt;&gt;"",Raw_Data!K295,""))</f>
        <v/>
      </c>
      <c r="H292" s="12" t="str">
        <f>IF(Raw_Data!AI295&lt;&gt;"",Raw_Data!AI295,IF(Raw_Data!L295&lt;&gt;"",Raw_Data!L295,""))</f>
        <v/>
      </c>
      <c r="I292" s="12" t="str">
        <f t="shared" si="36"/>
        <v/>
      </c>
      <c r="J292" s="12" t="str">
        <f>IF(Raw_Data!M295="","",Raw_Data!M295)</f>
        <v/>
      </c>
      <c r="K292" s="12">
        <f>IF(Raw_Data!AJ295&lt;&gt;"",Raw_Data!AJ295,Raw_Data!N295)</f>
        <v>0</v>
      </c>
      <c r="L292" s="12">
        <f t="shared" si="37"/>
        <v>1</v>
      </c>
      <c r="M292" s="12" t="str">
        <f>IF(Raw_Data!AK295="","",Raw_Data!AK295)</f>
        <v/>
      </c>
      <c r="N292" s="12" t="str">
        <f>IF(Raw_Data!T295="","",Raw_Data!T295)</f>
        <v/>
      </c>
      <c r="O292" s="12" t="str">
        <f>IF(Raw_Data!AB295&lt;&gt;"",Raw_Data!AB295,IF(N292="tres_insatisfait",1,IF(N292="insatisfait",2,IF(N292="neutre",3,IF(N292="satisfait",4,IF(N292="tres_satisfait",5,""))))))</f>
        <v/>
      </c>
      <c r="P292" s="12">
        <f>IF(Raw_Data!AL295&lt;&gt;"",Raw_Data!AL295,Raw_Data!R295)</f>
        <v>0</v>
      </c>
      <c r="Q292" s="12">
        <f t="shared" si="38"/>
        <v>0</v>
      </c>
      <c r="R292" s="12" t="str">
        <f>IF(Raw_Data!AM295="","",Raw_Data!AM295)</f>
        <v/>
      </c>
      <c r="S292" s="12" t="str">
        <f t="shared" si="39"/>
        <v/>
      </c>
      <c r="T292" s="12" t="str">
        <f>IF(Raw_Data!AN295="","",Raw_Data!AN295)</f>
        <v/>
      </c>
      <c r="U292" s="12" t="str">
        <f t="shared" si="40"/>
        <v/>
      </c>
      <c r="V292" s="12" t="str">
        <f>IF(Raw_Data!AP295="","",IF(Raw_Data!AP295="oui",1,0))</f>
        <v/>
      </c>
      <c r="W292" s="12" t="str">
        <f>IF(Raw_Data!AQ295="","",IF(Raw_Data!AQ295="oui",1,0))</f>
        <v/>
      </c>
      <c r="X292" s="12" t="str">
        <f>IF(Raw_Data!AR295="","",IF(Raw_Data!AR295="oui",1,0))</f>
        <v/>
      </c>
      <c r="Y292" s="12" t="str">
        <f>IF(Raw_Data!AS295="","",IF(Raw_Data!AS295="oui",1,0))</f>
        <v/>
      </c>
      <c r="Z292" s="12" t="str">
        <f>IF(Raw_Data!V295="","",IF(Raw_Data!V295="oui",1,0))</f>
        <v/>
      </c>
      <c r="AA292" s="12" t="str">
        <f>IF(Raw_Data!W295="","",IF(Raw_Data!W295="oui",1,0))</f>
        <v/>
      </c>
      <c r="AB292" s="12" t="str">
        <f>IF(Raw_Data!Q295="","",IF(Raw_Data!Q295="oui",1,0))</f>
        <v/>
      </c>
      <c r="AC292" s="12">
        <f>Raw_Data!AF295</f>
        <v>0</v>
      </c>
      <c r="AD292" s="12" t="str">
        <f t="shared" si="41"/>
        <v/>
      </c>
      <c r="AE292" s="12" t="str">
        <f t="shared" si="42"/>
        <v/>
      </c>
      <c r="AF292" s="12" t="str">
        <f t="shared" si="43"/>
        <v/>
      </c>
      <c r="AG292" s="12">
        <f t="shared" si="44"/>
        <v>0</v>
      </c>
    </row>
    <row r="293" spans="1:33" ht="15" customHeight="1" x14ac:dyDescent="0.25">
      <c r="A293" s="12" t="str">
        <f>IF(Raw_Data!B296="","",Raw_Data!B296)</f>
        <v/>
      </c>
      <c r="B293" s="12">
        <f>IF(Raw_Data!X296&lt;&gt;"",Raw_Data!X296,Raw_Data!C296)</f>
        <v>0</v>
      </c>
      <c r="C293" s="12" t="str">
        <f>IF(Raw_Data!G296="","",Raw_Data!G296)</f>
        <v/>
      </c>
      <c r="D293" s="12" t="str">
        <f>IF(Raw_Data!H296="","",Raw_Data!H296)</f>
        <v/>
      </c>
      <c r="E293" s="12" t="str">
        <f>IF(Raw_Data!I296="","",Raw_Data!I296)</f>
        <v/>
      </c>
      <c r="F293" s="12" t="str">
        <f>IF(Raw_Data!J296="","",Raw_Data!J296)</f>
        <v/>
      </c>
      <c r="G293" s="12" t="str">
        <f>IF(Raw_Data!AH296&lt;&gt;"",Raw_Data!AH296,IF(Raw_Data!K296&lt;&gt;"",Raw_Data!K296,""))</f>
        <v/>
      </c>
      <c r="H293" s="12" t="str">
        <f>IF(Raw_Data!AI296&lt;&gt;"",Raw_Data!AI296,IF(Raw_Data!L296&lt;&gt;"",Raw_Data!L296,""))</f>
        <v/>
      </c>
      <c r="I293" s="12" t="str">
        <f t="shared" si="36"/>
        <v/>
      </c>
      <c r="J293" s="12" t="str">
        <f>IF(Raw_Data!M296="","",Raw_Data!M296)</f>
        <v/>
      </c>
      <c r="K293" s="12">
        <f>IF(Raw_Data!AJ296&lt;&gt;"",Raw_Data!AJ296,Raw_Data!N296)</f>
        <v>0</v>
      </c>
      <c r="L293" s="12">
        <f t="shared" si="37"/>
        <v>1</v>
      </c>
      <c r="M293" s="12" t="str">
        <f>IF(Raw_Data!AK296="","",Raw_Data!AK296)</f>
        <v/>
      </c>
      <c r="N293" s="12" t="str">
        <f>IF(Raw_Data!T296="","",Raw_Data!T296)</f>
        <v/>
      </c>
      <c r="O293" s="12" t="str">
        <f>IF(Raw_Data!AB296&lt;&gt;"",Raw_Data!AB296,IF(N293="tres_insatisfait",1,IF(N293="insatisfait",2,IF(N293="neutre",3,IF(N293="satisfait",4,IF(N293="tres_satisfait",5,""))))))</f>
        <v/>
      </c>
      <c r="P293" s="12">
        <f>IF(Raw_Data!AL296&lt;&gt;"",Raw_Data!AL296,Raw_Data!R296)</f>
        <v>0</v>
      </c>
      <c r="Q293" s="12">
        <f t="shared" si="38"/>
        <v>0</v>
      </c>
      <c r="R293" s="12" t="str">
        <f>IF(Raw_Data!AM296="","",Raw_Data!AM296)</f>
        <v/>
      </c>
      <c r="S293" s="12" t="str">
        <f t="shared" si="39"/>
        <v/>
      </c>
      <c r="T293" s="12" t="str">
        <f>IF(Raw_Data!AN296="","",Raw_Data!AN296)</f>
        <v/>
      </c>
      <c r="U293" s="12" t="str">
        <f t="shared" si="40"/>
        <v/>
      </c>
      <c r="V293" s="12" t="str">
        <f>IF(Raw_Data!AP296="","",IF(Raw_Data!AP296="oui",1,0))</f>
        <v/>
      </c>
      <c r="W293" s="12" t="str">
        <f>IF(Raw_Data!AQ296="","",IF(Raw_Data!AQ296="oui",1,0))</f>
        <v/>
      </c>
      <c r="X293" s="12" t="str">
        <f>IF(Raw_Data!AR296="","",IF(Raw_Data!AR296="oui",1,0))</f>
        <v/>
      </c>
      <c r="Y293" s="12" t="str">
        <f>IF(Raw_Data!AS296="","",IF(Raw_Data!AS296="oui",1,0))</f>
        <v/>
      </c>
      <c r="Z293" s="12" t="str">
        <f>IF(Raw_Data!V296="","",IF(Raw_Data!V296="oui",1,0))</f>
        <v/>
      </c>
      <c r="AA293" s="12" t="str">
        <f>IF(Raw_Data!W296="","",IF(Raw_Data!W296="oui",1,0))</f>
        <v/>
      </c>
      <c r="AB293" s="12" t="str">
        <f>IF(Raw_Data!Q296="","",IF(Raw_Data!Q296="oui",1,0))</f>
        <v/>
      </c>
      <c r="AC293" s="12">
        <f>Raw_Data!AF296</f>
        <v>0</v>
      </c>
      <c r="AD293" s="12" t="str">
        <f t="shared" si="41"/>
        <v/>
      </c>
      <c r="AE293" s="12" t="str">
        <f t="shared" si="42"/>
        <v/>
      </c>
      <c r="AF293" s="12" t="str">
        <f t="shared" si="43"/>
        <v/>
      </c>
      <c r="AG293" s="12">
        <f t="shared" si="44"/>
        <v>0</v>
      </c>
    </row>
    <row r="294" spans="1:33" ht="15" customHeight="1" x14ac:dyDescent="0.25">
      <c r="A294" s="12" t="str">
        <f>IF(Raw_Data!B297="","",Raw_Data!B297)</f>
        <v/>
      </c>
      <c r="B294" s="12">
        <f>IF(Raw_Data!X297&lt;&gt;"",Raw_Data!X297,Raw_Data!C297)</f>
        <v>0</v>
      </c>
      <c r="C294" s="12" t="str">
        <f>IF(Raw_Data!G297="","",Raw_Data!G297)</f>
        <v/>
      </c>
      <c r="D294" s="12" t="str">
        <f>IF(Raw_Data!H297="","",Raw_Data!H297)</f>
        <v/>
      </c>
      <c r="E294" s="12" t="str">
        <f>IF(Raw_Data!I297="","",Raw_Data!I297)</f>
        <v/>
      </c>
      <c r="F294" s="12" t="str">
        <f>IF(Raw_Data!J297="","",Raw_Data!J297)</f>
        <v/>
      </c>
      <c r="G294" s="12" t="str">
        <f>IF(Raw_Data!AH297&lt;&gt;"",Raw_Data!AH297,IF(Raw_Data!K297&lt;&gt;"",Raw_Data!K297,""))</f>
        <v/>
      </c>
      <c r="H294" s="12" t="str">
        <f>IF(Raw_Data!AI297&lt;&gt;"",Raw_Data!AI297,IF(Raw_Data!L297&lt;&gt;"",Raw_Data!L297,""))</f>
        <v/>
      </c>
      <c r="I294" s="12" t="str">
        <f t="shared" si="36"/>
        <v/>
      </c>
      <c r="J294" s="12" t="str">
        <f>IF(Raw_Data!M297="","",Raw_Data!M297)</f>
        <v/>
      </c>
      <c r="K294" s="12">
        <f>IF(Raw_Data!AJ297&lt;&gt;"",Raw_Data!AJ297,Raw_Data!N297)</f>
        <v>0</v>
      </c>
      <c r="L294" s="12">
        <f t="shared" si="37"/>
        <v>1</v>
      </c>
      <c r="M294" s="12" t="str">
        <f>IF(Raw_Data!AK297="","",Raw_Data!AK297)</f>
        <v/>
      </c>
      <c r="N294" s="12" t="str">
        <f>IF(Raw_Data!T297="","",Raw_Data!T297)</f>
        <v/>
      </c>
      <c r="O294" s="12" t="str">
        <f>IF(Raw_Data!AB297&lt;&gt;"",Raw_Data!AB297,IF(N294="tres_insatisfait",1,IF(N294="insatisfait",2,IF(N294="neutre",3,IF(N294="satisfait",4,IF(N294="tres_satisfait",5,""))))))</f>
        <v/>
      </c>
      <c r="P294" s="12">
        <f>IF(Raw_Data!AL297&lt;&gt;"",Raw_Data!AL297,Raw_Data!R297)</f>
        <v>0</v>
      </c>
      <c r="Q294" s="12">
        <f t="shared" si="38"/>
        <v>0</v>
      </c>
      <c r="R294" s="12" t="str">
        <f>IF(Raw_Data!AM297="","",Raw_Data!AM297)</f>
        <v/>
      </c>
      <c r="S294" s="12" t="str">
        <f t="shared" si="39"/>
        <v/>
      </c>
      <c r="T294" s="12" t="str">
        <f>IF(Raw_Data!AN297="","",Raw_Data!AN297)</f>
        <v/>
      </c>
      <c r="U294" s="12" t="str">
        <f t="shared" si="40"/>
        <v/>
      </c>
      <c r="V294" s="12" t="str">
        <f>IF(Raw_Data!AP297="","",IF(Raw_Data!AP297="oui",1,0))</f>
        <v/>
      </c>
      <c r="W294" s="12" t="str">
        <f>IF(Raw_Data!AQ297="","",IF(Raw_Data!AQ297="oui",1,0))</f>
        <v/>
      </c>
      <c r="X294" s="12" t="str">
        <f>IF(Raw_Data!AR297="","",IF(Raw_Data!AR297="oui",1,0))</f>
        <v/>
      </c>
      <c r="Y294" s="12" t="str">
        <f>IF(Raw_Data!AS297="","",IF(Raw_Data!AS297="oui",1,0))</f>
        <v/>
      </c>
      <c r="Z294" s="12" t="str">
        <f>IF(Raw_Data!V297="","",IF(Raw_Data!V297="oui",1,0))</f>
        <v/>
      </c>
      <c r="AA294" s="12" t="str">
        <f>IF(Raw_Data!W297="","",IF(Raw_Data!W297="oui",1,0))</f>
        <v/>
      </c>
      <c r="AB294" s="12" t="str">
        <f>IF(Raw_Data!Q297="","",IF(Raw_Data!Q297="oui",1,0))</f>
        <v/>
      </c>
      <c r="AC294" s="12">
        <f>Raw_Data!AF297</f>
        <v>0</v>
      </c>
      <c r="AD294" s="12" t="str">
        <f t="shared" si="41"/>
        <v/>
      </c>
      <c r="AE294" s="12" t="str">
        <f t="shared" si="42"/>
        <v/>
      </c>
      <c r="AF294" s="12" t="str">
        <f t="shared" si="43"/>
        <v/>
      </c>
      <c r="AG294" s="12">
        <f t="shared" si="44"/>
        <v>0</v>
      </c>
    </row>
    <row r="295" spans="1:33" ht="15" customHeight="1" x14ac:dyDescent="0.25">
      <c r="A295" s="12" t="str">
        <f>IF(Raw_Data!B298="","",Raw_Data!B298)</f>
        <v/>
      </c>
      <c r="B295" s="12">
        <f>IF(Raw_Data!X298&lt;&gt;"",Raw_Data!X298,Raw_Data!C298)</f>
        <v>0</v>
      </c>
      <c r="C295" s="12" t="str">
        <f>IF(Raw_Data!G298="","",Raw_Data!G298)</f>
        <v/>
      </c>
      <c r="D295" s="12" t="str">
        <f>IF(Raw_Data!H298="","",Raw_Data!H298)</f>
        <v/>
      </c>
      <c r="E295" s="12" t="str">
        <f>IF(Raw_Data!I298="","",Raw_Data!I298)</f>
        <v/>
      </c>
      <c r="F295" s="12" t="str">
        <f>IF(Raw_Data!J298="","",Raw_Data!J298)</f>
        <v/>
      </c>
      <c r="G295" s="12" t="str">
        <f>IF(Raw_Data!AH298&lt;&gt;"",Raw_Data!AH298,IF(Raw_Data!K298&lt;&gt;"",Raw_Data!K298,""))</f>
        <v/>
      </c>
      <c r="H295" s="12" t="str">
        <f>IF(Raw_Data!AI298&lt;&gt;"",Raw_Data!AI298,IF(Raw_Data!L298&lt;&gt;"",Raw_Data!L298,""))</f>
        <v/>
      </c>
      <c r="I295" s="12" t="str">
        <f t="shared" si="36"/>
        <v/>
      </c>
      <c r="J295" s="12" t="str">
        <f>IF(Raw_Data!M298="","",Raw_Data!M298)</f>
        <v/>
      </c>
      <c r="K295" s="12">
        <f>IF(Raw_Data!AJ298&lt;&gt;"",Raw_Data!AJ298,Raw_Data!N298)</f>
        <v>0</v>
      </c>
      <c r="L295" s="12">
        <f t="shared" si="37"/>
        <v>1</v>
      </c>
      <c r="M295" s="12" t="str">
        <f>IF(Raw_Data!AK298="","",Raw_Data!AK298)</f>
        <v/>
      </c>
      <c r="N295" s="12" t="str">
        <f>IF(Raw_Data!T298="","",Raw_Data!T298)</f>
        <v/>
      </c>
      <c r="O295" s="12" t="str">
        <f>IF(Raw_Data!AB298&lt;&gt;"",Raw_Data!AB298,IF(N295="tres_insatisfait",1,IF(N295="insatisfait",2,IF(N295="neutre",3,IF(N295="satisfait",4,IF(N295="tres_satisfait",5,""))))))</f>
        <v/>
      </c>
      <c r="P295" s="12">
        <f>IF(Raw_Data!AL298&lt;&gt;"",Raw_Data!AL298,Raw_Data!R298)</f>
        <v>0</v>
      </c>
      <c r="Q295" s="12">
        <f t="shared" si="38"/>
        <v>0</v>
      </c>
      <c r="R295" s="12" t="str">
        <f>IF(Raw_Data!AM298="","",Raw_Data!AM298)</f>
        <v/>
      </c>
      <c r="S295" s="12" t="str">
        <f t="shared" si="39"/>
        <v/>
      </c>
      <c r="T295" s="12" t="str">
        <f>IF(Raw_Data!AN298="","",Raw_Data!AN298)</f>
        <v/>
      </c>
      <c r="U295" s="12" t="str">
        <f t="shared" si="40"/>
        <v/>
      </c>
      <c r="V295" s="12" t="str">
        <f>IF(Raw_Data!AP298="","",IF(Raw_Data!AP298="oui",1,0))</f>
        <v/>
      </c>
      <c r="W295" s="12" t="str">
        <f>IF(Raw_Data!AQ298="","",IF(Raw_Data!AQ298="oui",1,0))</f>
        <v/>
      </c>
      <c r="X295" s="12" t="str">
        <f>IF(Raw_Data!AR298="","",IF(Raw_Data!AR298="oui",1,0))</f>
        <v/>
      </c>
      <c r="Y295" s="12" t="str">
        <f>IF(Raw_Data!AS298="","",IF(Raw_Data!AS298="oui",1,0))</f>
        <v/>
      </c>
      <c r="Z295" s="12" t="str">
        <f>IF(Raw_Data!V298="","",IF(Raw_Data!V298="oui",1,0))</f>
        <v/>
      </c>
      <c r="AA295" s="12" t="str">
        <f>IF(Raw_Data!W298="","",IF(Raw_Data!W298="oui",1,0))</f>
        <v/>
      </c>
      <c r="AB295" s="12" t="str">
        <f>IF(Raw_Data!Q298="","",IF(Raw_Data!Q298="oui",1,0))</f>
        <v/>
      </c>
      <c r="AC295" s="12">
        <f>Raw_Data!AF298</f>
        <v>0</v>
      </c>
      <c r="AD295" s="12" t="str">
        <f t="shared" si="41"/>
        <v/>
      </c>
      <c r="AE295" s="12" t="str">
        <f t="shared" si="42"/>
        <v/>
      </c>
      <c r="AF295" s="12" t="str">
        <f t="shared" si="43"/>
        <v/>
      </c>
      <c r="AG295" s="12">
        <f t="shared" si="44"/>
        <v>0</v>
      </c>
    </row>
    <row r="296" spans="1:33" ht="15" customHeight="1" x14ac:dyDescent="0.25">
      <c r="A296" s="12" t="str">
        <f>IF(Raw_Data!B299="","",Raw_Data!B299)</f>
        <v/>
      </c>
      <c r="B296" s="12">
        <f>IF(Raw_Data!X299&lt;&gt;"",Raw_Data!X299,Raw_Data!C299)</f>
        <v>0</v>
      </c>
      <c r="C296" s="12" t="str">
        <f>IF(Raw_Data!G299="","",Raw_Data!G299)</f>
        <v/>
      </c>
      <c r="D296" s="12" t="str">
        <f>IF(Raw_Data!H299="","",Raw_Data!H299)</f>
        <v/>
      </c>
      <c r="E296" s="12" t="str">
        <f>IF(Raw_Data!I299="","",Raw_Data!I299)</f>
        <v/>
      </c>
      <c r="F296" s="12" t="str">
        <f>IF(Raw_Data!J299="","",Raw_Data!J299)</f>
        <v/>
      </c>
      <c r="G296" s="12" t="str">
        <f>IF(Raw_Data!AH299&lt;&gt;"",Raw_Data!AH299,IF(Raw_Data!K299&lt;&gt;"",Raw_Data!K299,""))</f>
        <v/>
      </c>
      <c r="H296" s="12" t="str">
        <f>IF(Raw_Data!AI299&lt;&gt;"",Raw_Data!AI299,IF(Raw_Data!L299&lt;&gt;"",Raw_Data!L299,""))</f>
        <v/>
      </c>
      <c r="I296" s="12" t="str">
        <f t="shared" si="36"/>
        <v/>
      </c>
      <c r="J296" s="12" t="str">
        <f>IF(Raw_Data!M299="","",Raw_Data!M299)</f>
        <v/>
      </c>
      <c r="K296" s="12">
        <f>IF(Raw_Data!AJ299&lt;&gt;"",Raw_Data!AJ299,Raw_Data!N299)</f>
        <v>0</v>
      </c>
      <c r="L296" s="12">
        <f t="shared" si="37"/>
        <v>1</v>
      </c>
      <c r="M296" s="12" t="str">
        <f>IF(Raw_Data!AK299="","",Raw_Data!AK299)</f>
        <v/>
      </c>
      <c r="N296" s="12" t="str">
        <f>IF(Raw_Data!T299="","",Raw_Data!T299)</f>
        <v/>
      </c>
      <c r="O296" s="12" t="str">
        <f>IF(Raw_Data!AB299&lt;&gt;"",Raw_Data!AB299,IF(N296="tres_insatisfait",1,IF(N296="insatisfait",2,IF(N296="neutre",3,IF(N296="satisfait",4,IF(N296="tres_satisfait",5,""))))))</f>
        <v/>
      </c>
      <c r="P296" s="12">
        <f>IF(Raw_Data!AL299&lt;&gt;"",Raw_Data!AL299,Raw_Data!R299)</f>
        <v>0</v>
      </c>
      <c r="Q296" s="12">
        <f t="shared" si="38"/>
        <v>0</v>
      </c>
      <c r="R296" s="12" t="str">
        <f>IF(Raw_Data!AM299="","",Raw_Data!AM299)</f>
        <v/>
      </c>
      <c r="S296" s="12" t="str">
        <f t="shared" si="39"/>
        <v/>
      </c>
      <c r="T296" s="12" t="str">
        <f>IF(Raw_Data!AN299="","",Raw_Data!AN299)</f>
        <v/>
      </c>
      <c r="U296" s="12" t="str">
        <f t="shared" si="40"/>
        <v/>
      </c>
      <c r="V296" s="12" t="str">
        <f>IF(Raw_Data!AP299="","",IF(Raw_Data!AP299="oui",1,0))</f>
        <v/>
      </c>
      <c r="W296" s="12" t="str">
        <f>IF(Raw_Data!AQ299="","",IF(Raw_Data!AQ299="oui",1,0))</f>
        <v/>
      </c>
      <c r="X296" s="12" t="str">
        <f>IF(Raw_Data!AR299="","",IF(Raw_Data!AR299="oui",1,0))</f>
        <v/>
      </c>
      <c r="Y296" s="12" t="str">
        <f>IF(Raw_Data!AS299="","",IF(Raw_Data!AS299="oui",1,0))</f>
        <v/>
      </c>
      <c r="Z296" s="12" t="str">
        <f>IF(Raw_Data!V299="","",IF(Raw_Data!V299="oui",1,0))</f>
        <v/>
      </c>
      <c r="AA296" s="12" t="str">
        <f>IF(Raw_Data!W299="","",IF(Raw_Data!W299="oui",1,0))</f>
        <v/>
      </c>
      <c r="AB296" s="12" t="str">
        <f>IF(Raw_Data!Q299="","",IF(Raw_Data!Q299="oui",1,0))</f>
        <v/>
      </c>
      <c r="AC296" s="12">
        <f>Raw_Data!AF299</f>
        <v>0</v>
      </c>
      <c r="AD296" s="12" t="str">
        <f t="shared" si="41"/>
        <v/>
      </c>
      <c r="AE296" s="12" t="str">
        <f t="shared" si="42"/>
        <v/>
      </c>
      <c r="AF296" s="12" t="str">
        <f t="shared" si="43"/>
        <v/>
      </c>
      <c r="AG296" s="12">
        <f t="shared" si="44"/>
        <v>0</v>
      </c>
    </row>
    <row r="297" spans="1:33" ht="15" customHeight="1" x14ac:dyDescent="0.25">
      <c r="A297" s="12" t="str">
        <f>IF(Raw_Data!B300="","",Raw_Data!B300)</f>
        <v/>
      </c>
      <c r="B297" s="12">
        <f>IF(Raw_Data!X300&lt;&gt;"",Raw_Data!X300,Raw_Data!C300)</f>
        <v>0</v>
      </c>
      <c r="C297" s="12" t="str">
        <f>IF(Raw_Data!G300="","",Raw_Data!G300)</f>
        <v/>
      </c>
      <c r="D297" s="12" t="str">
        <f>IF(Raw_Data!H300="","",Raw_Data!H300)</f>
        <v/>
      </c>
      <c r="E297" s="12" t="str">
        <f>IF(Raw_Data!I300="","",Raw_Data!I300)</f>
        <v/>
      </c>
      <c r="F297" s="12" t="str">
        <f>IF(Raw_Data!J300="","",Raw_Data!J300)</f>
        <v/>
      </c>
      <c r="G297" s="12" t="str">
        <f>IF(Raw_Data!AH300&lt;&gt;"",Raw_Data!AH300,IF(Raw_Data!K300&lt;&gt;"",Raw_Data!K300,""))</f>
        <v/>
      </c>
      <c r="H297" s="12" t="str">
        <f>IF(Raw_Data!AI300&lt;&gt;"",Raw_Data!AI300,IF(Raw_Data!L300&lt;&gt;"",Raw_Data!L300,""))</f>
        <v/>
      </c>
      <c r="I297" s="12" t="str">
        <f t="shared" si="36"/>
        <v/>
      </c>
      <c r="J297" s="12" t="str">
        <f>IF(Raw_Data!M300="","",Raw_Data!M300)</f>
        <v/>
      </c>
      <c r="K297" s="12">
        <f>IF(Raw_Data!AJ300&lt;&gt;"",Raw_Data!AJ300,Raw_Data!N300)</f>
        <v>0</v>
      </c>
      <c r="L297" s="12">
        <f t="shared" si="37"/>
        <v>1</v>
      </c>
      <c r="M297" s="12" t="str">
        <f>IF(Raw_Data!AK300="","",Raw_Data!AK300)</f>
        <v/>
      </c>
      <c r="N297" s="12" t="str">
        <f>IF(Raw_Data!T300="","",Raw_Data!T300)</f>
        <v/>
      </c>
      <c r="O297" s="12" t="str">
        <f>IF(Raw_Data!AB300&lt;&gt;"",Raw_Data!AB300,IF(N297="tres_insatisfait",1,IF(N297="insatisfait",2,IF(N297="neutre",3,IF(N297="satisfait",4,IF(N297="tres_satisfait",5,""))))))</f>
        <v/>
      </c>
      <c r="P297" s="12">
        <f>IF(Raw_Data!AL300&lt;&gt;"",Raw_Data!AL300,Raw_Data!R300)</f>
        <v>0</v>
      </c>
      <c r="Q297" s="12">
        <f t="shared" si="38"/>
        <v>0</v>
      </c>
      <c r="R297" s="12" t="str">
        <f>IF(Raw_Data!AM300="","",Raw_Data!AM300)</f>
        <v/>
      </c>
      <c r="S297" s="12" t="str">
        <f t="shared" si="39"/>
        <v/>
      </c>
      <c r="T297" s="12" t="str">
        <f>IF(Raw_Data!AN300="","",Raw_Data!AN300)</f>
        <v/>
      </c>
      <c r="U297" s="12" t="str">
        <f t="shared" si="40"/>
        <v/>
      </c>
      <c r="V297" s="12" t="str">
        <f>IF(Raw_Data!AP300="","",IF(Raw_Data!AP300="oui",1,0))</f>
        <v/>
      </c>
      <c r="W297" s="12" t="str">
        <f>IF(Raw_Data!AQ300="","",IF(Raw_Data!AQ300="oui",1,0))</f>
        <v/>
      </c>
      <c r="X297" s="12" t="str">
        <f>IF(Raw_Data!AR300="","",IF(Raw_Data!AR300="oui",1,0))</f>
        <v/>
      </c>
      <c r="Y297" s="12" t="str">
        <f>IF(Raw_Data!AS300="","",IF(Raw_Data!AS300="oui",1,0))</f>
        <v/>
      </c>
      <c r="Z297" s="12" t="str">
        <f>IF(Raw_Data!V300="","",IF(Raw_Data!V300="oui",1,0))</f>
        <v/>
      </c>
      <c r="AA297" s="12" t="str">
        <f>IF(Raw_Data!W300="","",IF(Raw_Data!W300="oui",1,0))</f>
        <v/>
      </c>
      <c r="AB297" s="12" t="str">
        <f>IF(Raw_Data!Q300="","",IF(Raw_Data!Q300="oui",1,0))</f>
        <v/>
      </c>
      <c r="AC297" s="12">
        <f>Raw_Data!AF300</f>
        <v>0</v>
      </c>
      <c r="AD297" s="12" t="str">
        <f t="shared" si="41"/>
        <v/>
      </c>
      <c r="AE297" s="12" t="str">
        <f t="shared" si="42"/>
        <v/>
      </c>
      <c r="AF297" s="12" t="str">
        <f t="shared" si="43"/>
        <v/>
      </c>
      <c r="AG297" s="12">
        <f t="shared" si="44"/>
        <v>0</v>
      </c>
    </row>
    <row r="298" spans="1:33" ht="15" customHeight="1" x14ac:dyDescent="0.25">
      <c r="A298" s="12" t="str">
        <f>IF(Raw_Data!B301="","",Raw_Data!B301)</f>
        <v/>
      </c>
      <c r="B298" s="12">
        <f>IF(Raw_Data!X301&lt;&gt;"",Raw_Data!X301,Raw_Data!C301)</f>
        <v>0</v>
      </c>
      <c r="C298" s="12" t="str">
        <f>IF(Raw_Data!G301="","",Raw_Data!G301)</f>
        <v/>
      </c>
      <c r="D298" s="12" t="str">
        <f>IF(Raw_Data!H301="","",Raw_Data!H301)</f>
        <v/>
      </c>
      <c r="E298" s="12" t="str">
        <f>IF(Raw_Data!I301="","",Raw_Data!I301)</f>
        <v/>
      </c>
      <c r="F298" s="12" t="str">
        <f>IF(Raw_Data!J301="","",Raw_Data!J301)</f>
        <v/>
      </c>
      <c r="G298" s="12" t="str">
        <f>IF(Raw_Data!AH301&lt;&gt;"",Raw_Data!AH301,IF(Raw_Data!K301&lt;&gt;"",Raw_Data!K301,""))</f>
        <v/>
      </c>
      <c r="H298" s="12" t="str">
        <f>IF(Raw_Data!AI301&lt;&gt;"",Raw_Data!AI301,IF(Raw_Data!L301&lt;&gt;"",Raw_Data!L301,""))</f>
        <v/>
      </c>
      <c r="I298" s="12" t="str">
        <f t="shared" si="36"/>
        <v/>
      </c>
      <c r="J298" s="12" t="str">
        <f>IF(Raw_Data!M301="","",Raw_Data!M301)</f>
        <v/>
      </c>
      <c r="K298" s="12">
        <f>IF(Raw_Data!AJ301&lt;&gt;"",Raw_Data!AJ301,Raw_Data!N301)</f>
        <v>0</v>
      </c>
      <c r="L298" s="12">
        <f t="shared" si="37"/>
        <v>1</v>
      </c>
      <c r="M298" s="12" t="str">
        <f>IF(Raw_Data!AK301="","",Raw_Data!AK301)</f>
        <v/>
      </c>
      <c r="N298" s="12" t="str">
        <f>IF(Raw_Data!T301="","",Raw_Data!T301)</f>
        <v/>
      </c>
      <c r="O298" s="12" t="str">
        <f>IF(Raw_Data!AB301&lt;&gt;"",Raw_Data!AB301,IF(N298="tres_insatisfait",1,IF(N298="insatisfait",2,IF(N298="neutre",3,IF(N298="satisfait",4,IF(N298="tres_satisfait",5,""))))))</f>
        <v/>
      </c>
      <c r="P298" s="12">
        <f>IF(Raw_Data!AL301&lt;&gt;"",Raw_Data!AL301,Raw_Data!R301)</f>
        <v>0</v>
      </c>
      <c r="Q298" s="12">
        <f t="shared" si="38"/>
        <v>0</v>
      </c>
      <c r="R298" s="12" t="str">
        <f>IF(Raw_Data!AM301="","",Raw_Data!AM301)</f>
        <v/>
      </c>
      <c r="S298" s="12" t="str">
        <f t="shared" si="39"/>
        <v/>
      </c>
      <c r="T298" s="12" t="str">
        <f>IF(Raw_Data!AN301="","",Raw_Data!AN301)</f>
        <v/>
      </c>
      <c r="U298" s="12" t="str">
        <f t="shared" si="40"/>
        <v/>
      </c>
      <c r="V298" s="12" t="str">
        <f>IF(Raw_Data!AP301="","",IF(Raw_Data!AP301="oui",1,0))</f>
        <v/>
      </c>
      <c r="W298" s="12" t="str">
        <f>IF(Raw_Data!AQ301="","",IF(Raw_Data!AQ301="oui",1,0))</f>
        <v/>
      </c>
      <c r="X298" s="12" t="str">
        <f>IF(Raw_Data!AR301="","",IF(Raw_Data!AR301="oui",1,0))</f>
        <v/>
      </c>
      <c r="Y298" s="12" t="str">
        <f>IF(Raw_Data!AS301="","",IF(Raw_Data!AS301="oui",1,0))</f>
        <v/>
      </c>
      <c r="Z298" s="12" t="str">
        <f>IF(Raw_Data!V301="","",IF(Raw_Data!V301="oui",1,0))</f>
        <v/>
      </c>
      <c r="AA298" s="12" t="str">
        <f>IF(Raw_Data!W301="","",IF(Raw_Data!W301="oui",1,0))</f>
        <v/>
      </c>
      <c r="AB298" s="12" t="str">
        <f>IF(Raw_Data!Q301="","",IF(Raw_Data!Q301="oui",1,0))</f>
        <v/>
      </c>
      <c r="AC298" s="12">
        <f>Raw_Data!AF301</f>
        <v>0</v>
      </c>
      <c r="AD298" s="12" t="str">
        <f t="shared" si="41"/>
        <v/>
      </c>
      <c r="AE298" s="12" t="str">
        <f t="shared" si="42"/>
        <v/>
      </c>
      <c r="AF298" s="12" t="str">
        <f t="shared" si="43"/>
        <v/>
      </c>
      <c r="AG298" s="12">
        <f t="shared" si="44"/>
        <v>0</v>
      </c>
    </row>
    <row r="299" spans="1:33" ht="15" customHeight="1" x14ac:dyDescent="0.25">
      <c r="A299" s="12" t="str">
        <f>IF(Raw_Data!B302="","",Raw_Data!B302)</f>
        <v/>
      </c>
      <c r="B299" s="12">
        <f>IF(Raw_Data!X302&lt;&gt;"",Raw_Data!X302,Raw_Data!C302)</f>
        <v>0</v>
      </c>
      <c r="C299" s="12" t="str">
        <f>IF(Raw_Data!G302="","",Raw_Data!G302)</f>
        <v/>
      </c>
      <c r="D299" s="12" t="str">
        <f>IF(Raw_Data!H302="","",Raw_Data!H302)</f>
        <v/>
      </c>
      <c r="E299" s="12" t="str">
        <f>IF(Raw_Data!I302="","",Raw_Data!I302)</f>
        <v/>
      </c>
      <c r="F299" s="12" t="str">
        <f>IF(Raw_Data!J302="","",Raw_Data!J302)</f>
        <v/>
      </c>
      <c r="G299" s="12" t="str">
        <f>IF(Raw_Data!AH302&lt;&gt;"",Raw_Data!AH302,IF(Raw_Data!K302&lt;&gt;"",Raw_Data!K302,""))</f>
        <v/>
      </c>
      <c r="H299" s="12" t="str">
        <f>IF(Raw_Data!AI302&lt;&gt;"",Raw_Data!AI302,IF(Raw_Data!L302&lt;&gt;"",Raw_Data!L302,""))</f>
        <v/>
      </c>
      <c r="I299" s="12" t="str">
        <f t="shared" si="36"/>
        <v/>
      </c>
      <c r="J299" s="12" t="str">
        <f>IF(Raw_Data!M302="","",Raw_Data!M302)</f>
        <v/>
      </c>
      <c r="K299" s="12">
        <f>IF(Raw_Data!AJ302&lt;&gt;"",Raw_Data!AJ302,Raw_Data!N302)</f>
        <v>0</v>
      </c>
      <c r="L299" s="12">
        <f t="shared" si="37"/>
        <v>1</v>
      </c>
      <c r="M299" s="12" t="str">
        <f>IF(Raw_Data!AK302="","",Raw_Data!AK302)</f>
        <v/>
      </c>
      <c r="N299" s="12" t="str">
        <f>IF(Raw_Data!T302="","",Raw_Data!T302)</f>
        <v/>
      </c>
      <c r="O299" s="12" t="str">
        <f>IF(Raw_Data!AB302&lt;&gt;"",Raw_Data!AB302,IF(N299="tres_insatisfait",1,IF(N299="insatisfait",2,IF(N299="neutre",3,IF(N299="satisfait",4,IF(N299="tres_satisfait",5,""))))))</f>
        <v/>
      </c>
      <c r="P299" s="12">
        <f>IF(Raw_Data!AL302&lt;&gt;"",Raw_Data!AL302,Raw_Data!R302)</f>
        <v>0</v>
      </c>
      <c r="Q299" s="12">
        <f t="shared" si="38"/>
        <v>0</v>
      </c>
      <c r="R299" s="12" t="str">
        <f>IF(Raw_Data!AM302="","",Raw_Data!AM302)</f>
        <v/>
      </c>
      <c r="S299" s="12" t="str">
        <f t="shared" si="39"/>
        <v/>
      </c>
      <c r="T299" s="12" t="str">
        <f>IF(Raw_Data!AN302="","",Raw_Data!AN302)</f>
        <v/>
      </c>
      <c r="U299" s="12" t="str">
        <f t="shared" si="40"/>
        <v/>
      </c>
      <c r="V299" s="12" t="str">
        <f>IF(Raw_Data!AP302="","",IF(Raw_Data!AP302="oui",1,0))</f>
        <v/>
      </c>
      <c r="W299" s="12" t="str">
        <f>IF(Raw_Data!AQ302="","",IF(Raw_Data!AQ302="oui",1,0))</f>
        <v/>
      </c>
      <c r="X299" s="12" t="str">
        <f>IF(Raw_Data!AR302="","",IF(Raw_Data!AR302="oui",1,0))</f>
        <v/>
      </c>
      <c r="Y299" s="12" t="str">
        <f>IF(Raw_Data!AS302="","",IF(Raw_Data!AS302="oui",1,0))</f>
        <v/>
      </c>
      <c r="Z299" s="12" t="str">
        <f>IF(Raw_Data!V302="","",IF(Raw_Data!V302="oui",1,0))</f>
        <v/>
      </c>
      <c r="AA299" s="12" t="str">
        <f>IF(Raw_Data!W302="","",IF(Raw_Data!W302="oui",1,0))</f>
        <v/>
      </c>
      <c r="AB299" s="12" t="str">
        <f>IF(Raw_Data!Q302="","",IF(Raw_Data!Q302="oui",1,0))</f>
        <v/>
      </c>
      <c r="AC299" s="12">
        <f>Raw_Data!AF302</f>
        <v>0</v>
      </c>
      <c r="AD299" s="12" t="str">
        <f t="shared" si="41"/>
        <v/>
      </c>
      <c r="AE299" s="12" t="str">
        <f t="shared" si="42"/>
        <v/>
      </c>
      <c r="AF299" s="12" t="str">
        <f t="shared" si="43"/>
        <v/>
      </c>
      <c r="AG299" s="12">
        <f t="shared" si="44"/>
        <v>0</v>
      </c>
    </row>
    <row r="300" spans="1:33" ht="15" customHeight="1" x14ac:dyDescent="0.25">
      <c r="A300" s="12" t="str">
        <f>IF(Raw_Data!B303="","",Raw_Data!B303)</f>
        <v/>
      </c>
      <c r="B300" s="12">
        <f>IF(Raw_Data!X303&lt;&gt;"",Raw_Data!X303,Raw_Data!C303)</f>
        <v>0</v>
      </c>
      <c r="C300" s="12" t="str">
        <f>IF(Raw_Data!G303="","",Raw_Data!G303)</f>
        <v/>
      </c>
      <c r="D300" s="12" t="str">
        <f>IF(Raw_Data!H303="","",Raw_Data!H303)</f>
        <v/>
      </c>
      <c r="E300" s="12" t="str">
        <f>IF(Raw_Data!I303="","",Raw_Data!I303)</f>
        <v/>
      </c>
      <c r="F300" s="12" t="str">
        <f>IF(Raw_Data!J303="","",Raw_Data!J303)</f>
        <v/>
      </c>
      <c r="G300" s="12" t="str">
        <f>IF(Raw_Data!AH303&lt;&gt;"",Raw_Data!AH303,IF(Raw_Data!K303&lt;&gt;"",Raw_Data!K303,""))</f>
        <v/>
      </c>
      <c r="H300" s="12" t="str">
        <f>IF(Raw_Data!AI303&lt;&gt;"",Raw_Data!AI303,IF(Raw_Data!L303&lt;&gt;"",Raw_Data!L303,""))</f>
        <v/>
      </c>
      <c r="I300" s="12" t="str">
        <f t="shared" si="36"/>
        <v/>
      </c>
      <c r="J300" s="12" t="str">
        <f>IF(Raw_Data!M303="","",Raw_Data!M303)</f>
        <v/>
      </c>
      <c r="K300" s="12">
        <f>IF(Raw_Data!AJ303&lt;&gt;"",Raw_Data!AJ303,Raw_Data!N303)</f>
        <v>0</v>
      </c>
      <c r="L300" s="12">
        <f t="shared" si="37"/>
        <v>1</v>
      </c>
      <c r="M300" s="12" t="str">
        <f>IF(Raw_Data!AK303="","",Raw_Data!AK303)</f>
        <v/>
      </c>
      <c r="N300" s="12" t="str">
        <f>IF(Raw_Data!T303="","",Raw_Data!T303)</f>
        <v/>
      </c>
      <c r="O300" s="12" t="str">
        <f>IF(Raw_Data!AB303&lt;&gt;"",Raw_Data!AB303,IF(N300="tres_insatisfait",1,IF(N300="insatisfait",2,IF(N300="neutre",3,IF(N300="satisfait",4,IF(N300="tres_satisfait",5,""))))))</f>
        <v/>
      </c>
      <c r="P300" s="12">
        <f>IF(Raw_Data!AL303&lt;&gt;"",Raw_Data!AL303,Raw_Data!R303)</f>
        <v>0</v>
      </c>
      <c r="Q300" s="12">
        <f t="shared" si="38"/>
        <v>0</v>
      </c>
      <c r="R300" s="12" t="str">
        <f>IF(Raw_Data!AM303="","",Raw_Data!AM303)</f>
        <v/>
      </c>
      <c r="S300" s="12" t="str">
        <f t="shared" si="39"/>
        <v/>
      </c>
      <c r="T300" s="12" t="str">
        <f>IF(Raw_Data!AN303="","",Raw_Data!AN303)</f>
        <v/>
      </c>
      <c r="U300" s="12" t="str">
        <f t="shared" si="40"/>
        <v/>
      </c>
      <c r="V300" s="12" t="str">
        <f>IF(Raw_Data!AP303="","",IF(Raw_Data!AP303="oui",1,0))</f>
        <v/>
      </c>
      <c r="W300" s="12" t="str">
        <f>IF(Raw_Data!AQ303="","",IF(Raw_Data!AQ303="oui",1,0))</f>
        <v/>
      </c>
      <c r="X300" s="12" t="str">
        <f>IF(Raw_Data!AR303="","",IF(Raw_Data!AR303="oui",1,0))</f>
        <v/>
      </c>
      <c r="Y300" s="12" t="str">
        <f>IF(Raw_Data!AS303="","",IF(Raw_Data!AS303="oui",1,0))</f>
        <v/>
      </c>
      <c r="Z300" s="12" t="str">
        <f>IF(Raw_Data!V303="","",IF(Raw_Data!V303="oui",1,0))</f>
        <v/>
      </c>
      <c r="AA300" s="12" t="str">
        <f>IF(Raw_Data!W303="","",IF(Raw_Data!W303="oui",1,0))</f>
        <v/>
      </c>
      <c r="AB300" s="12" t="str">
        <f>IF(Raw_Data!Q303="","",IF(Raw_Data!Q303="oui",1,0))</f>
        <v/>
      </c>
      <c r="AC300" s="12">
        <f>Raw_Data!AF303</f>
        <v>0</v>
      </c>
      <c r="AD300" s="12" t="str">
        <f t="shared" si="41"/>
        <v/>
      </c>
      <c r="AE300" s="12" t="str">
        <f t="shared" si="42"/>
        <v/>
      </c>
      <c r="AF300" s="12" t="str">
        <f t="shared" si="43"/>
        <v/>
      </c>
      <c r="AG300" s="12">
        <f t="shared" si="44"/>
        <v>0</v>
      </c>
    </row>
    <row r="301" spans="1:33" ht="15" customHeight="1" x14ac:dyDescent="0.25">
      <c r="A301" s="12" t="str">
        <f>IF(Raw_Data!B304="","",Raw_Data!B304)</f>
        <v/>
      </c>
      <c r="B301" s="12">
        <f>IF(Raw_Data!X304&lt;&gt;"",Raw_Data!X304,Raw_Data!C304)</f>
        <v>0</v>
      </c>
      <c r="C301" s="12" t="str">
        <f>IF(Raw_Data!G304="","",Raw_Data!G304)</f>
        <v/>
      </c>
      <c r="D301" s="12" t="str">
        <f>IF(Raw_Data!H304="","",Raw_Data!H304)</f>
        <v/>
      </c>
      <c r="E301" s="12" t="str">
        <f>IF(Raw_Data!I304="","",Raw_Data!I304)</f>
        <v/>
      </c>
      <c r="F301" s="12" t="str">
        <f>IF(Raw_Data!J304="","",Raw_Data!J304)</f>
        <v/>
      </c>
      <c r="G301" s="12" t="str">
        <f>IF(Raw_Data!AH304&lt;&gt;"",Raw_Data!AH304,IF(Raw_Data!K304&lt;&gt;"",Raw_Data!K304,""))</f>
        <v/>
      </c>
      <c r="H301" s="12" t="str">
        <f>IF(Raw_Data!AI304&lt;&gt;"",Raw_Data!AI304,IF(Raw_Data!L304&lt;&gt;"",Raw_Data!L304,""))</f>
        <v/>
      </c>
      <c r="I301" s="12" t="str">
        <f t="shared" si="36"/>
        <v/>
      </c>
      <c r="J301" s="12" t="str">
        <f>IF(Raw_Data!M304="","",Raw_Data!M304)</f>
        <v/>
      </c>
      <c r="K301" s="12">
        <f>IF(Raw_Data!AJ304&lt;&gt;"",Raw_Data!AJ304,Raw_Data!N304)</f>
        <v>0</v>
      </c>
      <c r="L301" s="12">
        <f t="shared" si="37"/>
        <v>1</v>
      </c>
      <c r="M301" s="12" t="str">
        <f>IF(Raw_Data!AK304="","",Raw_Data!AK304)</f>
        <v/>
      </c>
      <c r="N301" s="12" t="str">
        <f>IF(Raw_Data!T304="","",Raw_Data!T304)</f>
        <v/>
      </c>
      <c r="O301" s="12" t="str">
        <f>IF(Raw_Data!AB304&lt;&gt;"",Raw_Data!AB304,IF(N301="tres_insatisfait",1,IF(N301="insatisfait",2,IF(N301="neutre",3,IF(N301="satisfait",4,IF(N301="tres_satisfait",5,""))))))</f>
        <v/>
      </c>
      <c r="P301" s="12">
        <f>IF(Raw_Data!AL304&lt;&gt;"",Raw_Data!AL304,Raw_Data!R304)</f>
        <v>0</v>
      </c>
      <c r="Q301" s="12">
        <f t="shared" si="38"/>
        <v>0</v>
      </c>
      <c r="R301" s="12" t="str">
        <f>IF(Raw_Data!AM304="","",Raw_Data!AM304)</f>
        <v/>
      </c>
      <c r="S301" s="12" t="str">
        <f t="shared" si="39"/>
        <v/>
      </c>
      <c r="T301" s="12" t="str">
        <f>IF(Raw_Data!AN304="","",Raw_Data!AN304)</f>
        <v/>
      </c>
      <c r="U301" s="12" t="str">
        <f t="shared" si="40"/>
        <v/>
      </c>
      <c r="V301" s="12" t="str">
        <f>IF(Raw_Data!AP304="","",IF(Raw_Data!AP304="oui",1,0))</f>
        <v/>
      </c>
      <c r="W301" s="12" t="str">
        <f>IF(Raw_Data!AQ304="","",IF(Raw_Data!AQ304="oui",1,0))</f>
        <v/>
      </c>
      <c r="X301" s="12" t="str">
        <f>IF(Raw_Data!AR304="","",IF(Raw_Data!AR304="oui",1,0))</f>
        <v/>
      </c>
      <c r="Y301" s="12" t="str">
        <f>IF(Raw_Data!AS304="","",IF(Raw_Data!AS304="oui",1,0))</f>
        <v/>
      </c>
      <c r="Z301" s="12" t="str">
        <f>IF(Raw_Data!V304="","",IF(Raw_Data!V304="oui",1,0))</f>
        <v/>
      </c>
      <c r="AA301" s="12" t="str">
        <f>IF(Raw_Data!W304="","",IF(Raw_Data!W304="oui",1,0))</f>
        <v/>
      </c>
      <c r="AB301" s="12" t="str">
        <f>IF(Raw_Data!Q304="","",IF(Raw_Data!Q304="oui",1,0))</f>
        <v/>
      </c>
      <c r="AC301" s="12">
        <f>Raw_Data!AF304</f>
        <v>0</v>
      </c>
      <c r="AD301" s="12" t="str">
        <f t="shared" si="41"/>
        <v/>
      </c>
      <c r="AE301" s="12" t="str">
        <f t="shared" si="42"/>
        <v/>
      </c>
      <c r="AF301" s="12" t="str">
        <f t="shared" si="43"/>
        <v/>
      </c>
      <c r="AG301" s="12">
        <f t="shared" si="44"/>
        <v>0</v>
      </c>
    </row>
    <row r="302" spans="1:33" ht="15" customHeight="1" x14ac:dyDescent="0.25">
      <c r="A302" s="12" t="str">
        <f>IF(Raw_Data!B305="","",Raw_Data!B305)</f>
        <v/>
      </c>
      <c r="B302" s="12">
        <f>IF(Raw_Data!X305&lt;&gt;"",Raw_Data!X305,Raw_Data!C305)</f>
        <v>0</v>
      </c>
      <c r="C302" s="12" t="str">
        <f>IF(Raw_Data!G305="","",Raw_Data!G305)</f>
        <v/>
      </c>
      <c r="D302" s="12" t="str">
        <f>IF(Raw_Data!H305="","",Raw_Data!H305)</f>
        <v/>
      </c>
      <c r="E302" s="12" t="str">
        <f>IF(Raw_Data!I305="","",Raw_Data!I305)</f>
        <v/>
      </c>
      <c r="F302" s="12" t="str">
        <f>IF(Raw_Data!J305="","",Raw_Data!J305)</f>
        <v/>
      </c>
      <c r="G302" s="12" t="str">
        <f>IF(Raw_Data!AH305&lt;&gt;"",Raw_Data!AH305,IF(Raw_Data!K305&lt;&gt;"",Raw_Data!K305,""))</f>
        <v/>
      </c>
      <c r="H302" s="12" t="str">
        <f>IF(Raw_Data!AI305&lt;&gt;"",Raw_Data!AI305,IF(Raw_Data!L305&lt;&gt;"",Raw_Data!L305,""))</f>
        <v/>
      </c>
      <c r="I302" s="12" t="str">
        <f t="shared" si="36"/>
        <v/>
      </c>
      <c r="J302" s="12" t="str">
        <f>IF(Raw_Data!M305="","",Raw_Data!M305)</f>
        <v/>
      </c>
      <c r="K302" s="12">
        <f>IF(Raw_Data!AJ305&lt;&gt;"",Raw_Data!AJ305,Raw_Data!N305)</f>
        <v>0</v>
      </c>
      <c r="L302" s="12">
        <f t="shared" si="37"/>
        <v>1</v>
      </c>
      <c r="M302" s="12" t="str">
        <f>IF(Raw_Data!AK305="","",Raw_Data!AK305)</f>
        <v/>
      </c>
      <c r="N302" s="12" t="str">
        <f>IF(Raw_Data!T305="","",Raw_Data!T305)</f>
        <v/>
      </c>
      <c r="O302" s="12" t="str">
        <f>IF(Raw_Data!AB305&lt;&gt;"",Raw_Data!AB305,IF(N302="tres_insatisfait",1,IF(N302="insatisfait",2,IF(N302="neutre",3,IF(N302="satisfait",4,IF(N302="tres_satisfait",5,""))))))</f>
        <v/>
      </c>
      <c r="P302" s="12">
        <f>IF(Raw_Data!AL305&lt;&gt;"",Raw_Data!AL305,Raw_Data!R305)</f>
        <v>0</v>
      </c>
      <c r="Q302" s="12">
        <f t="shared" si="38"/>
        <v>0</v>
      </c>
      <c r="R302" s="12" t="str">
        <f>IF(Raw_Data!AM305="","",Raw_Data!AM305)</f>
        <v/>
      </c>
      <c r="S302" s="12" t="str">
        <f t="shared" si="39"/>
        <v/>
      </c>
      <c r="T302" s="12" t="str">
        <f>IF(Raw_Data!AN305="","",Raw_Data!AN305)</f>
        <v/>
      </c>
      <c r="U302" s="12" t="str">
        <f t="shared" si="40"/>
        <v/>
      </c>
      <c r="V302" s="12" t="str">
        <f>IF(Raw_Data!AP305="","",IF(Raw_Data!AP305="oui",1,0))</f>
        <v/>
      </c>
      <c r="W302" s="12" t="str">
        <f>IF(Raw_Data!AQ305="","",IF(Raw_Data!AQ305="oui",1,0))</f>
        <v/>
      </c>
      <c r="X302" s="12" t="str">
        <f>IF(Raw_Data!AR305="","",IF(Raw_Data!AR305="oui",1,0))</f>
        <v/>
      </c>
      <c r="Y302" s="12" t="str">
        <f>IF(Raw_Data!AS305="","",IF(Raw_Data!AS305="oui",1,0))</f>
        <v/>
      </c>
      <c r="Z302" s="12" t="str">
        <f>IF(Raw_Data!V305="","",IF(Raw_Data!V305="oui",1,0))</f>
        <v/>
      </c>
      <c r="AA302" s="12" t="str">
        <f>IF(Raw_Data!W305="","",IF(Raw_Data!W305="oui",1,0))</f>
        <v/>
      </c>
      <c r="AB302" s="12" t="str">
        <f>IF(Raw_Data!Q305="","",IF(Raw_Data!Q305="oui",1,0))</f>
        <v/>
      </c>
      <c r="AC302" s="12">
        <f>Raw_Data!AF305</f>
        <v>0</v>
      </c>
      <c r="AD302" s="12" t="str">
        <f t="shared" si="41"/>
        <v/>
      </c>
      <c r="AE302" s="12" t="str">
        <f t="shared" si="42"/>
        <v/>
      </c>
      <c r="AF302" s="12" t="str">
        <f t="shared" si="43"/>
        <v/>
      </c>
      <c r="AG302" s="12">
        <f t="shared" si="44"/>
        <v>0</v>
      </c>
    </row>
    <row r="303" spans="1:33" ht="15" customHeight="1" x14ac:dyDescent="0.25">
      <c r="A303" s="12" t="str">
        <f>IF(Raw_Data!B306="","",Raw_Data!B306)</f>
        <v/>
      </c>
      <c r="B303" s="12">
        <f>IF(Raw_Data!X306&lt;&gt;"",Raw_Data!X306,Raw_Data!C306)</f>
        <v>0</v>
      </c>
      <c r="C303" s="12" t="str">
        <f>IF(Raw_Data!G306="","",Raw_Data!G306)</f>
        <v/>
      </c>
      <c r="D303" s="12" t="str">
        <f>IF(Raw_Data!H306="","",Raw_Data!H306)</f>
        <v/>
      </c>
      <c r="E303" s="12" t="str">
        <f>IF(Raw_Data!I306="","",Raw_Data!I306)</f>
        <v/>
      </c>
      <c r="F303" s="12" t="str">
        <f>IF(Raw_Data!J306="","",Raw_Data!J306)</f>
        <v/>
      </c>
      <c r="G303" s="12" t="str">
        <f>IF(Raw_Data!AH306&lt;&gt;"",Raw_Data!AH306,IF(Raw_Data!K306&lt;&gt;"",Raw_Data!K306,""))</f>
        <v/>
      </c>
      <c r="H303" s="12" t="str">
        <f>IF(Raw_Data!AI306&lt;&gt;"",Raw_Data!AI306,IF(Raw_Data!L306&lt;&gt;"",Raw_Data!L306,""))</f>
        <v/>
      </c>
      <c r="I303" s="12" t="str">
        <f t="shared" si="36"/>
        <v/>
      </c>
      <c r="J303" s="12" t="str">
        <f>IF(Raw_Data!M306="","",Raw_Data!M306)</f>
        <v/>
      </c>
      <c r="K303" s="12">
        <f>IF(Raw_Data!AJ306&lt;&gt;"",Raw_Data!AJ306,Raw_Data!N306)</f>
        <v>0</v>
      </c>
      <c r="L303" s="12">
        <f t="shared" si="37"/>
        <v>1</v>
      </c>
      <c r="M303" s="12" t="str">
        <f>IF(Raw_Data!AK306="","",Raw_Data!AK306)</f>
        <v/>
      </c>
      <c r="N303" s="12" t="str">
        <f>IF(Raw_Data!T306="","",Raw_Data!T306)</f>
        <v/>
      </c>
      <c r="O303" s="12" t="str">
        <f>IF(Raw_Data!AB306&lt;&gt;"",Raw_Data!AB306,IF(N303="tres_insatisfait",1,IF(N303="insatisfait",2,IF(N303="neutre",3,IF(N303="satisfait",4,IF(N303="tres_satisfait",5,""))))))</f>
        <v/>
      </c>
      <c r="P303" s="12">
        <f>IF(Raw_Data!AL306&lt;&gt;"",Raw_Data!AL306,Raw_Data!R306)</f>
        <v>0</v>
      </c>
      <c r="Q303" s="12">
        <f t="shared" si="38"/>
        <v>0</v>
      </c>
      <c r="R303" s="12" t="str">
        <f>IF(Raw_Data!AM306="","",Raw_Data!AM306)</f>
        <v/>
      </c>
      <c r="S303" s="12" t="str">
        <f t="shared" si="39"/>
        <v/>
      </c>
      <c r="T303" s="12" t="str">
        <f>IF(Raw_Data!AN306="","",Raw_Data!AN306)</f>
        <v/>
      </c>
      <c r="U303" s="12" t="str">
        <f t="shared" si="40"/>
        <v/>
      </c>
      <c r="V303" s="12" t="str">
        <f>IF(Raw_Data!AP306="","",IF(Raw_Data!AP306="oui",1,0))</f>
        <v/>
      </c>
      <c r="W303" s="12" t="str">
        <f>IF(Raw_Data!AQ306="","",IF(Raw_Data!AQ306="oui",1,0))</f>
        <v/>
      </c>
      <c r="X303" s="12" t="str">
        <f>IF(Raw_Data!AR306="","",IF(Raw_Data!AR306="oui",1,0))</f>
        <v/>
      </c>
      <c r="Y303" s="12" t="str">
        <f>IF(Raw_Data!AS306="","",IF(Raw_Data!AS306="oui",1,0))</f>
        <v/>
      </c>
      <c r="Z303" s="12" t="str">
        <f>IF(Raw_Data!V306="","",IF(Raw_Data!V306="oui",1,0))</f>
        <v/>
      </c>
      <c r="AA303" s="12" t="str">
        <f>IF(Raw_Data!W306="","",IF(Raw_Data!W306="oui",1,0))</f>
        <v/>
      </c>
      <c r="AB303" s="12" t="str">
        <f>IF(Raw_Data!Q306="","",IF(Raw_Data!Q306="oui",1,0))</f>
        <v/>
      </c>
      <c r="AC303" s="12">
        <f>Raw_Data!AF306</f>
        <v>0</v>
      </c>
      <c r="AD303" s="12" t="str">
        <f t="shared" si="41"/>
        <v/>
      </c>
      <c r="AE303" s="12" t="str">
        <f t="shared" si="42"/>
        <v/>
      </c>
      <c r="AF303" s="12" t="str">
        <f t="shared" si="43"/>
        <v/>
      </c>
      <c r="AG303" s="12">
        <f t="shared" si="44"/>
        <v>0</v>
      </c>
    </row>
    <row r="304" spans="1:33" ht="15" customHeight="1" x14ac:dyDescent="0.25">
      <c r="A304" s="12" t="str">
        <f>IF(Raw_Data!B307="","",Raw_Data!B307)</f>
        <v/>
      </c>
      <c r="B304" s="12">
        <f>IF(Raw_Data!X307&lt;&gt;"",Raw_Data!X307,Raw_Data!C307)</f>
        <v>0</v>
      </c>
      <c r="C304" s="12" t="str">
        <f>IF(Raw_Data!G307="","",Raw_Data!G307)</f>
        <v/>
      </c>
      <c r="D304" s="12" t="str">
        <f>IF(Raw_Data!H307="","",Raw_Data!H307)</f>
        <v/>
      </c>
      <c r="E304" s="12" t="str">
        <f>IF(Raw_Data!I307="","",Raw_Data!I307)</f>
        <v/>
      </c>
      <c r="F304" s="12" t="str">
        <f>IF(Raw_Data!J307="","",Raw_Data!J307)</f>
        <v/>
      </c>
      <c r="G304" s="12" t="str">
        <f>IF(Raw_Data!AH307&lt;&gt;"",Raw_Data!AH307,IF(Raw_Data!K307&lt;&gt;"",Raw_Data!K307,""))</f>
        <v/>
      </c>
      <c r="H304" s="12" t="str">
        <f>IF(Raw_Data!AI307&lt;&gt;"",Raw_Data!AI307,IF(Raw_Data!L307&lt;&gt;"",Raw_Data!L307,""))</f>
        <v/>
      </c>
      <c r="I304" s="12" t="str">
        <f t="shared" si="36"/>
        <v/>
      </c>
      <c r="J304" s="12" t="str">
        <f>IF(Raw_Data!M307="","",Raw_Data!M307)</f>
        <v/>
      </c>
      <c r="K304" s="12">
        <f>IF(Raw_Data!AJ307&lt;&gt;"",Raw_Data!AJ307,Raw_Data!N307)</f>
        <v>0</v>
      </c>
      <c r="L304" s="12">
        <f t="shared" si="37"/>
        <v>1</v>
      </c>
      <c r="M304" s="12" t="str">
        <f>IF(Raw_Data!AK307="","",Raw_Data!AK307)</f>
        <v/>
      </c>
      <c r="N304" s="12" t="str">
        <f>IF(Raw_Data!T307="","",Raw_Data!T307)</f>
        <v/>
      </c>
      <c r="O304" s="12" t="str">
        <f>IF(Raw_Data!AB307&lt;&gt;"",Raw_Data!AB307,IF(N304="tres_insatisfait",1,IF(N304="insatisfait",2,IF(N304="neutre",3,IF(N304="satisfait",4,IF(N304="tres_satisfait",5,""))))))</f>
        <v/>
      </c>
      <c r="P304" s="12">
        <f>IF(Raw_Data!AL307&lt;&gt;"",Raw_Data!AL307,Raw_Data!R307)</f>
        <v>0</v>
      </c>
      <c r="Q304" s="12">
        <f t="shared" si="38"/>
        <v>0</v>
      </c>
      <c r="R304" s="12" t="str">
        <f>IF(Raw_Data!AM307="","",Raw_Data!AM307)</f>
        <v/>
      </c>
      <c r="S304" s="12" t="str">
        <f t="shared" si="39"/>
        <v/>
      </c>
      <c r="T304" s="12" t="str">
        <f>IF(Raw_Data!AN307="","",Raw_Data!AN307)</f>
        <v/>
      </c>
      <c r="U304" s="12" t="str">
        <f t="shared" si="40"/>
        <v/>
      </c>
      <c r="V304" s="12" t="str">
        <f>IF(Raw_Data!AP307="","",IF(Raw_Data!AP307="oui",1,0))</f>
        <v/>
      </c>
      <c r="W304" s="12" t="str">
        <f>IF(Raw_Data!AQ307="","",IF(Raw_Data!AQ307="oui",1,0))</f>
        <v/>
      </c>
      <c r="X304" s="12" t="str">
        <f>IF(Raw_Data!AR307="","",IF(Raw_Data!AR307="oui",1,0))</f>
        <v/>
      </c>
      <c r="Y304" s="12" t="str">
        <f>IF(Raw_Data!AS307="","",IF(Raw_Data!AS307="oui",1,0))</f>
        <v/>
      </c>
      <c r="Z304" s="12" t="str">
        <f>IF(Raw_Data!V307="","",IF(Raw_Data!V307="oui",1,0))</f>
        <v/>
      </c>
      <c r="AA304" s="12" t="str">
        <f>IF(Raw_Data!W307="","",IF(Raw_Data!W307="oui",1,0))</f>
        <v/>
      </c>
      <c r="AB304" s="12" t="str">
        <f>IF(Raw_Data!Q307="","",IF(Raw_Data!Q307="oui",1,0))</f>
        <v/>
      </c>
      <c r="AC304" s="12">
        <f>Raw_Data!AF307</f>
        <v>0</v>
      </c>
      <c r="AD304" s="12" t="str">
        <f t="shared" si="41"/>
        <v/>
      </c>
      <c r="AE304" s="12" t="str">
        <f t="shared" si="42"/>
        <v/>
      </c>
      <c r="AF304" s="12" t="str">
        <f t="shared" si="43"/>
        <v/>
      </c>
      <c r="AG304" s="12">
        <f t="shared" si="44"/>
        <v>0</v>
      </c>
    </row>
    <row r="305" spans="1:33" ht="15" customHeight="1" x14ac:dyDescent="0.25">
      <c r="A305" s="12" t="str">
        <f>IF(Raw_Data!B308="","",Raw_Data!B308)</f>
        <v/>
      </c>
      <c r="B305" s="12">
        <f>IF(Raw_Data!X308&lt;&gt;"",Raw_Data!X308,Raw_Data!C308)</f>
        <v>0</v>
      </c>
      <c r="C305" s="12" t="str">
        <f>IF(Raw_Data!G308="","",Raw_Data!G308)</f>
        <v/>
      </c>
      <c r="D305" s="12" t="str">
        <f>IF(Raw_Data!H308="","",Raw_Data!H308)</f>
        <v/>
      </c>
      <c r="E305" s="12" t="str">
        <f>IF(Raw_Data!I308="","",Raw_Data!I308)</f>
        <v/>
      </c>
      <c r="F305" s="12" t="str">
        <f>IF(Raw_Data!J308="","",Raw_Data!J308)</f>
        <v/>
      </c>
      <c r="G305" s="12" t="str">
        <f>IF(Raw_Data!AH308&lt;&gt;"",Raw_Data!AH308,IF(Raw_Data!K308&lt;&gt;"",Raw_Data!K308,""))</f>
        <v/>
      </c>
      <c r="H305" s="12" t="str">
        <f>IF(Raw_Data!AI308&lt;&gt;"",Raw_Data!AI308,IF(Raw_Data!L308&lt;&gt;"",Raw_Data!L308,""))</f>
        <v/>
      </c>
      <c r="I305" s="12" t="str">
        <f t="shared" si="36"/>
        <v/>
      </c>
      <c r="J305" s="12" t="str">
        <f>IF(Raw_Data!M308="","",Raw_Data!M308)</f>
        <v/>
      </c>
      <c r="K305" s="12">
        <f>IF(Raw_Data!AJ308&lt;&gt;"",Raw_Data!AJ308,Raw_Data!N308)</f>
        <v>0</v>
      </c>
      <c r="L305" s="12">
        <f t="shared" si="37"/>
        <v>1</v>
      </c>
      <c r="M305" s="12" t="str">
        <f>IF(Raw_Data!AK308="","",Raw_Data!AK308)</f>
        <v/>
      </c>
      <c r="N305" s="12" t="str">
        <f>IF(Raw_Data!T308="","",Raw_Data!T308)</f>
        <v/>
      </c>
      <c r="O305" s="12" t="str">
        <f>IF(Raw_Data!AB308&lt;&gt;"",Raw_Data!AB308,IF(N305="tres_insatisfait",1,IF(N305="insatisfait",2,IF(N305="neutre",3,IF(N305="satisfait",4,IF(N305="tres_satisfait",5,""))))))</f>
        <v/>
      </c>
      <c r="P305" s="12">
        <f>IF(Raw_Data!AL308&lt;&gt;"",Raw_Data!AL308,Raw_Data!R308)</f>
        <v>0</v>
      </c>
      <c r="Q305" s="12">
        <f t="shared" si="38"/>
        <v>0</v>
      </c>
      <c r="R305" s="12" t="str">
        <f>IF(Raw_Data!AM308="","",Raw_Data!AM308)</f>
        <v/>
      </c>
      <c r="S305" s="12" t="str">
        <f t="shared" si="39"/>
        <v/>
      </c>
      <c r="T305" s="12" t="str">
        <f>IF(Raw_Data!AN308="","",Raw_Data!AN308)</f>
        <v/>
      </c>
      <c r="U305" s="12" t="str">
        <f t="shared" si="40"/>
        <v/>
      </c>
      <c r="V305" s="12" t="str">
        <f>IF(Raw_Data!AP308="","",IF(Raw_Data!AP308="oui",1,0))</f>
        <v/>
      </c>
      <c r="W305" s="12" t="str">
        <f>IF(Raw_Data!AQ308="","",IF(Raw_Data!AQ308="oui",1,0))</f>
        <v/>
      </c>
      <c r="X305" s="12" t="str">
        <f>IF(Raw_Data!AR308="","",IF(Raw_Data!AR308="oui",1,0))</f>
        <v/>
      </c>
      <c r="Y305" s="12" t="str">
        <f>IF(Raw_Data!AS308="","",IF(Raw_Data!AS308="oui",1,0))</f>
        <v/>
      </c>
      <c r="Z305" s="12" t="str">
        <f>IF(Raw_Data!V308="","",IF(Raw_Data!V308="oui",1,0))</f>
        <v/>
      </c>
      <c r="AA305" s="12" t="str">
        <f>IF(Raw_Data!W308="","",IF(Raw_Data!W308="oui",1,0))</f>
        <v/>
      </c>
      <c r="AB305" s="12" t="str">
        <f>IF(Raw_Data!Q308="","",IF(Raw_Data!Q308="oui",1,0))</f>
        <v/>
      </c>
      <c r="AC305" s="12">
        <f>Raw_Data!AF308</f>
        <v>0</v>
      </c>
      <c r="AD305" s="12" t="str">
        <f t="shared" si="41"/>
        <v/>
      </c>
      <c r="AE305" s="12" t="str">
        <f t="shared" si="42"/>
        <v/>
      </c>
      <c r="AF305" s="12" t="str">
        <f t="shared" si="43"/>
        <v/>
      </c>
      <c r="AG305" s="12">
        <f t="shared" si="44"/>
        <v>0</v>
      </c>
    </row>
    <row r="306" spans="1:33" ht="15" customHeight="1" x14ac:dyDescent="0.25">
      <c r="A306" s="12" t="str">
        <f>IF(Raw_Data!B309="","",Raw_Data!B309)</f>
        <v/>
      </c>
      <c r="B306" s="12">
        <f>IF(Raw_Data!X309&lt;&gt;"",Raw_Data!X309,Raw_Data!C309)</f>
        <v>0</v>
      </c>
      <c r="C306" s="12" t="str">
        <f>IF(Raw_Data!G309="","",Raw_Data!G309)</f>
        <v/>
      </c>
      <c r="D306" s="12" t="str">
        <f>IF(Raw_Data!H309="","",Raw_Data!H309)</f>
        <v/>
      </c>
      <c r="E306" s="12" t="str">
        <f>IF(Raw_Data!I309="","",Raw_Data!I309)</f>
        <v/>
      </c>
      <c r="F306" s="12" t="str">
        <f>IF(Raw_Data!J309="","",Raw_Data!J309)</f>
        <v/>
      </c>
      <c r="G306" s="12" t="str">
        <f>IF(Raw_Data!AH309&lt;&gt;"",Raw_Data!AH309,IF(Raw_Data!K309&lt;&gt;"",Raw_Data!K309,""))</f>
        <v/>
      </c>
      <c r="H306" s="12" t="str">
        <f>IF(Raw_Data!AI309&lt;&gt;"",Raw_Data!AI309,IF(Raw_Data!L309&lt;&gt;"",Raw_Data!L309,""))</f>
        <v/>
      </c>
      <c r="I306" s="12" t="str">
        <f t="shared" si="36"/>
        <v/>
      </c>
      <c r="J306" s="12" t="str">
        <f>IF(Raw_Data!M309="","",Raw_Data!M309)</f>
        <v/>
      </c>
      <c r="K306" s="12">
        <f>IF(Raw_Data!AJ309&lt;&gt;"",Raw_Data!AJ309,Raw_Data!N309)</f>
        <v>0</v>
      </c>
      <c r="L306" s="12">
        <f t="shared" si="37"/>
        <v>1</v>
      </c>
      <c r="M306" s="12" t="str">
        <f>IF(Raw_Data!AK309="","",Raw_Data!AK309)</f>
        <v/>
      </c>
      <c r="N306" s="12" t="str">
        <f>IF(Raw_Data!T309="","",Raw_Data!T309)</f>
        <v/>
      </c>
      <c r="O306" s="12" t="str">
        <f>IF(Raw_Data!AB309&lt;&gt;"",Raw_Data!AB309,IF(N306="tres_insatisfait",1,IF(N306="insatisfait",2,IF(N306="neutre",3,IF(N306="satisfait",4,IF(N306="tres_satisfait",5,""))))))</f>
        <v/>
      </c>
      <c r="P306" s="12">
        <f>IF(Raw_Data!AL309&lt;&gt;"",Raw_Data!AL309,Raw_Data!R309)</f>
        <v>0</v>
      </c>
      <c r="Q306" s="12">
        <f t="shared" si="38"/>
        <v>0</v>
      </c>
      <c r="R306" s="12" t="str">
        <f>IF(Raw_Data!AM309="","",Raw_Data!AM309)</f>
        <v/>
      </c>
      <c r="S306" s="12" t="str">
        <f t="shared" si="39"/>
        <v/>
      </c>
      <c r="T306" s="12" t="str">
        <f>IF(Raw_Data!AN309="","",Raw_Data!AN309)</f>
        <v/>
      </c>
      <c r="U306" s="12" t="str">
        <f t="shared" si="40"/>
        <v/>
      </c>
      <c r="V306" s="12" t="str">
        <f>IF(Raw_Data!AP309="","",IF(Raw_Data!AP309="oui",1,0))</f>
        <v/>
      </c>
      <c r="W306" s="12" t="str">
        <f>IF(Raw_Data!AQ309="","",IF(Raw_Data!AQ309="oui",1,0))</f>
        <v/>
      </c>
      <c r="X306" s="12" t="str">
        <f>IF(Raw_Data!AR309="","",IF(Raw_Data!AR309="oui",1,0))</f>
        <v/>
      </c>
      <c r="Y306" s="12" t="str">
        <f>IF(Raw_Data!AS309="","",IF(Raw_Data!AS309="oui",1,0))</f>
        <v/>
      </c>
      <c r="Z306" s="12" t="str">
        <f>IF(Raw_Data!V309="","",IF(Raw_Data!V309="oui",1,0))</f>
        <v/>
      </c>
      <c r="AA306" s="12" t="str">
        <f>IF(Raw_Data!W309="","",IF(Raw_Data!W309="oui",1,0))</f>
        <v/>
      </c>
      <c r="AB306" s="12" t="str">
        <f>IF(Raw_Data!Q309="","",IF(Raw_Data!Q309="oui",1,0))</f>
        <v/>
      </c>
      <c r="AC306" s="12">
        <f>Raw_Data!AF309</f>
        <v>0</v>
      </c>
      <c r="AD306" s="12" t="str">
        <f t="shared" si="41"/>
        <v/>
      </c>
      <c r="AE306" s="12" t="str">
        <f t="shared" si="42"/>
        <v/>
      </c>
      <c r="AF306" s="12" t="str">
        <f t="shared" si="43"/>
        <v/>
      </c>
      <c r="AG306" s="12">
        <f t="shared" si="44"/>
        <v>0</v>
      </c>
    </row>
    <row r="307" spans="1:33" ht="15" customHeight="1" x14ac:dyDescent="0.25">
      <c r="A307" s="12" t="str">
        <f>IF(Raw_Data!B310="","",Raw_Data!B310)</f>
        <v/>
      </c>
      <c r="B307" s="12">
        <f>IF(Raw_Data!X310&lt;&gt;"",Raw_Data!X310,Raw_Data!C310)</f>
        <v>0</v>
      </c>
      <c r="C307" s="12" t="str">
        <f>IF(Raw_Data!G310="","",Raw_Data!G310)</f>
        <v/>
      </c>
      <c r="D307" s="12" t="str">
        <f>IF(Raw_Data!H310="","",Raw_Data!H310)</f>
        <v/>
      </c>
      <c r="E307" s="12" t="str">
        <f>IF(Raw_Data!I310="","",Raw_Data!I310)</f>
        <v/>
      </c>
      <c r="F307" s="12" t="str">
        <f>IF(Raw_Data!J310="","",Raw_Data!J310)</f>
        <v/>
      </c>
      <c r="G307" s="12" t="str">
        <f>IF(Raw_Data!AH310&lt;&gt;"",Raw_Data!AH310,IF(Raw_Data!K310&lt;&gt;"",Raw_Data!K310,""))</f>
        <v/>
      </c>
      <c r="H307" s="12" t="str">
        <f>IF(Raw_Data!AI310&lt;&gt;"",Raw_Data!AI310,IF(Raw_Data!L310&lt;&gt;"",Raw_Data!L310,""))</f>
        <v/>
      </c>
      <c r="I307" s="12" t="str">
        <f t="shared" si="36"/>
        <v/>
      </c>
      <c r="J307" s="12" t="str">
        <f>IF(Raw_Data!M310="","",Raw_Data!M310)</f>
        <v/>
      </c>
      <c r="K307" s="12">
        <f>IF(Raw_Data!AJ310&lt;&gt;"",Raw_Data!AJ310,Raw_Data!N310)</f>
        <v>0</v>
      </c>
      <c r="L307" s="12">
        <f t="shared" si="37"/>
        <v>1</v>
      </c>
      <c r="M307" s="12" t="str">
        <f>IF(Raw_Data!AK310="","",Raw_Data!AK310)</f>
        <v/>
      </c>
      <c r="N307" s="12" t="str">
        <f>IF(Raw_Data!T310="","",Raw_Data!T310)</f>
        <v/>
      </c>
      <c r="O307" s="12" t="str">
        <f>IF(Raw_Data!AB310&lt;&gt;"",Raw_Data!AB310,IF(N307="tres_insatisfait",1,IF(N307="insatisfait",2,IF(N307="neutre",3,IF(N307="satisfait",4,IF(N307="tres_satisfait",5,""))))))</f>
        <v/>
      </c>
      <c r="P307" s="12">
        <f>IF(Raw_Data!AL310&lt;&gt;"",Raw_Data!AL310,Raw_Data!R310)</f>
        <v>0</v>
      </c>
      <c r="Q307" s="12">
        <f t="shared" si="38"/>
        <v>0</v>
      </c>
      <c r="R307" s="12" t="str">
        <f>IF(Raw_Data!AM310="","",Raw_Data!AM310)</f>
        <v/>
      </c>
      <c r="S307" s="12" t="str">
        <f t="shared" si="39"/>
        <v/>
      </c>
      <c r="T307" s="12" t="str">
        <f>IF(Raw_Data!AN310="","",Raw_Data!AN310)</f>
        <v/>
      </c>
      <c r="U307" s="12" t="str">
        <f t="shared" si="40"/>
        <v/>
      </c>
      <c r="V307" s="12" t="str">
        <f>IF(Raw_Data!AP310="","",IF(Raw_Data!AP310="oui",1,0))</f>
        <v/>
      </c>
      <c r="W307" s="12" t="str">
        <f>IF(Raw_Data!AQ310="","",IF(Raw_Data!AQ310="oui",1,0))</f>
        <v/>
      </c>
      <c r="X307" s="12" t="str">
        <f>IF(Raw_Data!AR310="","",IF(Raw_Data!AR310="oui",1,0))</f>
        <v/>
      </c>
      <c r="Y307" s="12" t="str">
        <f>IF(Raw_Data!AS310="","",IF(Raw_Data!AS310="oui",1,0))</f>
        <v/>
      </c>
      <c r="Z307" s="12" t="str">
        <f>IF(Raw_Data!V310="","",IF(Raw_Data!V310="oui",1,0))</f>
        <v/>
      </c>
      <c r="AA307" s="12" t="str">
        <f>IF(Raw_Data!W310="","",IF(Raw_Data!W310="oui",1,0))</f>
        <v/>
      </c>
      <c r="AB307" s="12" t="str">
        <f>IF(Raw_Data!Q310="","",IF(Raw_Data!Q310="oui",1,0))</f>
        <v/>
      </c>
      <c r="AC307" s="12">
        <f>Raw_Data!AF310</f>
        <v>0</v>
      </c>
      <c r="AD307" s="12" t="str">
        <f t="shared" si="41"/>
        <v/>
      </c>
      <c r="AE307" s="12" t="str">
        <f t="shared" si="42"/>
        <v/>
      </c>
      <c r="AF307" s="12" t="str">
        <f t="shared" si="43"/>
        <v/>
      </c>
      <c r="AG307" s="12">
        <f t="shared" si="44"/>
        <v>0</v>
      </c>
    </row>
    <row r="308" spans="1:33" ht="15" customHeight="1" x14ac:dyDescent="0.25">
      <c r="A308" s="12" t="str">
        <f>IF(Raw_Data!B311="","",Raw_Data!B311)</f>
        <v/>
      </c>
      <c r="B308" s="12">
        <f>IF(Raw_Data!X311&lt;&gt;"",Raw_Data!X311,Raw_Data!C311)</f>
        <v>0</v>
      </c>
      <c r="C308" s="12" t="str">
        <f>IF(Raw_Data!G311="","",Raw_Data!G311)</f>
        <v/>
      </c>
      <c r="D308" s="12" t="str">
        <f>IF(Raw_Data!H311="","",Raw_Data!H311)</f>
        <v/>
      </c>
      <c r="E308" s="12" t="str">
        <f>IF(Raw_Data!I311="","",Raw_Data!I311)</f>
        <v/>
      </c>
      <c r="F308" s="12" t="str">
        <f>IF(Raw_Data!J311="","",Raw_Data!J311)</f>
        <v/>
      </c>
      <c r="G308" s="12" t="str">
        <f>IF(Raw_Data!AH311&lt;&gt;"",Raw_Data!AH311,IF(Raw_Data!K311&lt;&gt;"",Raw_Data!K311,""))</f>
        <v/>
      </c>
      <c r="H308" s="12" t="str">
        <f>IF(Raw_Data!AI311&lt;&gt;"",Raw_Data!AI311,IF(Raw_Data!L311&lt;&gt;"",Raw_Data!L311,""))</f>
        <v/>
      </c>
      <c r="I308" s="12" t="str">
        <f t="shared" si="36"/>
        <v/>
      </c>
      <c r="J308" s="12" t="str">
        <f>IF(Raw_Data!M311="","",Raw_Data!M311)</f>
        <v/>
      </c>
      <c r="K308" s="12">
        <f>IF(Raw_Data!AJ311&lt;&gt;"",Raw_Data!AJ311,Raw_Data!N311)</f>
        <v>0</v>
      </c>
      <c r="L308" s="12">
        <f t="shared" si="37"/>
        <v>1</v>
      </c>
      <c r="M308" s="12" t="str">
        <f>IF(Raw_Data!AK311="","",Raw_Data!AK311)</f>
        <v/>
      </c>
      <c r="N308" s="12" t="str">
        <f>IF(Raw_Data!T311="","",Raw_Data!T311)</f>
        <v/>
      </c>
      <c r="O308" s="12" t="str">
        <f>IF(Raw_Data!AB311&lt;&gt;"",Raw_Data!AB311,IF(N308="tres_insatisfait",1,IF(N308="insatisfait",2,IF(N308="neutre",3,IF(N308="satisfait",4,IF(N308="tres_satisfait",5,""))))))</f>
        <v/>
      </c>
      <c r="P308" s="12">
        <f>IF(Raw_Data!AL311&lt;&gt;"",Raw_Data!AL311,Raw_Data!R311)</f>
        <v>0</v>
      </c>
      <c r="Q308" s="12">
        <f t="shared" si="38"/>
        <v>0</v>
      </c>
      <c r="R308" s="12" t="str">
        <f>IF(Raw_Data!AM311="","",Raw_Data!AM311)</f>
        <v/>
      </c>
      <c r="S308" s="12" t="str">
        <f t="shared" si="39"/>
        <v/>
      </c>
      <c r="T308" s="12" t="str">
        <f>IF(Raw_Data!AN311="","",Raw_Data!AN311)</f>
        <v/>
      </c>
      <c r="U308" s="12" t="str">
        <f t="shared" si="40"/>
        <v/>
      </c>
      <c r="V308" s="12" t="str">
        <f>IF(Raw_Data!AP311="","",IF(Raw_Data!AP311="oui",1,0))</f>
        <v/>
      </c>
      <c r="W308" s="12" t="str">
        <f>IF(Raw_Data!AQ311="","",IF(Raw_Data!AQ311="oui",1,0))</f>
        <v/>
      </c>
      <c r="X308" s="12" t="str">
        <f>IF(Raw_Data!AR311="","",IF(Raw_Data!AR311="oui",1,0))</f>
        <v/>
      </c>
      <c r="Y308" s="12" t="str">
        <f>IF(Raw_Data!AS311="","",IF(Raw_Data!AS311="oui",1,0))</f>
        <v/>
      </c>
      <c r="Z308" s="12" t="str">
        <f>IF(Raw_Data!V311="","",IF(Raw_Data!V311="oui",1,0))</f>
        <v/>
      </c>
      <c r="AA308" s="12" t="str">
        <f>IF(Raw_Data!W311="","",IF(Raw_Data!W311="oui",1,0))</f>
        <v/>
      </c>
      <c r="AB308" s="12" t="str">
        <f>IF(Raw_Data!Q311="","",IF(Raw_Data!Q311="oui",1,0))</f>
        <v/>
      </c>
      <c r="AC308" s="12">
        <f>Raw_Data!AF311</f>
        <v>0</v>
      </c>
      <c r="AD308" s="12" t="str">
        <f t="shared" si="41"/>
        <v/>
      </c>
      <c r="AE308" s="12" t="str">
        <f t="shared" si="42"/>
        <v/>
      </c>
      <c r="AF308" s="12" t="str">
        <f t="shared" si="43"/>
        <v/>
      </c>
      <c r="AG308" s="12">
        <f t="shared" si="44"/>
        <v>0</v>
      </c>
    </row>
    <row r="309" spans="1:33" ht="15" customHeight="1" x14ac:dyDescent="0.25">
      <c r="A309" s="12" t="str">
        <f>IF(Raw_Data!B312="","",Raw_Data!B312)</f>
        <v/>
      </c>
      <c r="B309" s="12">
        <f>IF(Raw_Data!X312&lt;&gt;"",Raw_Data!X312,Raw_Data!C312)</f>
        <v>0</v>
      </c>
      <c r="C309" s="12" t="str">
        <f>IF(Raw_Data!G312="","",Raw_Data!G312)</f>
        <v/>
      </c>
      <c r="D309" s="12" t="str">
        <f>IF(Raw_Data!H312="","",Raw_Data!H312)</f>
        <v/>
      </c>
      <c r="E309" s="12" t="str">
        <f>IF(Raw_Data!I312="","",Raw_Data!I312)</f>
        <v/>
      </c>
      <c r="F309" s="12" t="str">
        <f>IF(Raw_Data!J312="","",Raw_Data!J312)</f>
        <v/>
      </c>
      <c r="G309" s="12" t="str">
        <f>IF(Raw_Data!AH312&lt;&gt;"",Raw_Data!AH312,IF(Raw_Data!K312&lt;&gt;"",Raw_Data!K312,""))</f>
        <v/>
      </c>
      <c r="H309" s="12" t="str">
        <f>IF(Raw_Data!AI312&lt;&gt;"",Raw_Data!AI312,IF(Raw_Data!L312&lt;&gt;"",Raw_Data!L312,""))</f>
        <v/>
      </c>
      <c r="I309" s="12" t="str">
        <f t="shared" si="36"/>
        <v/>
      </c>
      <c r="J309" s="12" t="str">
        <f>IF(Raw_Data!M312="","",Raw_Data!M312)</f>
        <v/>
      </c>
      <c r="K309" s="12">
        <f>IF(Raw_Data!AJ312&lt;&gt;"",Raw_Data!AJ312,Raw_Data!N312)</f>
        <v>0</v>
      </c>
      <c r="L309" s="12">
        <f t="shared" si="37"/>
        <v>1</v>
      </c>
      <c r="M309" s="12" t="str">
        <f>IF(Raw_Data!AK312="","",Raw_Data!AK312)</f>
        <v/>
      </c>
      <c r="N309" s="12" t="str">
        <f>IF(Raw_Data!T312="","",Raw_Data!T312)</f>
        <v/>
      </c>
      <c r="O309" s="12" t="str">
        <f>IF(Raw_Data!AB312&lt;&gt;"",Raw_Data!AB312,IF(N309="tres_insatisfait",1,IF(N309="insatisfait",2,IF(N309="neutre",3,IF(N309="satisfait",4,IF(N309="tres_satisfait",5,""))))))</f>
        <v/>
      </c>
      <c r="P309" s="12">
        <f>IF(Raw_Data!AL312&lt;&gt;"",Raw_Data!AL312,Raw_Data!R312)</f>
        <v>0</v>
      </c>
      <c r="Q309" s="12">
        <f t="shared" si="38"/>
        <v>0</v>
      </c>
      <c r="R309" s="12" t="str">
        <f>IF(Raw_Data!AM312="","",Raw_Data!AM312)</f>
        <v/>
      </c>
      <c r="S309" s="12" t="str">
        <f t="shared" si="39"/>
        <v/>
      </c>
      <c r="T309" s="12" t="str">
        <f>IF(Raw_Data!AN312="","",Raw_Data!AN312)</f>
        <v/>
      </c>
      <c r="U309" s="12" t="str">
        <f t="shared" si="40"/>
        <v/>
      </c>
      <c r="V309" s="12" t="str">
        <f>IF(Raw_Data!AP312="","",IF(Raw_Data!AP312="oui",1,0))</f>
        <v/>
      </c>
      <c r="W309" s="12" t="str">
        <f>IF(Raw_Data!AQ312="","",IF(Raw_Data!AQ312="oui",1,0))</f>
        <v/>
      </c>
      <c r="X309" s="12" t="str">
        <f>IF(Raw_Data!AR312="","",IF(Raw_Data!AR312="oui",1,0))</f>
        <v/>
      </c>
      <c r="Y309" s="12" t="str">
        <f>IF(Raw_Data!AS312="","",IF(Raw_Data!AS312="oui",1,0))</f>
        <v/>
      </c>
      <c r="Z309" s="12" t="str">
        <f>IF(Raw_Data!V312="","",IF(Raw_Data!V312="oui",1,0))</f>
        <v/>
      </c>
      <c r="AA309" s="12" t="str">
        <f>IF(Raw_Data!W312="","",IF(Raw_Data!W312="oui",1,0))</f>
        <v/>
      </c>
      <c r="AB309" s="12" t="str">
        <f>IF(Raw_Data!Q312="","",IF(Raw_Data!Q312="oui",1,0))</f>
        <v/>
      </c>
      <c r="AC309" s="12">
        <f>Raw_Data!AF312</f>
        <v>0</v>
      </c>
      <c r="AD309" s="12" t="str">
        <f t="shared" si="41"/>
        <v/>
      </c>
      <c r="AE309" s="12" t="str">
        <f t="shared" si="42"/>
        <v/>
      </c>
      <c r="AF309" s="12" t="str">
        <f t="shared" si="43"/>
        <v/>
      </c>
      <c r="AG309" s="12">
        <f t="shared" si="44"/>
        <v>0</v>
      </c>
    </row>
    <row r="310" spans="1:33" ht="15" customHeight="1" x14ac:dyDescent="0.25">
      <c r="A310" s="12" t="str">
        <f>IF(Raw_Data!B313="","",Raw_Data!B313)</f>
        <v/>
      </c>
      <c r="B310" s="12">
        <f>IF(Raw_Data!X313&lt;&gt;"",Raw_Data!X313,Raw_Data!C313)</f>
        <v>0</v>
      </c>
      <c r="C310" s="12" t="str">
        <f>IF(Raw_Data!G313="","",Raw_Data!G313)</f>
        <v/>
      </c>
      <c r="D310" s="12" t="str">
        <f>IF(Raw_Data!H313="","",Raw_Data!H313)</f>
        <v/>
      </c>
      <c r="E310" s="12" t="str">
        <f>IF(Raw_Data!I313="","",Raw_Data!I313)</f>
        <v/>
      </c>
      <c r="F310" s="12" t="str">
        <f>IF(Raw_Data!J313="","",Raw_Data!J313)</f>
        <v/>
      </c>
      <c r="G310" s="12" t="str">
        <f>IF(Raw_Data!AH313&lt;&gt;"",Raw_Data!AH313,IF(Raw_Data!K313&lt;&gt;"",Raw_Data!K313,""))</f>
        <v/>
      </c>
      <c r="H310" s="12" t="str">
        <f>IF(Raw_Data!AI313&lt;&gt;"",Raw_Data!AI313,IF(Raw_Data!L313&lt;&gt;"",Raw_Data!L313,""))</f>
        <v/>
      </c>
      <c r="I310" s="12" t="str">
        <f t="shared" si="36"/>
        <v/>
      </c>
      <c r="J310" s="12" t="str">
        <f>IF(Raw_Data!M313="","",Raw_Data!M313)</f>
        <v/>
      </c>
      <c r="K310" s="12">
        <f>IF(Raw_Data!AJ313&lt;&gt;"",Raw_Data!AJ313,Raw_Data!N313)</f>
        <v>0</v>
      </c>
      <c r="L310" s="12">
        <f t="shared" si="37"/>
        <v>1</v>
      </c>
      <c r="M310" s="12" t="str">
        <f>IF(Raw_Data!AK313="","",Raw_Data!AK313)</f>
        <v/>
      </c>
      <c r="N310" s="12" t="str">
        <f>IF(Raw_Data!T313="","",Raw_Data!T313)</f>
        <v/>
      </c>
      <c r="O310" s="12" t="str">
        <f>IF(Raw_Data!AB313&lt;&gt;"",Raw_Data!AB313,IF(N310="tres_insatisfait",1,IF(N310="insatisfait",2,IF(N310="neutre",3,IF(N310="satisfait",4,IF(N310="tres_satisfait",5,""))))))</f>
        <v/>
      </c>
      <c r="P310" s="12">
        <f>IF(Raw_Data!AL313&lt;&gt;"",Raw_Data!AL313,Raw_Data!R313)</f>
        <v>0</v>
      </c>
      <c r="Q310" s="12">
        <f t="shared" si="38"/>
        <v>0</v>
      </c>
      <c r="R310" s="12" t="str">
        <f>IF(Raw_Data!AM313="","",Raw_Data!AM313)</f>
        <v/>
      </c>
      <c r="S310" s="12" t="str">
        <f t="shared" si="39"/>
        <v/>
      </c>
      <c r="T310" s="12" t="str">
        <f>IF(Raw_Data!AN313="","",Raw_Data!AN313)</f>
        <v/>
      </c>
      <c r="U310" s="12" t="str">
        <f t="shared" si="40"/>
        <v/>
      </c>
      <c r="V310" s="12" t="str">
        <f>IF(Raw_Data!AP313="","",IF(Raw_Data!AP313="oui",1,0))</f>
        <v/>
      </c>
      <c r="W310" s="12" t="str">
        <f>IF(Raw_Data!AQ313="","",IF(Raw_Data!AQ313="oui",1,0))</f>
        <v/>
      </c>
      <c r="X310" s="12" t="str">
        <f>IF(Raw_Data!AR313="","",IF(Raw_Data!AR313="oui",1,0))</f>
        <v/>
      </c>
      <c r="Y310" s="12" t="str">
        <f>IF(Raw_Data!AS313="","",IF(Raw_Data!AS313="oui",1,0))</f>
        <v/>
      </c>
      <c r="Z310" s="12" t="str">
        <f>IF(Raw_Data!V313="","",IF(Raw_Data!V313="oui",1,0))</f>
        <v/>
      </c>
      <c r="AA310" s="12" t="str">
        <f>IF(Raw_Data!W313="","",IF(Raw_Data!W313="oui",1,0))</f>
        <v/>
      </c>
      <c r="AB310" s="12" t="str">
        <f>IF(Raw_Data!Q313="","",IF(Raw_Data!Q313="oui",1,0))</f>
        <v/>
      </c>
      <c r="AC310" s="12">
        <f>Raw_Data!AF313</f>
        <v>0</v>
      </c>
      <c r="AD310" s="12" t="str">
        <f t="shared" si="41"/>
        <v/>
      </c>
      <c r="AE310" s="12" t="str">
        <f t="shared" si="42"/>
        <v/>
      </c>
      <c r="AF310" s="12" t="str">
        <f t="shared" si="43"/>
        <v/>
      </c>
      <c r="AG310" s="12">
        <f t="shared" si="44"/>
        <v>0</v>
      </c>
    </row>
    <row r="311" spans="1:33" ht="15" customHeight="1" x14ac:dyDescent="0.25">
      <c r="A311" s="12" t="str">
        <f>IF(Raw_Data!B314="","",Raw_Data!B314)</f>
        <v/>
      </c>
      <c r="B311" s="12">
        <f>IF(Raw_Data!X314&lt;&gt;"",Raw_Data!X314,Raw_Data!C314)</f>
        <v>0</v>
      </c>
      <c r="C311" s="12" t="str">
        <f>IF(Raw_Data!G314="","",Raw_Data!G314)</f>
        <v/>
      </c>
      <c r="D311" s="12" t="str">
        <f>IF(Raw_Data!H314="","",Raw_Data!H314)</f>
        <v/>
      </c>
      <c r="E311" s="12" t="str">
        <f>IF(Raw_Data!I314="","",Raw_Data!I314)</f>
        <v/>
      </c>
      <c r="F311" s="12" t="str">
        <f>IF(Raw_Data!J314="","",Raw_Data!J314)</f>
        <v/>
      </c>
      <c r="G311" s="12" t="str">
        <f>IF(Raw_Data!AH314&lt;&gt;"",Raw_Data!AH314,IF(Raw_Data!K314&lt;&gt;"",Raw_Data!K314,""))</f>
        <v/>
      </c>
      <c r="H311" s="12" t="str">
        <f>IF(Raw_Data!AI314&lt;&gt;"",Raw_Data!AI314,IF(Raw_Data!L314&lt;&gt;"",Raw_Data!L314,""))</f>
        <v/>
      </c>
      <c r="I311" s="12" t="str">
        <f t="shared" si="36"/>
        <v/>
      </c>
      <c r="J311" s="12" t="str">
        <f>IF(Raw_Data!M314="","",Raw_Data!M314)</f>
        <v/>
      </c>
      <c r="K311" s="12">
        <f>IF(Raw_Data!AJ314&lt;&gt;"",Raw_Data!AJ314,Raw_Data!N314)</f>
        <v>0</v>
      </c>
      <c r="L311" s="12">
        <f t="shared" si="37"/>
        <v>1</v>
      </c>
      <c r="M311" s="12" t="str">
        <f>IF(Raw_Data!AK314="","",Raw_Data!AK314)</f>
        <v/>
      </c>
      <c r="N311" s="12" t="str">
        <f>IF(Raw_Data!T314="","",Raw_Data!T314)</f>
        <v/>
      </c>
      <c r="O311" s="12" t="str">
        <f>IF(Raw_Data!AB314&lt;&gt;"",Raw_Data!AB314,IF(N311="tres_insatisfait",1,IF(N311="insatisfait",2,IF(N311="neutre",3,IF(N311="satisfait",4,IF(N311="tres_satisfait",5,""))))))</f>
        <v/>
      </c>
      <c r="P311" s="12">
        <f>IF(Raw_Data!AL314&lt;&gt;"",Raw_Data!AL314,Raw_Data!R314)</f>
        <v>0</v>
      </c>
      <c r="Q311" s="12">
        <f t="shared" si="38"/>
        <v>0</v>
      </c>
      <c r="R311" s="12" t="str">
        <f>IF(Raw_Data!AM314="","",Raw_Data!AM314)</f>
        <v/>
      </c>
      <c r="S311" s="12" t="str">
        <f t="shared" si="39"/>
        <v/>
      </c>
      <c r="T311" s="12" t="str">
        <f>IF(Raw_Data!AN314="","",Raw_Data!AN314)</f>
        <v/>
      </c>
      <c r="U311" s="12" t="str">
        <f t="shared" si="40"/>
        <v/>
      </c>
      <c r="V311" s="12" t="str">
        <f>IF(Raw_Data!AP314="","",IF(Raw_Data!AP314="oui",1,0))</f>
        <v/>
      </c>
      <c r="W311" s="12" t="str">
        <f>IF(Raw_Data!AQ314="","",IF(Raw_Data!AQ314="oui",1,0))</f>
        <v/>
      </c>
      <c r="X311" s="12" t="str">
        <f>IF(Raw_Data!AR314="","",IF(Raw_Data!AR314="oui",1,0))</f>
        <v/>
      </c>
      <c r="Y311" s="12" t="str">
        <f>IF(Raw_Data!AS314="","",IF(Raw_Data!AS314="oui",1,0))</f>
        <v/>
      </c>
      <c r="Z311" s="12" t="str">
        <f>IF(Raw_Data!V314="","",IF(Raw_Data!V314="oui",1,0))</f>
        <v/>
      </c>
      <c r="AA311" s="12" t="str">
        <f>IF(Raw_Data!W314="","",IF(Raw_Data!W314="oui",1,0))</f>
        <v/>
      </c>
      <c r="AB311" s="12" t="str">
        <f>IF(Raw_Data!Q314="","",IF(Raw_Data!Q314="oui",1,0))</f>
        <v/>
      </c>
      <c r="AC311" s="12">
        <f>Raw_Data!AF314</f>
        <v>0</v>
      </c>
      <c r="AD311" s="12" t="str">
        <f t="shared" si="41"/>
        <v/>
      </c>
      <c r="AE311" s="12" t="str">
        <f t="shared" si="42"/>
        <v/>
      </c>
      <c r="AF311" s="12" t="str">
        <f t="shared" si="43"/>
        <v/>
      </c>
      <c r="AG311" s="12">
        <f t="shared" si="44"/>
        <v>0</v>
      </c>
    </row>
    <row r="312" spans="1:33" ht="15" customHeight="1" x14ac:dyDescent="0.25">
      <c r="A312" s="12" t="str">
        <f>IF(Raw_Data!B315="","",Raw_Data!B315)</f>
        <v/>
      </c>
      <c r="B312" s="12">
        <f>IF(Raw_Data!X315&lt;&gt;"",Raw_Data!X315,Raw_Data!C315)</f>
        <v>0</v>
      </c>
      <c r="C312" s="12" t="str">
        <f>IF(Raw_Data!G315="","",Raw_Data!G315)</f>
        <v/>
      </c>
      <c r="D312" s="12" t="str">
        <f>IF(Raw_Data!H315="","",Raw_Data!H315)</f>
        <v/>
      </c>
      <c r="E312" s="12" t="str">
        <f>IF(Raw_Data!I315="","",Raw_Data!I315)</f>
        <v/>
      </c>
      <c r="F312" s="12" t="str">
        <f>IF(Raw_Data!J315="","",Raw_Data!J315)</f>
        <v/>
      </c>
      <c r="G312" s="12" t="str">
        <f>IF(Raw_Data!AH315&lt;&gt;"",Raw_Data!AH315,IF(Raw_Data!K315&lt;&gt;"",Raw_Data!K315,""))</f>
        <v/>
      </c>
      <c r="H312" s="12" t="str">
        <f>IF(Raw_Data!AI315&lt;&gt;"",Raw_Data!AI315,IF(Raw_Data!L315&lt;&gt;"",Raw_Data!L315,""))</f>
        <v/>
      </c>
      <c r="I312" s="12" t="str">
        <f t="shared" si="36"/>
        <v/>
      </c>
      <c r="J312" s="12" t="str">
        <f>IF(Raw_Data!M315="","",Raw_Data!M315)</f>
        <v/>
      </c>
      <c r="K312" s="12">
        <f>IF(Raw_Data!AJ315&lt;&gt;"",Raw_Data!AJ315,Raw_Data!N315)</f>
        <v>0</v>
      </c>
      <c r="L312" s="12">
        <f t="shared" si="37"/>
        <v>1</v>
      </c>
      <c r="M312" s="12" t="str">
        <f>IF(Raw_Data!AK315="","",Raw_Data!AK315)</f>
        <v/>
      </c>
      <c r="N312" s="12" t="str">
        <f>IF(Raw_Data!T315="","",Raw_Data!T315)</f>
        <v/>
      </c>
      <c r="O312" s="12" t="str">
        <f>IF(Raw_Data!AB315&lt;&gt;"",Raw_Data!AB315,IF(N312="tres_insatisfait",1,IF(N312="insatisfait",2,IF(N312="neutre",3,IF(N312="satisfait",4,IF(N312="tres_satisfait",5,""))))))</f>
        <v/>
      </c>
      <c r="P312" s="12">
        <f>IF(Raw_Data!AL315&lt;&gt;"",Raw_Data!AL315,Raw_Data!R315)</f>
        <v>0</v>
      </c>
      <c r="Q312" s="12">
        <f t="shared" si="38"/>
        <v>0</v>
      </c>
      <c r="R312" s="12" t="str">
        <f>IF(Raw_Data!AM315="","",Raw_Data!AM315)</f>
        <v/>
      </c>
      <c r="S312" s="12" t="str">
        <f t="shared" si="39"/>
        <v/>
      </c>
      <c r="T312" s="12" t="str">
        <f>IF(Raw_Data!AN315="","",Raw_Data!AN315)</f>
        <v/>
      </c>
      <c r="U312" s="12" t="str">
        <f t="shared" si="40"/>
        <v/>
      </c>
      <c r="V312" s="12" t="str">
        <f>IF(Raw_Data!AP315="","",IF(Raw_Data!AP315="oui",1,0))</f>
        <v/>
      </c>
      <c r="W312" s="12" t="str">
        <f>IF(Raw_Data!AQ315="","",IF(Raw_Data!AQ315="oui",1,0))</f>
        <v/>
      </c>
      <c r="X312" s="12" t="str">
        <f>IF(Raw_Data!AR315="","",IF(Raw_Data!AR315="oui",1,0))</f>
        <v/>
      </c>
      <c r="Y312" s="12" t="str">
        <f>IF(Raw_Data!AS315="","",IF(Raw_Data!AS315="oui",1,0))</f>
        <v/>
      </c>
      <c r="Z312" s="12" t="str">
        <f>IF(Raw_Data!V315="","",IF(Raw_Data!V315="oui",1,0))</f>
        <v/>
      </c>
      <c r="AA312" s="12" t="str">
        <f>IF(Raw_Data!W315="","",IF(Raw_Data!W315="oui",1,0))</f>
        <v/>
      </c>
      <c r="AB312" s="12" t="str">
        <f>IF(Raw_Data!Q315="","",IF(Raw_Data!Q315="oui",1,0))</f>
        <v/>
      </c>
      <c r="AC312" s="12">
        <f>Raw_Data!AF315</f>
        <v>0</v>
      </c>
      <c r="AD312" s="12" t="str">
        <f t="shared" si="41"/>
        <v/>
      </c>
      <c r="AE312" s="12" t="str">
        <f t="shared" si="42"/>
        <v/>
      </c>
      <c r="AF312" s="12" t="str">
        <f t="shared" si="43"/>
        <v/>
      </c>
      <c r="AG312" s="12">
        <f t="shared" si="44"/>
        <v>0</v>
      </c>
    </row>
    <row r="313" spans="1:33" ht="15" customHeight="1" x14ac:dyDescent="0.25">
      <c r="A313" s="12" t="str">
        <f>IF(Raw_Data!B316="","",Raw_Data!B316)</f>
        <v/>
      </c>
      <c r="B313" s="12">
        <f>IF(Raw_Data!X316&lt;&gt;"",Raw_Data!X316,Raw_Data!C316)</f>
        <v>0</v>
      </c>
      <c r="C313" s="12" t="str">
        <f>IF(Raw_Data!G316="","",Raw_Data!G316)</f>
        <v/>
      </c>
      <c r="D313" s="12" t="str">
        <f>IF(Raw_Data!H316="","",Raw_Data!H316)</f>
        <v/>
      </c>
      <c r="E313" s="12" t="str">
        <f>IF(Raw_Data!I316="","",Raw_Data!I316)</f>
        <v/>
      </c>
      <c r="F313" s="12" t="str">
        <f>IF(Raw_Data!J316="","",Raw_Data!J316)</f>
        <v/>
      </c>
      <c r="G313" s="12" t="str">
        <f>IF(Raw_Data!AH316&lt;&gt;"",Raw_Data!AH316,IF(Raw_Data!K316&lt;&gt;"",Raw_Data!K316,""))</f>
        <v/>
      </c>
      <c r="H313" s="12" t="str">
        <f>IF(Raw_Data!AI316&lt;&gt;"",Raw_Data!AI316,IF(Raw_Data!L316&lt;&gt;"",Raw_Data!L316,""))</f>
        <v/>
      </c>
      <c r="I313" s="12" t="str">
        <f t="shared" si="36"/>
        <v/>
      </c>
      <c r="J313" s="12" t="str">
        <f>IF(Raw_Data!M316="","",Raw_Data!M316)</f>
        <v/>
      </c>
      <c r="K313" s="12">
        <f>IF(Raw_Data!AJ316&lt;&gt;"",Raw_Data!AJ316,Raw_Data!N316)</f>
        <v>0</v>
      </c>
      <c r="L313" s="12">
        <f t="shared" si="37"/>
        <v>1</v>
      </c>
      <c r="M313" s="12" t="str">
        <f>IF(Raw_Data!AK316="","",Raw_Data!AK316)</f>
        <v/>
      </c>
      <c r="N313" s="12" t="str">
        <f>IF(Raw_Data!T316="","",Raw_Data!T316)</f>
        <v/>
      </c>
      <c r="O313" s="12" t="str">
        <f>IF(Raw_Data!AB316&lt;&gt;"",Raw_Data!AB316,IF(N313="tres_insatisfait",1,IF(N313="insatisfait",2,IF(N313="neutre",3,IF(N313="satisfait",4,IF(N313="tres_satisfait",5,""))))))</f>
        <v/>
      </c>
      <c r="P313" s="12">
        <f>IF(Raw_Data!AL316&lt;&gt;"",Raw_Data!AL316,Raw_Data!R316)</f>
        <v>0</v>
      </c>
      <c r="Q313" s="12">
        <f t="shared" si="38"/>
        <v>0</v>
      </c>
      <c r="R313" s="12" t="str">
        <f>IF(Raw_Data!AM316="","",Raw_Data!AM316)</f>
        <v/>
      </c>
      <c r="S313" s="12" t="str">
        <f t="shared" si="39"/>
        <v/>
      </c>
      <c r="T313" s="12" t="str">
        <f>IF(Raw_Data!AN316="","",Raw_Data!AN316)</f>
        <v/>
      </c>
      <c r="U313" s="12" t="str">
        <f t="shared" si="40"/>
        <v/>
      </c>
      <c r="V313" s="12" t="str">
        <f>IF(Raw_Data!AP316="","",IF(Raw_Data!AP316="oui",1,0))</f>
        <v/>
      </c>
      <c r="W313" s="12" t="str">
        <f>IF(Raw_Data!AQ316="","",IF(Raw_Data!AQ316="oui",1,0))</f>
        <v/>
      </c>
      <c r="X313" s="12" t="str">
        <f>IF(Raw_Data!AR316="","",IF(Raw_Data!AR316="oui",1,0))</f>
        <v/>
      </c>
      <c r="Y313" s="12" t="str">
        <f>IF(Raw_Data!AS316="","",IF(Raw_Data!AS316="oui",1,0))</f>
        <v/>
      </c>
      <c r="Z313" s="12" t="str">
        <f>IF(Raw_Data!V316="","",IF(Raw_Data!V316="oui",1,0))</f>
        <v/>
      </c>
      <c r="AA313" s="12" t="str">
        <f>IF(Raw_Data!W316="","",IF(Raw_Data!W316="oui",1,0))</f>
        <v/>
      </c>
      <c r="AB313" s="12" t="str">
        <f>IF(Raw_Data!Q316="","",IF(Raw_Data!Q316="oui",1,0))</f>
        <v/>
      </c>
      <c r="AC313" s="12">
        <f>Raw_Data!AF316</f>
        <v>0</v>
      </c>
      <c r="AD313" s="12" t="str">
        <f t="shared" si="41"/>
        <v/>
      </c>
      <c r="AE313" s="12" t="str">
        <f t="shared" si="42"/>
        <v/>
      </c>
      <c r="AF313" s="12" t="str">
        <f t="shared" si="43"/>
        <v/>
      </c>
      <c r="AG313" s="12">
        <f t="shared" si="44"/>
        <v>0</v>
      </c>
    </row>
    <row r="314" spans="1:33" ht="15" customHeight="1" x14ac:dyDescent="0.25">
      <c r="A314" s="12" t="str">
        <f>IF(Raw_Data!B317="","",Raw_Data!B317)</f>
        <v/>
      </c>
      <c r="B314" s="12">
        <f>IF(Raw_Data!X317&lt;&gt;"",Raw_Data!X317,Raw_Data!C317)</f>
        <v>0</v>
      </c>
      <c r="C314" s="12" t="str">
        <f>IF(Raw_Data!G317="","",Raw_Data!G317)</f>
        <v/>
      </c>
      <c r="D314" s="12" t="str">
        <f>IF(Raw_Data!H317="","",Raw_Data!H317)</f>
        <v/>
      </c>
      <c r="E314" s="12" t="str">
        <f>IF(Raw_Data!I317="","",Raw_Data!I317)</f>
        <v/>
      </c>
      <c r="F314" s="12" t="str">
        <f>IF(Raw_Data!J317="","",Raw_Data!J317)</f>
        <v/>
      </c>
      <c r="G314" s="12" t="str">
        <f>IF(Raw_Data!AH317&lt;&gt;"",Raw_Data!AH317,IF(Raw_Data!K317&lt;&gt;"",Raw_Data!K317,""))</f>
        <v/>
      </c>
      <c r="H314" s="12" t="str">
        <f>IF(Raw_Data!AI317&lt;&gt;"",Raw_Data!AI317,IF(Raw_Data!L317&lt;&gt;"",Raw_Data!L317,""))</f>
        <v/>
      </c>
      <c r="I314" s="12" t="str">
        <f t="shared" si="36"/>
        <v/>
      </c>
      <c r="J314" s="12" t="str">
        <f>IF(Raw_Data!M317="","",Raw_Data!M317)</f>
        <v/>
      </c>
      <c r="K314" s="12">
        <f>IF(Raw_Data!AJ317&lt;&gt;"",Raw_Data!AJ317,Raw_Data!N317)</f>
        <v>0</v>
      </c>
      <c r="L314" s="12">
        <f t="shared" si="37"/>
        <v>1</v>
      </c>
      <c r="M314" s="12" t="str">
        <f>IF(Raw_Data!AK317="","",Raw_Data!AK317)</f>
        <v/>
      </c>
      <c r="N314" s="12" t="str">
        <f>IF(Raw_Data!T317="","",Raw_Data!T317)</f>
        <v/>
      </c>
      <c r="O314" s="12" t="str">
        <f>IF(Raw_Data!AB317&lt;&gt;"",Raw_Data!AB317,IF(N314="tres_insatisfait",1,IF(N314="insatisfait",2,IF(N314="neutre",3,IF(N314="satisfait",4,IF(N314="tres_satisfait",5,""))))))</f>
        <v/>
      </c>
      <c r="P314" s="12">
        <f>IF(Raw_Data!AL317&lt;&gt;"",Raw_Data!AL317,Raw_Data!R317)</f>
        <v>0</v>
      </c>
      <c r="Q314" s="12">
        <f t="shared" si="38"/>
        <v>0</v>
      </c>
      <c r="R314" s="12" t="str">
        <f>IF(Raw_Data!AM317="","",Raw_Data!AM317)</f>
        <v/>
      </c>
      <c r="S314" s="12" t="str">
        <f t="shared" si="39"/>
        <v/>
      </c>
      <c r="T314" s="12" t="str">
        <f>IF(Raw_Data!AN317="","",Raw_Data!AN317)</f>
        <v/>
      </c>
      <c r="U314" s="12" t="str">
        <f t="shared" si="40"/>
        <v/>
      </c>
      <c r="V314" s="12" t="str">
        <f>IF(Raw_Data!AP317="","",IF(Raw_Data!AP317="oui",1,0))</f>
        <v/>
      </c>
      <c r="W314" s="12" t="str">
        <f>IF(Raw_Data!AQ317="","",IF(Raw_Data!AQ317="oui",1,0))</f>
        <v/>
      </c>
      <c r="X314" s="12" t="str">
        <f>IF(Raw_Data!AR317="","",IF(Raw_Data!AR317="oui",1,0))</f>
        <v/>
      </c>
      <c r="Y314" s="12" t="str">
        <f>IF(Raw_Data!AS317="","",IF(Raw_Data!AS317="oui",1,0))</f>
        <v/>
      </c>
      <c r="Z314" s="12" t="str">
        <f>IF(Raw_Data!V317="","",IF(Raw_Data!V317="oui",1,0))</f>
        <v/>
      </c>
      <c r="AA314" s="12" t="str">
        <f>IF(Raw_Data!W317="","",IF(Raw_Data!W317="oui",1,0))</f>
        <v/>
      </c>
      <c r="AB314" s="12" t="str">
        <f>IF(Raw_Data!Q317="","",IF(Raw_Data!Q317="oui",1,0))</f>
        <v/>
      </c>
      <c r="AC314" s="12">
        <f>Raw_Data!AF317</f>
        <v>0</v>
      </c>
      <c r="AD314" s="12" t="str">
        <f t="shared" si="41"/>
        <v/>
      </c>
      <c r="AE314" s="12" t="str">
        <f t="shared" si="42"/>
        <v/>
      </c>
      <c r="AF314" s="12" t="str">
        <f t="shared" si="43"/>
        <v/>
      </c>
      <c r="AG314" s="12">
        <f t="shared" si="44"/>
        <v>0</v>
      </c>
    </row>
    <row r="315" spans="1:33" ht="15" customHeight="1" x14ac:dyDescent="0.25">
      <c r="A315" s="12" t="str">
        <f>IF(Raw_Data!B318="","",Raw_Data!B318)</f>
        <v/>
      </c>
      <c r="B315" s="12">
        <f>IF(Raw_Data!X318&lt;&gt;"",Raw_Data!X318,Raw_Data!C318)</f>
        <v>0</v>
      </c>
      <c r="C315" s="12" t="str">
        <f>IF(Raw_Data!G318="","",Raw_Data!G318)</f>
        <v/>
      </c>
      <c r="D315" s="12" t="str">
        <f>IF(Raw_Data!H318="","",Raw_Data!H318)</f>
        <v/>
      </c>
      <c r="E315" s="12" t="str">
        <f>IF(Raw_Data!I318="","",Raw_Data!I318)</f>
        <v/>
      </c>
      <c r="F315" s="12" t="str">
        <f>IF(Raw_Data!J318="","",Raw_Data!J318)</f>
        <v/>
      </c>
      <c r="G315" s="12" t="str">
        <f>IF(Raw_Data!AH318&lt;&gt;"",Raw_Data!AH318,IF(Raw_Data!K318&lt;&gt;"",Raw_Data!K318,""))</f>
        <v/>
      </c>
      <c r="H315" s="12" t="str">
        <f>IF(Raw_Data!AI318&lt;&gt;"",Raw_Data!AI318,IF(Raw_Data!L318&lt;&gt;"",Raw_Data!L318,""))</f>
        <v/>
      </c>
      <c r="I315" s="12" t="str">
        <f t="shared" si="36"/>
        <v/>
      </c>
      <c r="J315" s="12" t="str">
        <f>IF(Raw_Data!M318="","",Raw_Data!M318)</f>
        <v/>
      </c>
      <c r="K315" s="12">
        <f>IF(Raw_Data!AJ318&lt;&gt;"",Raw_Data!AJ318,Raw_Data!N318)</f>
        <v>0</v>
      </c>
      <c r="L315" s="12">
        <f t="shared" si="37"/>
        <v>1</v>
      </c>
      <c r="M315" s="12" t="str">
        <f>IF(Raw_Data!AK318="","",Raw_Data!AK318)</f>
        <v/>
      </c>
      <c r="N315" s="12" t="str">
        <f>IF(Raw_Data!T318="","",Raw_Data!T318)</f>
        <v/>
      </c>
      <c r="O315" s="12" t="str">
        <f>IF(Raw_Data!AB318&lt;&gt;"",Raw_Data!AB318,IF(N315="tres_insatisfait",1,IF(N315="insatisfait",2,IF(N315="neutre",3,IF(N315="satisfait",4,IF(N315="tres_satisfait",5,""))))))</f>
        <v/>
      </c>
      <c r="P315" s="12">
        <f>IF(Raw_Data!AL318&lt;&gt;"",Raw_Data!AL318,Raw_Data!R318)</f>
        <v>0</v>
      </c>
      <c r="Q315" s="12">
        <f t="shared" si="38"/>
        <v>0</v>
      </c>
      <c r="R315" s="12" t="str">
        <f>IF(Raw_Data!AM318="","",Raw_Data!AM318)</f>
        <v/>
      </c>
      <c r="S315" s="12" t="str">
        <f t="shared" si="39"/>
        <v/>
      </c>
      <c r="T315" s="12" t="str">
        <f>IF(Raw_Data!AN318="","",Raw_Data!AN318)</f>
        <v/>
      </c>
      <c r="U315" s="12" t="str">
        <f t="shared" si="40"/>
        <v/>
      </c>
      <c r="V315" s="12" t="str">
        <f>IF(Raw_Data!AP318="","",IF(Raw_Data!AP318="oui",1,0))</f>
        <v/>
      </c>
      <c r="W315" s="12" t="str">
        <f>IF(Raw_Data!AQ318="","",IF(Raw_Data!AQ318="oui",1,0))</f>
        <v/>
      </c>
      <c r="X315" s="12" t="str">
        <f>IF(Raw_Data!AR318="","",IF(Raw_Data!AR318="oui",1,0))</f>
        <v/>
      </c>
      <c r="Y315" s="12" t="str">
        <f>IF(Raw_Data!AS318="","",IF(Raw_Data!AS318="oui",1,0))</f>
        <v/>
      </c>
      <c r="Z315" s="12" t="str">
        <f>IF(Raw_Data!V318="","",IF(Raw_Data!V318="oui",1,0))</f>
        <v/>
      </c>
      <c r="AA315" s="12" t="str">
        <f>IF(Raw_Data!W318="","",IF(Raw_Data!W318="oui",1,0))</f>
        <v/>
      </c>
      <c r="AB315" s="12" t="str">
        <f>IF(Raw_Data!Q318="","",IF(Raw_Data!Q318="oui",1,0))</f>
        <v/>
      </c>
      <c r="AC315" s="12">
        <f>Raw_Data!AF318</f>
        <v>0</v>
      </c>
      <c r="AD315" s="12" t="str">
        <f t="shared" si="41"/>
        <v/>
      </c>
      <c r="AE315" s="12" t="str">
        <f t="shared" si="42"/>
        <v/>
      </c>
      <c r="AF315" s="12" t="str">
        <f t="shared" si="43"/>
        <v/>
      </c>
      <c r="AG315" s="12">
        <f t="shared" si="44"/>
        <v>0</v>
      </c>
    </row>
    <row r="316" spans="1:33" ht="15" customHeight="1" x14ac:dyDescent="0.25">
      <c r="A316" s="12" t="str">
        <f>IF(Raw_Data!B319="","",Raw_Data!B319)</f>
        <v/>
      </c>
      <c r="B316" s="12">
        <f>IF(Raw_Data!X319&lt;&gt;"",Raw_Data!X319,Raw_Data!C319)</f>
        <v>0</v>
      </c>
      <c r="C316" s="12" t="str">
        <f>IF(Raw_Data!G319="","",Raw_Data!G319)</f>
        <v/>
      </c>
      <c r="D316" s="12" t="str">
        <f>IF(Raw_Data!H319="","",Raw_Data!H319)</f>
        <v/>
      </c>
      <c r="E316" s="12" t="str">
        <f>IF(Raw_Data!I319="","",Raw_Data!I319)</f>
        <v/>
      </c>
      <c r="F316" s="12" t="str">
        <f>IF(Raw_Data!J319="","",Raw_Data!J319)</f>
        <v/>
      </c>
      <c r="G316" s="12" t="str">
        <f>IF(Raw_Data!AH319&lt;&gt;"",Raw_Data!AH319,IF(Raw_Data!K319&lt;&gt;"",Raw_Data!K319,""))</f>
        <v/>
      </c>
      <c r="H316" s="12" t="str">
        <f>IF(Raw_Data!AI319&lt;&gt;"",Raw_Data!AI319,IF(Raw_Data!L319&lt;&gt;"",Raw_Data!L319,""))</f>
        <v/>
      </c>
      <c r="I316" s="12" t="str">
        <f t="shared" si="36"/>
        <v/>
      </c>
      <c r="J316" s="12" t="str">
        <f>IF(Raw_Data!M319="","",Raw_Data!M319)</f>
        <v/>
      </c>
      <c r="K316" s="12">
        <f>IF(Raw_Data!AJ319&lt;&gt;"",Raw_Data!AJ319,Raw_Data!N319)</f>
        <v>0</v>
      </c>
      <c r="L316" s="12">
        <f t="shared" si="37"/>
        <v>1</v>
      </c>
      <c r="M316" s="12" t="str">
        <f>IF(Raw_Data!AK319="","",Raw_Data!AK319)</f>
        <v/>
      </c>
      <c r="N316" s="12" t="str">
        <f>IF(Raw_Data!T319="","",Raw_Data!T319)</f>
        <v/>
      </c>
      <c r="O316" s="12" t="str">
        <f>IF(Raw_Data!AB319&lt;&gt;"",Raw_Data!AB319,IF(N316="tres_insatisfait",1,IF(N316="insatisfait",2,IF(N316="neutre",3,IF(N316="satisfait",4,IF(N316="tres_satisfait",5,""))))))</f>
        <v/>
      </c>
      <c r="P316" s="12">
        <f>IF(Raw_Data!AL319&lt;&gt;"",Raw_Data!AL319,Raw_Data!R319)</f>
        <v>0</v>
      </c>
      <c r="Q316" s="12">
        <f t="shared" si="38"/>
        <v>0</v>
      </c>
      <c r="R316" s="12" t="str">
        <f>IF(Raw_Data!AM319="","",Raw_Data!AM319)</f>
        <v/>
      </c>
      <c r="S316" s="12" t="str">
        <f t="shared" si="39"/>
        <v/>
      </c>
      <c r="T316" s="12" t="str">
        <f>IF(Raw_Data!AN319="","",Raw_Data!AN319)</f>
        <v/>
      </c>
      <c r="U316" s="12" t="str">
        <f t="shared" si="40"/>
        <v/>
      </c>
      <c r="V316" s="12" t="str">
        <f>IF(Raw_Data!AP319="","",IF(Raw_Data!AP319="oui",1,0))</f>
        <v/>
      </c>
      <c r="W316" s="12" t="str">
        <f>IF(Raw_Data!AQ319="","",IF(Raw_Data!AQ319="oui",1,0))</f>
        <v/>
      </c>
      <c r="X316" s="12" t="str">
        <f>IF(Raw_Data!AR319="","",IF(Raw_Data!AR319="oui",1,0))</f>
        <v/>
      </c>
      <c r="Y316" s="12" t="str">
        <f>IF(Raw_Data!AS319="","",IF(Raw_Data!AS319="oui",1,0))</f>
        <v/>
      </c>
      <c r="Z316" s="12" t="str">
        <f>IF(Raw_Data!V319="","",IF(Raw_Data!V319="oui",1,0))</f>
        <v/>
      </c>
      <c r="AA316" s="12" t="str">
        <f>IF(Raw_Data!W319="","",IF(Raw_Data!W319="oui",1,0))</f>
        <v/>
      </c>
      <c r="AB316" s="12" t="str">
        <f>IF(Raw_Data!Q319="","",IF(Raw_Data!Q319="oui",1,0))</f>
        <v/>
      </c>
      <c r="AC316" s="12">
        <f>Raw_Data!AF319</f>
        <v>0</v>
      </c>
      <c r="AD316" s="12" t="str">
        <f t="shared" si="41"/>
        <v/>
      </c>
      <c r="AE316" s="12" t="str">
        <f t="shared" si="42"/>
        <v/>
      </c>
      <c r="AF316" s="12" t="str">
        <f t="shared" si="43"/>
        <v/>
      </c>
      <c r="AG316" s="12">
        <f t="shared" si="44"/>
        <v>0</v>
      </c>
    </row>
    <row r="317" spans="1:33" ht="15" customHeight="1" x14ac:dyDescent="0.25">
      <c r="A317" s="12" t="str">
        <f>IF(Raw_Data!B320="","",Raw_Data!B320)</f>
        <v/>
      </c>
      <c r="B317" s="12">
        <f>IF(Raw_Data!X320&lt;&gt;"",Raw_Data!X320,Raw_Data!C320)</f>
        <v>0</v>
      </c>
      <c r="C317" s="12" t="str">
        <f>IF(Raw_Data!G320="","",Raw_Data!G320)</f>
        <v/>
      </c>
      <c r="D317" s="12" t="str">
        <f>IF(Raw_Data!H320="","",Raw_Data!H320)</f>
        <v/>
      </c>
      <c r="E317" s="12" t="str">
        <f>IF(Raw_Data!I320="","",Raw_Data!I320)</f>
        <v/>
      </c>
      <c r="F317" s="12" t="str">
        <f>IF(Raw_Data!J320="","",Raw_Data!J320)</f>
        <v/>
      </c>
      <c r="G317" s="12" t="str">
        <f>IF(Raw_Data!AH320&lt;&gt;"",Raw_Data!AH320,IF(Raw_Data!K320&lt;&gt;"",Raw_Data!K320,""))</f>
        <v/>
      </c>
      <c r="H317" s="12" t="str">
        <f>IF(Raw_Data!AI320&lt;&gt;"",Raw_Data!AI320,IF(Raw_Data!L320&lt;&gt;"",Raw_Data!L320,""))</f>
        <v/>
      </c>
      <c r="I317" s="12" t="str">
        <f t="shared" si="36"/>
        <v/>
      </c>
      <c r="J317" s="12" t="str">
        <f>IF(Raw_Data!M320="","",Raw_Data!M320)</f>
        <v/>
      </c>
      <c r="K317" s="12">
        <f>IF(Raw_Data!AJ320&lt;&gt;"",Raw_Data!AJ320,Raw_Data!N320)</f>
        <v>0</v>
      </c>
      <c r="L317" s="12">
        <f t="shared" si="37"/>
        <v>1</v>
      </c>
      <c r="M317" s="12" t="str">
        <f>IF(Raw_Data!AK320="","",Raw_Data!AK320)</f>
        <v/>
      </c>
      <c r="N317" s="12" t="str">
        <f>IF(Raw_Data!T320="","",Raw_Data!T320)</f>
        <v/>
      </c>
      <c r="O317" s="12" t="str">
        <f>IF(Raw_Data!AB320&lt;&gt;"",Raw_Data!AB320,IF(N317="tres_insatisfait",1,IF(N317="insatisfait",2,IF(N317="neutre",3,IF(N317="satisfait",4,IF(N317="tres_satisfait",5,""))))))</f>
        <v/>
      </c>
      <c r="P317" s="12">
        <f>IF(Raw_Data!AL320&lt;&gt;"",Raw_Data!AL320,Raw_Data!R320)</f>
        <v>0</v>
      </c>
      <c r="Q317" s="12">
        <f t="shared" si="38"/>
        <v>0</v>
      </c>
      <c r="R317" s="12" t="str">
        <f>IF(Raw_Data!AM320="","",Raw_Data!AM320)</f>
        <v/>
      </c>
      <c r="S317" s="12" t="str">
        <f t="shared" si="39"/>
        <v/>
      </c>
      <c r="T317" s="12" t="str">
        <f>IF(Raw_Data!AN320="","",Raw_Data!AN320)</f>
        <v/>
      </c>
      <c r="U317" s="12" t="str">
        <f t="shared" si="40"/>
        <v/>
      </c>
      <c r="V317" s="12" t="str">
        <f>IF(Raw_Data!AP320="","",IF(Raw_Data!AP320="oui",1,0))</f>
        <v/>
      </c>
      <c r="W317" s="12" t="str">
        <f>IF(Raw_Data!AQ320="","",IF(Raw_Data!AQ320="oui",1,0))</f>
        <v/>
      </c>
      <c r="X317" s="12" t="str">
        <f>IF(Raw_Data!AR320="","",IF(Raw_Data!AR320="oui",1,0))</f>
        <v/>
      </c>
      <c r="Y317" s="12" t="str">
        <f>IF(Raw_Data!AS320="","",IF(Raw_Data!AS320="oui",1,0))</f>
        <v/>
      </c>
      <c r="Z317" s="12" t="str">
        <f>IF(Raw_Data!V320="","",IF(Raw_Data!V320="oui",1,0))</f>
        <v/>
      </c>
      <c r="AA317" s="12" t="str">
        <f>IF(Raw_Data!W320="","",IF(Raw_Data!W320="oui",1,0))</f>
        <v/>
      </c>
      <c r="AB317" s="12" t="str">
        <f>IF(Raw_Data!Q320="","",IF(Raw_Data!Q320="oui",1,0))</f>
        <v/>
      </c>
      <c r="AC317" s="12">
        <f>Raw_Data!AF320</f>
        <v>0</v>
      </c>
      <c r="AD317" s="12" t="str">
        <f t="shared" si="41"/>
        <v/>
      </c>
      <c r="AE317" s="12" t="str">
        <f t="shared" si="42"/>
        <v/>
      </c>
      <c r="AF317" s="12" t="str">
        <f t="shared" si="43"/>
        <v/>
      </c>
      <c r="AG317" s="12">
        <f t="shared" si="44"/>
        <v>0</v>
      </c>
    </row>
    <row r="318" spans="1:33" ht="15" customHeight="1" x14ac:dyDescent="0.25">
      <c r="A318" s="12" t="str">
        <f>IF(Raw_Data!B321="","",Raw_Data!B321)</f>
        <v/>
      </c>
      <c r="B318" s="12">
        <f>IF(Raw_Data!X321&lt;&gt;"",Raw_Data!X321,Raw_Data!C321)</f>
        <v>0</v>
      </c>
      <c r="C318" s="12" t="str">
        <f>IF(Raw_Data!G321="","",Raw_Data!G321)</f>
        <v/>
      </c>
      <c r="D318" s="12" t="str">
        <f>IF(Raw_Data!H321="","",Raw_Data!H321)</f>
        <v/>
      </c>
      <c r="E318" s="12" t="str">
        <f>IF(Raw_Data!I321="","",Raw_Data!I321)</f>
        <v/>
      </c>
      <c r="F318" s="12" t="str">
        <f>IF(Raw_Data!J321="","",Raw_Data!J321)</f>
        <v/>
      </c>
      <c r="G318" s="12" t="str">
        <f>IF(Raw_Data!AH321&lt;&gt;"",Raw_Data!AH321,IF(Raw_Data!K321&lt;&gt;"",Raw_Data!K321,""))</f>
        <v/>
      </c>
      <c r="H318" s="12" t="str">
        <f>IF(Raw_Data!AI321&lt;&gt;"",Raw_Data!AI321,IF(Raw_Data!L321&lt;&gt;"",Raw_Data!L321,""))</f>
        <v/>
      </c>
      <c r="I318" s="12" t="str">
        <f t="shared" si="36"/>
        <v/>
      </c>
      <c r="J318" s="12" t="str">
        <f>IF(Raw_Data!M321="","",Raw_Data!M321)</f>
        <v/>
      </c>
      <c r="K318" s="12">
        <f>IF(Raw_Data!AJ321&lt;&gt;"",Raw_Data!AJ321,Raw_Data!N321)</f>
        <v>0</v>
      </c>
      <c r="L318" s="12">
        <f t="shared" si="37"/>
        <v>1</v>
      </c>
      <c r="M318" s="12" t="str">
        <f>IF(Raw_Data!AK321="","",Raw_Data!AK321)</f>
        <v/>
      </c>
      <c r="N318" s="12" t="str">
        <f>IF(Raw_Data!T321="","",Raw_Data!T321)</f>
        <v/>
      </c>
      <c r="O318" s="12" t="str">
        <f>IF(Raw_Data!AB321&lt;&gt;"",Raw_Data!AB321,IF(N318="tres_insatisfait",1,IF(N318="insatisfait",2,IF(N318="neutre",3,IF(N318="satisfait",4,IF(N318="tres_satisfait",5,""))))))</f>
        <v/>
      </c>
      <c r="P318" s="12">
        <f>IF(Raw_Data!AL321&lt;&gt;"",Raw_Data!AL321,Raw_Data!R321)</f>
        <v>0</v>
      </c>
      <c r="Q318" s="12">
        <f t="shared" si="38"/>
        <v>0</v>
      </c>
      <c r="R318" s="12" t="str">
        <f>IF(Raw_Data!AM321="","",Raw_Data!AM321)</f>
        <v/>
      </c>
      <c r="S318" s="12" t="str">
        <f t="shared" si="39"/>
        <v/>
      </c>
      <c r="T318" s="12" t="str">
        <f>IF(Raw_Data!AN321="","",Raw_Data!AN321)</f>
        <v/>
      </c>
      <c r="U318" s="12" t="str">
        <f t="shared" si="40"/>
        <v/>
      </c>
      <c r="V318" s="12" t="str">
        <f>IF(Raw_Data!AP321="","",IF(Raw_Data!AP321="oui",1,0))</f>
        <v/>
      </c>
      <c r="W318" s="12" t="str">
        <f>IF(Raw_Data!AQ321="","",IF(Raw_Data!AQ321="oui",1,0))</f>
        <v/>
      </c>
      <c r="X318" s="12" t="str">
        <f>IF(Raw_Data!AR321="","",IF(Raw_Data!AR321="oui",1,0))</f>
        <v/>
      </c>
      <c r="Y318" s="12" t="str">
        <f>IF(Raw_Data!AS321="","",IF(Raw_Data!AS321="oui",1,0))</f>
        <v/>
      </c>
      <c r="Z318" s="12" t="str">
        <f>IF(Raw_Data!V321="","",IF(Raw_Data!V321="oui",1,0))</f>
        <v/>
      </c>
      <c r="AA318" s="12" t="str">
        <f>IF(Raw_Data!W321="","",IF(Raw_Data!W321="oui",1,0))</f>
        <v/>
      </c>
      <c r="AB318" s="12" t="str">
        <f>IF(Raw_Data!Q321="","",IF(Raw_Data!Q321="oui",1,0))</f>
        <v/>
      </c>
      <c r="AC318" s="12">
        <f>Raw_Data!AF321</f>
        <v>0</v>
      </c>
      <c r="AD318" s="12" t="str">
        <f t="shared" si="41"/>
        <v/>
      </c>
      <c r="AE318" s="12" t="str">
        <f t="shared" si="42"/>
        <v/>
      </c>
      <c r="AF318" s="12" t="str">
        <f t="shared" si="43"/>
        <v/>
      </c>
      <c r="AG318" s="12">
        <f t="shared" si="44"/>
        <v>0</v>
      </c>
    </row>
    <row r="319" spans="1:33" ht="15" customHeight="1" x14ac:dyDescent="0.25">
      <c r="A319" s="12" t="str">
        <f>IF(Raw_Data!B322="","",Raw_Data!B322)</f>
        <v/>
      </c>
      <c r="B319" s="12">
        <f>IF(Raw_Data!X322&lt;&gt;"",Raw_Data!X322,Raw_Data!C322)</f>
        <v>0</v>
      </c>
      <c r="C319" s="12" t="str">
        <f>IF(Raw_Data!G322="","",Raw_Data!G322)</f>
        <v/>
      </c>
      <c r="D319" s="12" t="str">
        <f>IF(Raw_Data!H322="","",Raw_Data!H322)</f>
        <v/>
      </c>
      <c r="E319" s="12" t="str">
        <f>IF(Raw_Data!I322="","",Raw_Data!I322)</f>
        <v/>
      </c>
      <c r="F319" s="12" t="str">
        <f>IF(Raw_Data!J322="","",Raw_Data!J322)</f>
        <v/>
      </c>
      <c r="G319" s="12" t="str">
        <f>IF(Raw_Data!AH322&lt;&gt;"",Raw_Data!AH322,IF(Raw_Data!K322&lt;&gt;"",Raw_Data!K322,""))</f>
        <v/>
      </c>
      <c r="H319" s="12" t="str">
        <f>IF(Raw_Data!AI322&lt;&gt;"",Raw_Data!AI322,IF(Raw_Data!L322&lt;&gt;"",Raw_Data!L322,""))</f>
        <v/>
      </c>
      <c r="I319" s="12" t="str">
        <f t="shared" si="36"/>
        <v/>
      </c>
      <c r="J319" s="12" t="str">
        <f>IF(Raw_Data!M322="","",Raw_Data!M322)</f>
        <v/>
      </c>
      <c r="K319" s="12">
        <f>IF(Raw_Data!AJ322&lt;&gt;"",Raw_Data!AJ322,Raw_Data!N322)</f>
        <v>0</v>
      </c>
      <c r="L319" s="12">
        <f t="shared" si="37"/>
        <v>1</v>
      </c>
      <c r="M319" s="12" t="str">
        <f>IF(Raw_Data!AK322="","",Raw_Data!AK322)</f>
        <v/>
      </c>
      <c r="N319" s="12" t="str">
        <f>IF(Raw_Data!T322="","",Raw_Data!T322)</f>
        <v/>
      </c>
      <c r="O319" s="12" t="str">
        <f>IF(Raw_Data!AB322&lt;&gt;"",Raw_Data!AB322,IF(N319="tres_insatisfait",1,IF(N319="insatisfait",2,IF(N319="neutre",3,IF(N319="satisfait",4,IF(N319="tres_satisfait",5,""))))))</f>
        <v/>
      </c>
      <c r="P319" s="12">
        <f>IF(Raw_Data!AL322&lt;&gt;"",Raw_Data!AL322,Raw_Data!R322)</f>
        <v>0</v>
      </c>
      <c r="Q319" s="12">
        <f t="shared" si="38"/>
        <v>0</v>
      </c>
      <c r="R319" s="12" t="str">
        <f>IF(Raw_Data!AM322="","",Raw_Data!AM322)</f>
        <v/>
      </c>
      <c r="S319" s="12" t="str">
        <f t="shared" si="39"/>
        <v/>
      </c>
      <c r="T319" s="12" t="str">
        <f>IF(Raw_Data!AN322="","",Raw_Data!AN322)</f>
        <v/>
      </c>
      <c r="U319" s="12" t="str">
        <f t="shared" si="40"/>
        <v/>
      </c>
      <c r="V319" s="12" t="str">
        <f>IF(Raw_Data!AP322="","",IF(Raw_Data!AP322="oui",1,0))</f>
        <v/>
      </c>
      <c r="W319" s="12" t="str">
        <f>IF(Raw_Data!AQ322="","",IF(Raw_Data!AQ322="oui",1,0))</f>
        <v/>
      </c>
      <c r="X319" s="12" t="str">
        <f>IF(Raw_Data!AR322="","",IF(Raw_Data!AR322="oui",1,0))</f>
        <v/>
      </c>
      <c r="Y319" s="12" t="str">
        <f>IF(Raw_Data!AS322="","",IF(Raw_Data!AS322="oui",1,0))</f>
        <v/>
      </c>
      <c r="Z319" s="12" t="str">
        <f>IF(Raw_Data!V322="","",IF(Raw_Data!V322="oui",1,0))</f>
        <v/>
      </c>
      <c r="AA319" s="12" t="str">
        <f>IF(Raw_Data!W322="","",IF(Raw_Data!W322="oui",1,0))</f>
        <v/>
      </c>
      <c r="AB319" s="12" t="str">
        <f>IF(Raw_Data!Q322="","",IF(Raw_Data!Q322="oui",1,0))</f>
        <v/>
      </c>
      <c r="AC319" s="12">
        <f>Raw_Data!AF322</f>
        <v>0</v>
      </c>
      <c r="AD319" s="12" t="str">
        <f t="shared" si="41"/>
        <v/>
      </c>
      <c r="AE319" s="12" t="str">
        <f t="shared" si="42"/>
        <v/>
      </c>
      <c r="AF319" s="12" t="str">
        <f t="shared" si="43"/>
        <v/>
      </c>
      <c r="AG319" s="12">
        <f t="shared" si="44"/>
        <v>0</v>
      </c>
    </row>
    <row r="320" spans="1:33" ht="15" customHeight="1" x14ac:dyDescent="0.25">
      <c r="A320" s="12" t="str">
        <f>IF(Raw_Data!B323="","",Raw_Data!B323)</f>
        <v/>
      </c>
      <c r="B320" s="12">
        <f>IF(Raw_Data!X323&lt;&gt;"",Raw_Data!X323,Raw_Data!C323)</f>
        <v>0</v>
      </c>
      <c r="C320" s="12" t="str">
        <f>IF(Raw_Data!G323="","",Raw_Data!G323)</f>
        <v/>
      </c>
      <c r="D320" s="12" t="str">
        <f>IF(Raw_Data!H323="","",Raw_Data!H323)</f>
        <v/>
      </c>
      <c r="E320" s="12" t="str">
        <f>IF(Raw_Data!I323="","",Raw_Data!I323)</f>
        <v/>
      </c>
      <c r="F320" s="12" t="str">
        <f>IF(Raw_Data!J323="","",Raw_Data!J323)</f>
        <v/>
      </c>
      <c r="G320" s="12" t="str">
        <f>IF(Raw_Data!AH323&lt;&gt;"",Raw_Data!AH323,IF(Raw_Data!K323&lt;&gt;"",Raw_Data!K323,""))</f>
        <v/>
      </c>
      <c r="H320" s="12" t="str">
        <f>IF(Raw_Data!AI323&lt;&gt;"",Raw_Data!AI323,IF(Raw_Data!L323&lt;&gt;"",Raw_Data!L323,""))</f>
        <v/>
      </c>
      <c r="I320" s="12" t="str">
        <f t="shared" si="36"/>
        <v/>
      </c>
      <c r="J320" s="12" t="str">
        <f>IF(Raw_Data!M323="","",Raw_Data!M323)</f>
        <v/>
      </c>
      <c r="K320" s="12">
        <f>IF(Raw_Data!AJ323&lt;&gt;"",Raw_Data!AJ323,Raw_Data!N323)</f>
        <v>0</v>
      </c>
      <c r="L320" s="12">
        <f t="shared" si="37"/>
        <v>1</v>
      </c>
      <c r="M320" s="12" t="str">
        <f>IF(Raw_Data!AK323="","",Raw_Data!AK323)</f>
        <v/>
      </c>
      <c r="N320" s="12" t="str">
        <f>IF(Raw_Data!T323="","",Raw_Data!T323)</f>
        <v/>
      </c>
      <c r="O320" s="12" t="str">
        <f>IF(Raw_Data!AB323&lt;&gt;"",Raw_Data!AB323,IF(N320="tres_insatisfait",1,IF(N320="insatisfait",2,IF(N320="neutre",3,IF(N320="satisfait",4,IF(N320="tres_satisfait",5,""))))))</f>
        <v/>
      </c>
      <c r="P320" s="12">
        <f>IF(Raw_Data!AL323&lt;&gt;"",Raw_Data!AL323,Raw_Data!R323)</f>
        <v>0</v>
      </c>
      <c r="Q320" s="12">
        <f t="shared" si="38"/>
        <v>0</v>
      </c>
      <c r="R320" s="12" t="str">
        <f>IF(Raw_Data!AM323="","",Raw_Data!AM323)</f>
        <v/>
      </c>
      <c r="S320" s="12" t="str">
        <f t="shared" si="39"/>
        <v/>
      </c>
      <c r="T320" s="12" t="str">
        <f>IF(Raw_Data!AN323="","",Raw_Data!AN323)</f>
        <v/>
      </c>
      <c r="U320" s="12" t="str">
        <f t="shared" si="40"/>
        <v/>
      </c>
      <c r="V320" s="12" t="str">
        <f>IF(Raw_Data!AP323="","",IF(Raw_Data!AP323="oui",1,0))</f>
        <v/>
      </c>
      <c r="W320" s="12" t="str">
        <f>IF(Raw_Data!AQ323="","",IF(Raw_Data!AQ323="oui",1,0))</f>
        <v/>
      </c>
      <c r="X320" s="12" t="str">
        <f>IF(Raw_Data!AR323="","",IF(Raw_Data!AR323="oui",1,0))</f>
        <v/>
      </c>
      <c r="Y320" s="12" t="str">
        <f>IF(Raw_Data!AS323="","",IF(Raw_Data!AS323="oui",1,0))</f>
        <v/>
      </c>
      <c r="Z320" s="12" t="str">
        <f>IF(Raw_Data!V323="","",IF(Raw_Data!V323="oui",1,0))</f>
        <v/>
      </c>
      <c r="AA320" s="12" t="str">
        <f>IF(Raw_Data!W323="","",IF(Raw_Data!W323="oui",1,0))</f>
        <v/>
      </c>
      <c r="AB320" s="12" t="str">
        <f>IF(Raw_Data!Q323="","",IF(Raw_Data!Q323="oui",1,0))</f>
        <v/>
      </c>
      <c r="AC320" s="12">
        <f>Raw_Data!AF323</f>
        <v>0</v>
      </c>
      <c r="AD320" s="12" t="str">
        <f t="shared" si="41"/>
        <v/>
      </c>
      <c r="AE320" s="12" t="str">
        <f t="shared" si="42"/>
        <v/>
      </c>
      <c r="AF320" s="12" t="str">
        <f t="shared" si="43"/>
        <v/>
      </c>
      <c r="AG320" s="12">
        <f t="shared" si="44"/>
        <v>0</v>
      </c>
    </row>
    <row r="321" spans="1:33" ht="15" customHeight="1" x14ac:dyDescent="0.25">
      <c r="A321" s="12" t="str">
        <f>IF(Raw_Data!B324="","",Raw_Data!B324)</f>
        <v/>
      </c>
      <c r="B321" s="12">
        <f>IF(Raw_Data!X324&lt;&gt;"",Raw_Data!X324,Raw_Data!C324)</f>
        <v>0</v>
      </c>
      <c r="C321" s="12" t="str">
        <f>IF(Raw_Data!G324="","",Raw_Data!G324)</f>
        <v/>
      </c>
      <c r="D321" s="12" t="str">
        <f>IF(Raw_Data!H324="","",Raw_Data!H324)</f>
        <v/>
      </c>
      <c r="E321" s="12" t="str">
        <f>IF(Raw_Data!I324="","",Raw_Data!I324)</f>
        <v/>
      </c>
      <c r="F321" s="12" t="str">
        <f>IF(Raw_Data!J324="","",Raw_Data!J324)</f>
        <v/>
      </c>
      <c r="G321" s="12" t="str">
        <f>IF(Raw_Data!AH324&lt;&gt;"",Raw_Data!AH324,IF(Raw_Data!K324&lt;&gt;"",Raw_Data!K324,""))</f>
        <v/>
      </c>
      <c r="H321" s="12" t="str">
        <f>IF(Raw_Data!AI324&lt;&gt;"",Raw_Data!AI324,IF(Raw_Data!L324&lt;&gt;"",Raw_Data!L324,""))</f>
        <v/>
      </c>
      <c r="I321" s="12" t="str">
        <f t="shared" si="36"/>
        <v/>
      </c>
      <c r="J321" s="12" t="str">
        <f>IF(Raw_Data!M324="","",Raw_Data!M324)</f>
        <v/>
      </c>
      <c r="K321" s="12">
        <f>IF(Raw_Data!AJ324&lt;&gt;"",Raw_Data!AJ324,Raw_Data!N324)</f>
        <v>0</v>
      </c>
      <c r="L321" s="12">
        <f t="shared" si="37"/>
        <v>1</v>
      </c>
      <c r="M321" s="12" t="str">
        <f>IF(Raw_Data!AK324="","",Raw_Data!AK324)</f>
        <v/>
      </c>
      <c r="N321" s="12" t="str">
        <f>IF(Raw_Data!T324="","",Raw_Data!T324)</f>
        <v/>
      </c>
      <c r="O321" s="12" t="str">
        <f>IF(Raw_Data!AB324&lt;&gt;"",Raw_Data!AB324,IF(N321="tres_insatisfait",1,IF(N321="insatisfait",2,IF(N321="neutre",3,IF(N321="satisfait",4,IF(N321="tres_satisfait",5,""))))))</f>
        <v/>
      </c>
      <c r="P321" s="12">
        <f>IF(Raw_Data!AL324&lt;&gt;"",Raw_Data!AL324,Raw_Data!R324)</f>
        <v>0</v>
      </c>
      <c r="Q321" s="12">
        <f t="shared" si="38"/>
        <v>0</v>
      </c>
      <c r="R321" s="12" t="str">
        <f>IF(Raw_Data!AM324="","",Raw_Data!AM324)</f>
        <v/>
      </c>
      <c r="S321" s="12" t="str">
        <f t="shared" si="39"/>
        <v/>
      </c>
      <c r="T321" s="12" t="str">
        <f>IF(Raw_Data!AN324="","",Raw_Data!AN324)</f>
        <v/>
      </c>
      <c r="U321" s="12" t="str">
        <f t="shared" si="40"/>
        <v/>
      </c>
      <c r="V321" s="12" t="str">
        <f>IF(Raw_Data!AP324="","",IF(Raw_Data!AP324="oui",1,0))</f>
        <v/>
      </c>
      <c r="W321" s="12" t="str">
        <f>IF(Raw_Data!AQ324="","",IF(Raw_Data!AQ324="oui",1,0))</f>
        <v/>
      </c>
      <c r="X321" s="12" t="str">
        <f>IF(Raw_Data!AR324="","",IF(Raw_Data!AR324="oui",1,0))</f>
        <v/>
      </c>
      <c r="Y321" s="12" t="str">
        <f>IF(Raw_Data!AS324="","",IF(Raw_Data!AS324="oui",1,0))</f>
        <v/>
      </c>
      <c r="Z321" s="12" t="str">
        <f>IF(Raw_Data!V324="","",IF(Raw_Data!V324="oui",1,0))</f>
        <v/>
      </c>
      <c r="AA321" s="12" t="str">
        <f>IF(Raw_Data!W324="","",IF(Raw_Data!W324="oui",1,0))</f>
        <v/>
      </c>
      <c r="AB321" s="12" t="str">
        <f>IF(Raw_Data!Q324="","",IF(Raw_Data!Q324="oui",1,0))</f>
        <v/>
      </c>
      <c r="AC321" s="12">
        <f>Raw_Data!AF324</f>
        <v>0</v>
      </c>
      <c r="AD321" s="12" t="str">
        <f t="shared" si="41"/>
        <v/>
      </c>
      <c r="AE321" s="12" t="str">
        <f t="shared" si="42"/>
        <v/>
      </c>
      <c r="AF321" s="12" t="str">
        <f t="shared" si="43"/>
        <v/>
      </c>
      <c r="AG321" s="12">
        <f t="shared" si="44"/>
        <v>0</v>
      </c>
    </row>
    <row r="322" spans="1:33" ht="15" customHeight="1" x14ac:dyDescent="0.25">
      <c r="A322" s="12" t="str">
        <f>IF(Raw_Data!B325="","",Raw_Data!B325)</f>
        <v/>
      </c>
      <c r="B322" s="12">
        <f>IF(Raw_Data!X325&lt;&gt;"",Raw_Data!X325,Raw_Data!C325)</f>
        <v>0</v>
      </c>
      <c r="C322" s="12" t="str">
        <f>IF(Raw_Data!G325="","",Raw_Data!G325)</f>
        <v/>
      </c>
      <c r="D322" s="12" t="str">
        <f>IF(Raw_Data!H325="","",Raw_Data!H325)</f>
        <v/>
      </c>
      <c r="E322" s="12" t="str">
        <f>IF(Raw_Data!I325="","",Raw_Data!I325)</f>
        <v/>
      </c>
      <c r="F322" s="12" t="str">
        <f>IF(Raw_Data!J325="","",Raw_Data!J325)</f>
        <v/>
      </c>
      <c r="G322" s="12" t="str">
        <f>IF(Raw_Data!AH325&lt;&gt;"",Raw_Data!AH325,IF(Raw_Data!K325&lt;&gt;"",Raw_Data!K325,""))</f>
        <v/>
      </c>
      <c r="H322" s="12" t="str">
        <f>IF(Raw_Data!AI325&lt;&gt;"",Raw_Data!AI325,IF(Raw_Data!L325&lt;&gt;"",Raw_Data!L325,""))</f>
        <v/>
      </c>
      <c r="I322" s="12" t="str">
        <f t="shared" ref="I322:I385" si="45">IF(H322="","",IF(H322&lt;18,"&lt;18 ans",IF(H322&lt;60,"18-59 ans","60 ans et +")))</f>
        <v/>
      </c>
      <c r="J322" s="12" t="str">
        <f>IF(Raw_Data!M325="","",Raw_Data!M325)</f>
        <v/>
      </c>
      <c r="K322" s="12">
        <f>IF(Raw_Data!AJ325&lt;&gt;"",Raw_Data!AJ325,Raw_Data!N325)</f>
        <v>0</v>
      </c>
      <c r="L322" s="12">
        <f t="shared" ref="L322:L385" si="46">IF(K322="",0,1)</f>
        <v>1</v>
      </c>
      <c r="M322" s="12" t="str">
        <f>IF(Raw_Data!AK325="","",Raw_Data!AK325)</f>
        <v/>
      </c>
      <c r="N322" s="12" t="str">
        <f>IF(Raw_Data!T325="","",Raw_Data!T325)</f>
        <v/>
      </c>
      <c r="O322" s="12" t="str">
        <f>IF(Raw_Data!AB325&lt;&gt;"",Raw_Data!AB325,IF(N322="tres_insatisfait",1,IF(N322="insatisfait",2,IF(N322="neutre",3,IF(N322="satisfait",4,IF(N322="tres_satisfait",5,""))))))</f>
        <v/>
      </c>
      <c r="P322" s="12">
        <f>IF(Raw_Data!AL325&lt;&gt;"",Raw_Data!AL325,Raw_Data!R325)</f>
        <v>0</v>
      </c>
      <c r="Q322" s="12">
        <f t="shared" ref="Q322:Q385" si="47">IF(P322="","",IF(P322="oui",1,0))</f>
        <v>0</v>
      </c>
      <c r="R322" s="12" t="str">
        <f>IF(Raw_Data!AM325="","",Raw_Data!AM325)</f>
        <v/>
      </c>
      <c r="S322" s="12" t="str">
        <f t="shared" ref="S322:S385" si="48">IF(R322="","",IF(R322="oui",1,0))</f>
        <v/>
      </c>
      <c r="T322" s="12" t="str">
        <f>IF(Raw_Data!AN325="","",Raw_Data!AN325)</f>
        <v/>
      </c>
      <c r="U322" s="12" t="str">
        <f t="shared" ref="U322:U385" si="49">IF(T322="","",IF(T322="oui",1,0))</f>
        <v/>
      </c>
      <c r="V322" s="12" t="str">
        <f>IF(Raw_Data!AP325="","",IF(Raw_Data!AP325="oui",1,0))</f>
        <v/>
      </c>
      <c r="W322" s="12" t="str">
        <f>IF(Raw_Data!AQ325="","",IF(Raw_Data!AQ325="oui",1,0))</f>
        <v/>
      </c>
      <c r="X322" s="12" t="str">
        <f>IF(Raw_Data!AR325="","",IF(Raw_Data!AR325="oui",1,0))</f>
        <v/>
      </c>
      <c r="Y322" s="12" t="str">
        <f>IF(Raw_Data!AS325="","",IF(Raw_Data!AS325="oui",1,0))</f>
        <v/>
      </c>
      <c r="Z322" s="12" t="str">
        <f>IF(Raw_Data!V325="","",IF(Raw_Data!V325="oui",1,0))</f>
        <v/>
      </c>
      <c r="AA322" s="12" t="str">
        <f>IF(Raw_Data!W325="","",IF(Raw_Data!W325="oui",1,0))</f>
        <v/>
      </c>
      <c r="AB322" s="12" t="str">
        <f>IF(Raw_Data!Q325="","",IF(Raw_Data!Q325="oui",1,0))</f>
        <v/>
      </c>
      <c r="AC322" s="12">
        <f>Raw_Data!AF325</f>
        <v>0</v>
      </c>
      <c r="AD322" s="12" t="str">
        <f t="shared" ref="AD322:AD385" si="50">IF(A322="","",F322&amp;"|"&amp;E322&amp;"|"&amp;TEXT(B322,"YYYY-MM-DD"))</f>
        <v/>
      </c>
      <c r="AE322" s="12" t="str">
        <f t="shared" ref="AE322:AE385" si="51">IF(AD322="","",IF(COUNTIF($AD$2:$AD$1000,AD322)&gt;1,1,0))</f>
        <v/>
      </c>
      <c r="AF322" s="12" t="str">
        <f t="shared" ref="AF322:AF385" si="52">IF(A322="","",IF(OR(C322="",D322="",G322="",H322="",N322=""),1,0))</f>
        <v/>
      </c>
      <c r="AG322" s="12">
        <f t="shared" ref="AG322:AG385" si="53">IF(A322="",0,1)</f>
        <v>0</v>
      </c>
    </row>
    <row r="323" spans="1:33" ht="15" customHeight="1" x14ac:dyDescent="0.25">
      <c r="A323" s="12" t="str">
        <f>IF(Raw_Data!B326="","",Raw_Data!B326)</f>
        <v/>
      </c>
      <c r="B323" s="12">
        <f>IF(Raw_Data!X326&lt;&gt;"",Raw_Data!X326,Raw_Data!C326)</f>
        <v>0</v>
      </c>
      <c r="C323" s="12" t="str">
        <f>IF(Raw_Data!G326="","",Raw_Data!G326)</f>
        <v/>
      </c>
      <c r="D323" s="12" t="str">
        <f>IF(Raw_Data!H326="","",Raw_Data!H326)</f>
        <v/>
      </c>
      <c r="E323" s="12" t="str">
        <f>IF(Raw_Data!I326="","",Raw_Data!I326)</f>
        <v/>
      </c>
      <c r="F323" s="12" t="str">
        <f>IF(Raw_Data!J326="","",Raw_Data!J326)</f>
        <v/>
      </c>
      <c r="G323" s="12" t="str">
        <f>IF(Raw_Data!AH326&lt;&gt;"",Raw_Data!AH326,IF(Raw_Data!K326&lt;&gt;"",Raw_Data!K326,""))</f>
        <v/>
      </c>
      <c r="H323" s="12" t="str">
        <f>IF(Raw_Data!AI326&lt;&gt;"",Raw_Data!AI326,IF(Raw_Data!L326&lt;&gt;"",Raw_Data!L326,""))</f>
        <v/>
      </c>
      <c r="I323" s="12" t="str">
        <f t="shared" si="45"/>
        <v/>
      </c>
      <c r="J323" s="12" t="str">
        <f>IF(Raw_Data!M326="","",Raw_Data!M326)</f>
        <v/>
      </c>
      <c r="K323" s="12">
        <f>IF(Raw_Data!AJ326&lt;&gt;"",Raw_Data!AJ326,Raw_Data!N326)</f>
        <v>0</v>
      </c>
      <c r="L323" s="12">
        <f t="shared" si="46"/>
        <v>1</v>
      </c>
      <c r="M323" s="12" t="str">
        <f>IF(Raw_Data!AK326="","",Raw_Data!AK326)</f>
        <v/>
      </c>
      <c r="N323" s="12" t="str">
        <f>IF(Raw_Data!T326="","",Raw_Data!T326)</f>
        <v/>
      </c>
      <c r="O323" s="12" t="str">
        <f>IF(Raw_Data!AB326&lt;&gt;"",Raw_Data!AB326,IF(N323="tres_insatisfait",1,IF(N323="insatisfait",2,IF(N323="neutre",3,IF(N323="satisfait",4,IF(N323="tres_satisfait",5,""))))))</f>
        <v/>
      </c>
      <c r="P323" s="12">
        <f>IF(Raw_Data!AL326&lt;&gt;"",Raw_Data!AL326,Raw_Data!R326)</f>
        <v>0</v>
      </c>
      <c r="Q323" s="12">
        <f t="shared" si="47"/>
        <v>0</v>
      </c>
      <c r="R323" s="12" t="str">
        <f>IF(Raw_Data!AM326="","",Raw_Data!AM326)</f>
        <v/>
      </c>
      <c r="S323" s="12" t="str">
        <f t="shared" si="48"/>
        <v/>
      </c>
      <c r="T323" s="12" t="str">
        <f>IF(Raw_Data!AN326="","",Raw_Data!AN326)</f>
        <v/>
      </c>
      <c r="U323" s="12" t="str">
        <f t="shared" si="49"/>
        <v/>
      </c>
      <c r="V323" s="12" t="str">
        <f>IF(Raw_Data!AP326="","",IF(Raw_Data!AP326="oui",1,0))</f>
        <v/>
      </c>
      <c r="W323" s="12" t="str">
        <f>IF(Raw_Data!AQ326="","",IF(Raw_Data!AQ326="oui",1,0))</f>
        <v/>
      </c>
      <c r="X323" s="12" t="str">
        <f>IF(Raw_Data!AR326="","",IF(Raw_Data!AR326="oui",1,0))</f>
        <v/>
      </c>
      <c r="Y323" s="12" t="str">
        <f>IF(Raw_Data!AS326="","",IF(Raw_Data!AS326="oui",1,0))</f>
        <v/>
      </c>
      <c r="Z323" s="12" t="str">
        <f>IF(Raw_Data!V326="","",IF(Raw_Data!V326="oui",1,0))</f>
        <v/>
      </c>
      <c r="AA323" s="12" t="str">
        <f>IF(Raw_Data!W326="","",IF(Raw_Data!W326="oui",1,0))</f>
        <v/>
      </c>
      <c r="AB323" s="12" t="str">
        <f>IF(Raw_Data!Q326="","",IF(Raw_Data!Q326="oui",1,0))</f>
        <v/>
      </c>
      <c r="AC323" s="12">
        <f>Raw_Data!AF326</f>
        <v>0</v>
      </c>
      <c r="AD323" s="12" t="str">
        <f t="shared" si="50"/>
        <v/>
      </c>
      <c r="AE323" s="12" t="str">
        <f t="shared" si="51"/>
        <v/>
      </c>
      <c r="AF323" s="12" t="str">
        <f t="shared" si="52"/>
        <v/>
      </c>
      <c r="AG323" s="12">
        <f t="shared" si="53"/>
        <v>0</v>
      </c>
    </row>
    <row r="324" spans="1:33" ht="15" customHeight="1" x14ac:dyDescent="0.25">
      <c r="A324" s="12" t="str">
        <f>IF(Raw_Data!B327="","",Raw_Data!B327)</f>
        <v/>
      </c>
      <c r="B324" s="12">
        <f>IF(Raw_Data!X327&lt;&gt;"",Raw_Data!X327,Raw_Data!C327)</f>
        <v>0</v>
      </c>
      <c r="C324" s="12" t="str">
        <f>IF(Raw_Data!G327="","",Raw_Data!G327)</f>
        <v/>
      </c>
      <c r="D324" s="12" t="str">
        <f>IF(Raw_Data!H327="","",Raw_Data!H327)</f>
        <v/>
      </c>
      <c r="E324" s="12" t="str">
        <f>IF(Raw_Data!I327="","",Raw_Data!I327)</f>
        <v/>
      </c>
      <c r="F324" s="12" t="str">
        <f>IF(Raw_Data!J327="","",Raw_Data!J327)</f>
        <v/>
      </c>
      <c r="G324" s="12" t="str">
        <f>IF(Raw_Data!AH327&lt;&gt;"",Raw_Data!AH327,IF(Raw_Data!K327&lt;&gt;"",Raw_Data!K327,""))</f>
        <v/>
      </c>
      <c r="H324" s="12" t="str">
        <f>IF(Raw_Data!AI327&lt;&gt;"",Raw_Data!AI327,IF(Raw_Data!L327&lt;&gt;"",Raw_Data!L327,""))</f>
        <v/>
      </c>
      <c r="I324" s="12" t="str">
        <f t="shared" si="45"/>
        <v/>
      </c>
      <c r="J324" s="12" t="str">
        <f>IF(Raw_Data!M327="","",Raw_Data!M327)</f>
        <v/>
      </c>
      <c r="K324" s="12">
        <f>IF(Raw_Data!AJ327&lt;&gt;"",Raw_Data!AJ327,Raw_Data!N327)</f>
        <v>0</v>
      </c>
      <c r="L324" s="12">
        <f t="shared" si="46"/>
        <v>1</v>
      </c>
      <c r="M324" s="12" t="str">
        <f>IF(Raw_Data!AK327="","",Raw_Data!AK327)</f>
        <v/>
      </c>
      <c r="N324" s="12" t="str">
        <f>IF(Raw_Data!T327="","",Raw_Data!T327)</f>
        <v/>
      </c>
      <c r="O324" s="12" t="str">
        <f>IF(Raw_Data!AB327&lt;&gt;"",Raw_Data!AB327,IF(N324="tres_insatisfait",1,IF(N324="insatisfait",2,IF(N324="neutre",3,IF(N324="satisfait",4,IF(N324="tres_satisfait",5,""))))))</f>
        <v/>
      </c>
      <c r="P324" s="12">
        <f>IF(Raw_Data!AL327&lt;&gt;"",Raw_Data!AL327,Raw_Data!R327)</f>
        <v>0</v>
      </c>
      <c r="Q324" s="12">
        <f t="shared" si="47"/>
        <v>0</v>
      </c>
      <c r="R324" s="12" t="str">
        <f>IF(Raw_Data!AM327="","",Raw_Data!AM327)</f>
        <v/>
      </c>
      <c r="S324" s="12" t="str">
        <f t="shared" si="48"/>
        <v/>
      </c>
      <c r="T324" s="12" t="str">
        <f>IF(Raw_Data!AN327="","",Raw_Data!AN327)</f>
        <v/>
      </c>
      <c r="U324" s="12" t="str">
        <f t="shared" si="49"/>
        <v/>
      </c>
      <c r="V324" s="12" t="str">
        <f>IF(Raw_Data!AP327="","",IF(Raw_Data!AP327="oui",1,0))</f>
        <v/>
      </c>
      <c r="W324" s="12" t="str">
        <f>IF(Raw_Data!AQ327="","",IF(Raw_Data!AQ327="oui",1,0))</f>
        <v/>
      </c>
      <c r="X324" s="12" t="str">
        <f>IF(Raw_Data!AR327="","",IF(Raw_Data!AR327="oui",1,0))</f>
        <v/>
      </c>
      <c r="Y324" s="12" t="str">
        <f>IF(Raw_Data!AS327="","",IF(Raw_Data!AS327="oui",1,0))</f>
        <v/>
      </c>
      <c r="Z324" s="12" t="str">
        <f>IF(Raw_Data!V327="","",IF(Raw_Data!V327="oui",1,0))</f>
        <v/>
      </c>
      <c r="AA324" s="12" t="str">
        <f>IF(Raw_Data!W327="","",IF(Raw_Data!W327="oui",1,0))</f>
        <v/>
      </c>
      <c r="AB324" s="12" t="str">
        <f>IF(Raw_Data!Q327="","",IF(Raw_Data!Q327="oui",1,0))</f>
        <v/>
      </c>
      <c r="AC324" s="12">
        <f>Raw_Data!AF327</f>
        <v>0</v>
      </c>
      <c r="AD324" s="12" t="str">
        <f t="shared" si="50"/>
        <v/>
      </c>
      <c r="AE324" s="12" t="str">
        <f t="shared" si="51"/>
        <v/>
      </c>
      <c r="AF324" s="12" t="str">
        <f t="shared" si="52"/>
        <v/>
      </c>
      <c r="AG324" s="12">
        <f t="shared" si="53"/>
        <v>0</v>
      </c>
    </row>
    <row r="325" spans="1:33" ht="15" customHeight="1" x14ac:dyDescent="0.25">
      <c r="A325" s="12" t="str">
        <f>IF(Raw_Data!B328="","",Raw_Data!B328)</f>
        <v/>
      </c>
      <c r="B325" s="12">
        <f>IF(Raw_Data!X328&lt;&gt;"",Raw_Data!X328,Raw_Data!C328)</f>
        <v>0</v>
      </c>
      <c r="C325" s="12" t="str">
        <f>IF(Raw_Data!G328="","",Raw_Data!G328)</f>
        <v/>
      </c>
      <c r="D325" s="12" t="str">
        <f>IF(Raw_Data!H328="","",Raw_Data!H328)</f>
        <v/>
      </c>
      <c r="E325" s="12" t="str">
        <f>IF(Raw_Data!I328="","",Raw_Data!I328)</f>
        <v/>
      </c>
      <c r="F325" s="12" t="str">
        <f>IF(Raw_Data!J328="","",Raw_Data!J328)</f>
        <v/>
      </c>
      <c r="G325" s="12" t="str">
        <f>IF(Raw_Data!AH328&lt;&gt;"",Raw_Data!AH328,IF(Raw_Data!K328&lt;&gt;"",Raw_Data!K328,""))</f>
        <v/>
      </c>
      <c r="H325" s="12" t="str">
        <f>IF(Raw_Data!AI328&lt;&gt;"",Raw_Data!AI328,IF(Raw_Data!L328&lt;&gt;"",Raw_Data!L328,""))</f>
        <v/>
      </c>
      <c r="I325" s="12" t="str">
        <f t="shared" si="45"/>
        <v/>
      </c>
      <c r="J325" s="12" t="str">
        <f>IF(Raw_Data!M328="","",Raw_Data!M328)</f>
        <v/>
      </c>
      <c r="K325" s="12">
        <f>IF(Raw_Data!AJ328&lt;&gt;"",Raw_Data!AJ328,Raw_Data!N328)</f>
        <v>0</v>
      </c>
      <c r="L325" s="12">
        <f t="shared" si="46"/>
        <v>1</v>
      </c>
      <c r="M325" s="12" t="str">
        <f>IF(Raw_Data!AK328="","",Raw_Data!AK328)</f>
        <v/>
      </c>
      <c r="N325" s="12" t="str">
        <f>IF(Raw_Data!T328="","",Raw_Data!T328)</f>
        <v/>
      </c>
      <c r="O325" s="12" t="str">
        <f>IF(Raw_Data!AB328&lt;&gt;"",Raw_Data!AB328,IF(N325="tres_insatisfait",1,IF(N325="insatisfait",2,IF(N325="neutre",3,IF(N325="satisfait",4,IF(N325="tres_satisfait",5,""))))))</f>
        <v/>
      </c>
      <c r="P325" s="12">
        <f>IF(Raw_Data!AL328&lt;&gt;"",Raw_Data!AL328,Raw_Data!R328)</f>
        <v>0</v>
      </c>
      <c r="Q325" s="12">
        <f t="shared" si="47"/>
        <v>0</v>
      </c>
      <c r="R325" s="12" t="str">
        <f>IF(Raw_Data!AM328="","",Raw_Data!AM328)</f>
        <v/>
      </c>
      <c r="S325" s="12" t="str">
        <f t="shared" si="48"/>
        <v/>
      </c>
      <c r="T325" s="12" t="str">
        <f>IF(Raw_Data!AN328="","",Raw_Data!AN328)</f>
        <v/>
      </c>
      <c r="U325" s="12" t="str">
        <f t="shared" si="49"/>
        <v/>
      </c>
      <c r="V325" s="12" t="str">
        <f>IF(Raw_Data!AP328="","",IF(Raw_Data!AP328="oui",1,0))</f>
        <v/>
      </c>
      <c r="W325" s="12" t="str">
        <f>IF(Raw_Data!AQ328="","",IF(Raw_Data!AQ328="oui",1,0))</f>
        <v/>
      </c>
      <c r="X325" s="12" t="str">
        <f>IF(Raw_Data!AR328="","",IF(Raw_Data!AR328="oui",1,0))</f>
        <v/>
      </c>
      <c r="Y325" s="12" t="str">
        <f>IF(Raw_Data!AS328="","",IF(Raw_Data!AS328="oui",1,0))</f>
        <v/>
      </c>
      <c r="Z325" s="12" t="str">
        <f>IF(Raw_Data!V328="","",IF(Raw_Data!V328="oui",1,0))</f>
        <v/>
      </c>
      <c r="AA325" s="12" t="str">
        <f>IF(Raw_Data!W328="","",IF(Raw_Data!W328="oui",1,0))</f>
        <v/>
      </c>
      <c r="AB325" s="12" t="str">
        <f>IF(Raw_Data!Q328="","",IF(Raw_Data!Q328="oui",1,0))</f>
        <v/>
      </c>
      <c r="AC325" s="12">
        <f>Raw_Data!AF328</f>
        <v>0</v>
      </c>
      <c r="AD325" s="12" t="str">
        <f t="shared" si="50"/>
        <v/>
      </c>
      <c r="AE325" s="12" t="str">
        <f t="shared" si="51"/>
        <v/>
      </c>
      <c r="AF325" s="12" t="str">
        <f t="shared" si="52"/>
        <v/>
      </c>
      <c r="AG325" s="12">
        <f t="shared" si="53"/>
        <v>0</v>
      </c>
    </row>
    <row r="326" spans="1:33" ht="15" customHeight="1" x14ac:dyDescent="0.25">
      <c r="A326" s="12" t="str">
        <f>IF(Raw_Data!B329="","",Raw_Data!B329)</f>
        <v/>
      </c>
      <c r="B326" s="12">
        <f>IF(Raw_Data!X329&lt;&gt;"",Raw_Data!X329,Raw_Data!C329)</f>
        <v>0</v>
      </c>
      <c r="C326" s="12" t="str">
        <f>IF(Raw_Data!G329="","",Raw_Data!G329)</f>
        <v/>
      </c>
      <c r="D326" s="12" t="str">
        <f>IF(Raw_Data!H329="","",Raw_Data!H329)</f>
        <v/>
      </c>
      <c r="E326" s="12" t="str">
        <f>IF(Raw_Data!I329="","",Raw_Data!I329)</f>
        <v/>
      </c>
      <c r="F326" s="12" t="str">
        <f>IF(Raw_Data!J329="","",Raw_Data!J329)</f>
        <v/>
      </c>
      <c r="G326" s="12" t="str">
        <f>IF(Raw_Data!AH329&lt;&gt;"",Raw_Data!AH329,IF(Raw_Data!K329&lt;&gt;"",Raw_Data!K329,""))</f>
        <v/>
      </c>
      <c r="H326" s="12" t="str">
        <f>IF(Raw_Data!AI329&lt;&gt;"",Raw_Data!AI329,IF(Raw_Data!L329&lt;&gt;"",Raw_Data!L329,""))</f>
        <v/>
      </c>
      <c r="I326" s="12" t="str">
        <f t="shared" si="45"/>
        <v/>
      </c>
      <c r="J326" s="12" t="str">
        <f>IF(Raw_Data!M329="","",Raw_Data!M329)</f>
        <v/>
      </c>
      <c r="K326" s="12">
        <f>IF(Raw_Data!AJ329&lt;&gt;"",Raw_Data!AJ329,Raw_Data!N329)</f>
        <v>0</v>
      </c>
      <c r="L326" s="12">
        <f t="shared" si="46"/>
        <v>1</v>
      </c>
      <c r="M326" s="12" t="str">
        <f>IF(Raw_Data!AK329="","",Raw_Data!AK329)</f>
        <v/>
      </c>
      <c r="N326" s="12" t="str">
        <f>IF(Raw_Data!T329="","",Raw_Data!T329)</f>
        <v/>
      </c>
      <c r="O326" s="12" t="str">
        <f>IF(Raw_Data!AB329&lt;&gt;"",Raw_Data!AB329,IF(N326="tres_insatisfait",1,IF(N326="insatisfait",2,IF(N326="neutre",3,IF(N326="satisfait",4,IF(N326="tres_satisfait",5,""))))))</f>
        <v/>
      </c>
      <c r="P326" s="12">
        <f>IF(Raw_Data!AL329&lt;&gt;"",Raw_Data!AL329,Raw_Data!R329)</f>
        <v>0</v>
      </c>
      <c r="Q326" s="12">
        <f t="shared" si="47"/>
        <v>0</v>
      </c>
      <c r="R326" s="12" t="str">
        <f>IF(Raw_Data!AM329="","",Raw_Data!AM329)</f>
        <v/>
      </c>
      <c r="S326" s="12" t="str">
        <f t="shared" si="48"/>
        <v/>
      </c>
      <c r="T326" s="12" t="str">
        <f>IF(Raw_Data!AN329="","",Raw_Data!AN329)</f>
        <v/>
      </c>
      <c r="U326" s="12" t="str">
        <f t="shared" si="49"/>
        <v/>
      </c>
      <c r="V326" s="12" t="str">
        <f>IF(Raw_Data!AP329="","",IF(Raw_Data!AP329="oui",1,0))</f>
        <v/>
      </c>
      <c r="W326" s="12" t="str">
        <f>IF(Raw_Data!AQ329="","",IF(Raw_Data!AQ329="oui",1,0))</f>
        <v/>
      </c>
      <c r="X326" s="12" t="str">
        <f>IF(Raw_Data!AR329="","",IF(Raw_Data!AR329="oui",1,0))</f>
        <v/>
      </c>
      <c r="Y326" s="12" t="str">
        <f>IF(Raw_Data!AS329="","",IF(Raw_Data!AS329="oui",1,0))</f>
        <v/>
      </c>
      <c r="Z326" s="12" t="str">
        <f>IF(Raw_Data!V329="","",IF(Raw_Data!V329="oui",1,0))</f>
        <v/>
      </c>
      <c r="AA326" s="12" t="str">
        <f>IF(Raw_Data!W329="","",IF(Raw_Data!W329="oui",1,0))</f>
        <v/>
      </c>
      <c r="AB326" s="12" t="str">
        <f>IF(Raw_Data!Q329="","",IF(Raw_Data!Q329="oui",1,0))</f>
        <v/>
      </c>
      <c r="AC326" s="12">
        <f>Raw_Data!AF329</f>
        <v>0</v>
      </c>
      <c r="AD326" s="12" t="str">
        <f t="shared" si="50"/>
        <v/>
      </c>
      <c r="AE326" s="12" t="str">
        <f t="shared" si="51"/>
        <v/>
      </c>
      <c r="AF326" s="12" t="str">
        <f t="shared" si="52"/>
        <v/>
      </c>
      <c r="AG326" s="12">
        <f t="shared" si="53"/>
        <v>0</v>
      </c>
    </row>
    <row r="327" spans="1:33" ht="15" customHeight="1" x14ac:dyDescent="0.25">
      <c r="A327" s="12" t="str">
        <f>IF(Raw_Data!B330="","",Raw_Data!B330)</f>
        <v/>
      </c>
      <c r="B327" s="12">
        <f>IF(Raw_Data!X330&lt;&gt;"",Raw_Data!X330,Raw_Data!C330)</f>
        <v>0</v>
      </c>
      <c r="C327" s="12" t="str">
        <f>IF(Raw_Data!G330="","",Raw_Data!G330)</f>
        <v/>
      </c>
      <c r="D327" s="12" t="str">
        <f>IF(Raw_Data!H330="","",Raw_Data!H330)</f>
        <v/>
      </c>
      <c r="E327" s="12" t="str">
        <f>IF(Raw_Data!I330="","",Raw_Data!I330)</f>
        <v/>
      </c>
      <c r="F327" s="12" t="str">
        <f>IF(Raw_Data!J330="","",Raw_Data!J330)</f>
        <v/>
      </c>
      <c r="G327" s="12" t="str">
        <f>IF(Raw_Data!AH330&lt;&gt;"",Raw_Data!AH330,IF(Raw_Data!K330&lt;&gt;"",Raw_Data!K330,""))</f>
        <v/>
      </c>
      <c r="H327" s="12" t="str">
        <f>IF(Raw_Data!AI330&lt;&gt;"",Raw_Data!AI330,IF(Raw_Data!L330&lt;&gt;"",Raw_Data!L330,""))</f>
        <v/>
      </c>
      <c r="I327" s="12" t="str">
        <f t="shared" si="45"/>
        <v/>
      </c>
      <c r="J327" s="12" t="str">
        <f>IF(Raw_Data!M330="","",Raw_Data!M330)</f>
        <v/>
      </c>
      <c r="K327" s="12">
        <f>IF(Raw_Data!AJ330&lt;&gt;"",Raw_Data!AJ330,Raw_Data!N330)</f>
        <v>0</v>
      </c>
      <c r="L327" s="12">
        <f t="shared" si="46"/>
        <v>1</v>
      </c>
      <c r="M327" s="12" t="str">
        <f>IF(Raw_Data!AK330="","",Raw_Data!AK330)</f>
        <v/>
      </c>
      <c r="N327" s="12" t="str">
        <f>IF(Raw_Data!T330="","",Raw_Data!T330)</f>
        <v/>
      </c>
      <c r="O327" s="12" t="str">
        <f>IF(Raw_Data!AB330&lt;&gt;"",Raw_Data!AB330,IF(N327="tres_insatisfait",1,IF(N327="insatisfait",2,IF(N327="neutre",3,IF(N327="satisfait",4,IF(N327="tres_satisfait",5,""))))))</f>
        <v/>
      </c>
      <c r="P327" s="12">
        <f>IF(Raw_Data!AL330&lt;&gt;"",Raw_Data!AL330,Raw_Data!R330)</f>
        <v>0</v>
      </c>
      <c r="Q327" s="12">
        <f t="shared" si="47"/>
        <v>0</v>
      </c>
      <c r="R327" s="12" t="str">
        <f>IF(Raw_Data!AM330="","",Raw_Data!AM330)</f>
        <v/>
      </c>
      <c r="S327" s="12" t="str">
        <f t="shared" si="48"/>
        <v/>
      </c>
      <c r="T327" s="12" t="str">
        <f>IF(Raw_Data!AN330="","",Raw_Data!AN330)</f>
        <v/>
      </c>
      <c r="U327" s="12" t="str">
        <f t="shared" si="49"/>
        <v/>
      </c>
      <c r="V327" s="12" t="str">
        <f>IF(Raw_Data!AP330="","",IF(Raw_Data!AP330="oui",1,0))</f>
        <v/>
      </c>
      <c r="W327" s="12" t="str">
        <f>IF(Raw_Data!AQ330="","",IF(Raw_Data!AQ330="oui",1,0))</f>
        <v/>
      </c>
      <c r="X327" s="12" t="str">
        <f>IF(Raw_Data!AR330="","",IF(Raw_Data!AR330="oui",1,0))</f>
        <v/>
      </c>
      <c r="Y327" s="12" t="str">
        <f>IF(Raw_Data!AS330="","",IF(Raw_Data!AS330="oui",1,0))</f>
        <v/>
      </c>
      <c r="Z327" s="12" t="str">
        <f>IF(Raw_Data!V330="","",IF(Raw_Data!V330="oui",1,0))</f>
        <v/>
      </c>
      <c r="AA327" s="12" t="str">
        <f>IF(Raw_Data!W330="","",IF(Raw_Data!W330="oui",1,0))</f>
        <v/>
      </c>
      <c r="AB327" s="12" t="str">
        <f>IF(Raw_Data!Q330="","",IF(Raw_Data!Q330="oui",1,0))</f>
        <v/>
      </c>
      <c r="AC327" s="12">
        <f>Raw_Data!AF330</f>
        <v>0</v>
      </c>
      <c r="AD327" s="12" t="str">
        <f t="shared" si="50"/>
        <v/>
      </c>
      <c r="AE327" s="12" t="str">
        <f t="shared" si="51"/>
        <v/>
      </c>
      <c r="AF327" s="12" t="str">
        <f t="shared" si="52"/>
        <v/>
      </c>
      <c r="AG327" s="12">
        <f t="shared" si="53"/>
        <v>0</v>
      </c>
    </row>
    <row r="328" spans="1:33" ht="15" customHeight="1" x14ac:dyDescent="0.25">
      <c r="A328" s="12" t="str">
        <f>IF(Raw_Data!B331="","",Raw_Data!B331)</f>
        <v/>
      </c>
      <c r="B328" s="12">
        <f>IF(Raw_Data!X331&lt;&gt;"",Raw_Data!X331,Raw_Data!C331)</f>
        <v>0</v>
      </c>
      <c r="C328" s="12" t="str">
        <f>IF(Raw_Data!G331="","",Raw_Data!G331)</f>
        <v/>
      </c>
      <c r="D328" s="12" t="str">
        <f>IF(Raw_Data!H331="","",Raw_Data!H331)</f>
        <v/>
      </c>
      <c r="E328" s="12" t="str">
        <f>IF(Raw_Data!I331="","",Raw_Data!I331)</f>
        <v/>
      </c>
      <c r="F328" s="12" t="str">
        <f>IF(Raw_Data!J331="","",Raw_Data!J331)</f>
        <v/>
      </c>
      <c r="G328" s="12" t="str">
        <f>IF(Raw_Data!AH331&lt;&gt;"",Raw_Data!AH331,IF(Raw_Data!K331&lt;&gt;"",Raw_Data!K331,""))</f>
        <v/>
      </c>
      <c r="H328" s="12" t="str">
        <f>IF(Raw_Data!AI331&lt;&gt;"",Raw_Data!AI331,IF(Raw_Data!L331&lt;&gt;"",Raw_Data!L331,""))</f>
        <v/>
      </c>
      <c r="I328" s="12" t="str">
        <f t="shared" si="45"/>
        <v/>
      </c>
      <c r="J328" s="12" t="str">
        <f>IF(Raw_Data!M331="","",Raw_Data!M331)</f>
        <v/>
      </c>
      <c r="K328" s="12">
        <f>IF(Raw_Data!AJ331&lt;&gt;"",Raw_Data!AJ331,Raw_Data!N331)</f>
        <v>0</v>
      </c>
      <c r="L328" s="12">
        <f t="shared" si="46"/>
        <v>1</v>
      </c>
      <c r="M328" s="12" t="str">
        <f>IF(Raw_Data!AK331="","",Raw_Data!AK331)</f>
        <v/>
      </c>
      <c r="N328" s="12" t="str">
        <f>IF(Raw_Data!T331="","",Raw_Data!T331)</f>
        <v/>
      </c>
      <c r="O328" s="12" t="str">
        <f>IF(Raw_Data!AB331&lt;&gt;"",Raw_Data!AB331,IF(N328="tres_insatisfait",1,IF(N328="insatisfait",2,IF(N328="neutre",3,IF(N328="satisfait",4,IF(N328="tres_satisfait",5,""))))))</f>
        <v/>
      </c>
      <c r="P328" s="12">
        <f>IF(Raw_Data!AL331&lt;&gt;"",Raw_Data!AL331,Raw_Data!R331)</f>
        <v>0</v>
      </c>
      <c r="Q328" s="12">
        <f t="shared" si="47"/>
        <v>0</v>
      </c>
      <c r="R328" s="12" t="str">
        <f>IF(Raw_Data!AM331="","",Raw_Data!AM331)</f>
        <v/>
      </c>
      <c r="S328" s="12" t="str">
        <f t="shared" si="48"/>
        <v/>
      </c>
      <c r="T328" s="12" t="str">
        <f>IF(Raw_Data!AN331="","",Raw_Data!AN331)</f>
        <v/>
      </c>
      <c r="U328" s="12" t="str">
        <f t="shared" si="49"/>
        <v/>
      </c>
      <c r="V328" s="12" t="str">
        <f>IF(Raw_Data!AP331="","",IF(Raw_Data!AP331="oui",1,0))</f>
        <v/>
      </c>
      <c r="W328" s="12" t="str">
        <f>IF(Raw_Data!AQ331="","",IF(Raw_Data!AQ331="oui",1,0))</f>
        <v/>
      </c>
      <c r="X328" s="12" t="str">
        <f>IF(Raw_Data!AR331="","",IF(Raw_Data!AR331="oui",1,0))</f>
        <v/>
      </c>
      <c r="Y328" s="12" t="str">
        <f>IF(Raw_Data!AS331="","",IF(Raw_Data!AS331="oui",1,0))</f>
        <v/>
      </c>
      <c r="Z328" s="12" t="str">
        <f>IF(Raw_Data!V331="","",IF(Raw_Data!V331="oui",1,0))</f>
        <v/>
      </c>
      <c r="AA328" s="12" t="str">
        <f>IF(Raw_Data!W331="","",IF(Raw_Data!W331="oui",1,0))</f>
        <v/>
      </c>
      <c r="AB328" s="12" t="str">
        <f>IF(Raw_Data!Q331="","",IF(Raw_Data!Q331="oui",1,0))</f>
        <v/>
      </c>
      <c r="AC328" s="12">
        <f>Raw_Data!AF331</f>
        <v>0</v>
      </c>
      <c r="AD328" s="12" t="str">
        <f t="shared" si="50"/>
        <v/>
      </c>
      <c r="AE328" s="12" t="str">
        <f t="shared" si="51"/>
        <v/>
      </c>
      <c r="AF328" s="12" t="str">
        <f t="shared" si="52"/>
        <v/>
      </c>
      <c r="AG328" s="12">
        <f t="shared" si="53"/>
        <v>0</v>
      </c>
    </row>
    <row r="329" spans="1:33" ht="15" customHeight="1" x14ac:dyDescent="0.25">
      <c r="A329" s="12" t="str">
        <f>IF(Raw_Data!B332="","",Raw_Data!B332)</f>
        <v/>
      </c>
      <c r="B329" s="12">
        <f>IF(Raw_Data!X332&lt;&gt;"",Raw_Data!X332,Raw_Data!C332)</f>
        <v>0</v>
      </c>
      <c r="C329" s="12" t="str">
        <f>IF(Raw_Data!G332="","",Raw_Data!G332)</f>
        <v/>
      </c>
      <c r="D329" s="12" t="str">
        <f>IF(Raw_Data!H332="","",Raw_Data!H332)</f>
        <v/>
      </c>
      <c r="E329" s="12" t="str">
        <f>IF(Raw_Data!I332="","",Raw_Data!I332)</f>
        <v/>
      </c>
      <c r="F329" s="12" t="str">
        <f>IF(Raw_Data!J332="","",Raw_Data!J332)</f>
        <v/>
      </c>
      <c r="G329" s="12" t="str">
        <f>IF(Raw_Data!AH332&lt;&gt;"",Raw_Data!AH332,IF(Raw_Data!K332&lt;&gt;"",Raw_Data!K332,""))</f>
        <v/>
      </c>
      <c r="H329" s="12" t="str">
        <f>IF(Raw_Data!AI332&lt;&gt;"",Raw_Data!AI332,IF(Raw_Data!L332&lt;&gt;"",Raw_Data!L332,""))</f>
        <v/>
      </c>
      <c r="I329" s="12" t="str">
        <f t="shared" si="45"/>
        <v/>
      </c>
      <c r="J329" s="12" t="str">
        <f>IF(Raw_Data!M332="","",Raw_Data!M332)</f>
        <v/>
      </c>
      <c r="K329" s="12">
        <f>IF(Raw_Data!AJ332&lt;&gt;"",Raw_Data!AJ332,Raw_Data!N332)</f>
        <v>0</v>
      </c>
      <c r="L329" s="12">
        <f t="shared" si="46"/>
        <v>1</v>
      </c>
      <c r="M329" s="12" t="str">
        <f>IF(Raw_Data!AK332="","",Raw_Data!AK332)</f>
        <v/>
      </c>
      <c r="N329" s="12" t="str">
        <f>IF(Raw_Data!T332="","",Raw_Data!T332)</f>
        <v/>
      </c>
      <c r="O329" s="12" t="str">
        <f>IF(Raw_Data!AB332&lt;&gt;"",Raw_Data!AB332,IF(N329="tres_insatisfait",1,IF(N329="insatisfait",2,IF(N329="neutre",3,IF(N329="satisfait",4,IF(N329="tres_satisfait",5,""))))))</f>
        <v/>
      </c>
      <c r="P329" s="12">
        <f>IF(Raw_Data!AL332&lt;&gt;"",Raw_Data!AL332,Raw_Data!R332)</f>
        <v>0</v>
      </c>
      <c r="Q329" s="12">
        <f t="shared" si="47"/>
        <v>0</v>
      </c>
      <c r="R329" s="12" t="str">
        <f>IF(Raw_Data!AM332="","",Raw_Data!AM332)</f>
        <v/>
      </c>
      <c r="S329" s="12" t="str">
        <f t="shared" si="48"/>
        <v/>
      </c>
      <c r="T329" s="12" t="str">
        <f>IF(Raw_Data!AN332="","",Raw_Data!AN332)</f>
        <v/>
      </c>
      <c r="U329" s="12" t="str">
        <f t="shared" si="49"/>
        <v/>
      </c>
      <c r="V329" s="12" t="str">
        <f>IF(Raw_Data!AP332="","",IF(Raw_Data!AP332="oui",1,0))</f>
        <v/>
      </c>
      <c r="W329" s="12" t="str">
        <f>IF(Raw_Data!AQ332="","",IF(Raw_Data!AQ332="oui",1,0))</f>
        <v/>
      </c>
      <c r="X329" s="12" t="str">
        <f>IF(Raw_Data!AR332="","",IF(Raw_Data!AR332="oui",1,0))</f>
        <v/>
      </c>
      <c r="Y329" s="12" t="str">
        <f>IF(Raw_Data!AS332="","",IF(Raw_Data!AS332="oui",1,0))</f>
        <v/>
      </c>
      <c r="Z329" s="12" t="str">
        <f>IF(Raw_Data!V332="","",IF(Raw_Data!V332="oui",1,0))</f>
        <v/>
      </c>
      <c r="AA329" s="12" t="str">
        <f>IF(Raw_Data!W332="","",IF(Raw_Data!W332="oui",1,0))</f>
        <v/>
      </c>
      <c r="AB329" s="12" t="str">
        <f>IF(Raw_Data!Q332="","",IF(Raw_Data!Q332="oui",1,0))</f>
        <v/>
      </c>
      <c r="AC329" s="12">
        <f>Raw_Data!AF332</f>
        <v>0</v>
      </c>
      <c r="AD329" s="12" t="str">
        <f t="shared" si="50"/>
        <v/>
      </c>
      <c r="AE329" s="12" t="str">
        <f t="shared" si="51"/>
        <v/>
      </c>
      <c r="AF329" s="12" t="str">
        <f t="shared" si="52"/>
        <v/>
      </c>
      <c r="AG329" s="12">
        <f t="shared" si="53"/>
        <v>0</v>
      </c>
    </row>
    <row r="330" spans="1:33" ht="15" customHeight="1" x14ac:dyDescent="0.25">
      <c r="A330" s="12" t="str">
        <f>IF(Raw_Data!B333="","",Raw_Data!B333)</f>
        <v/>
      </c>
      <c r="B330" s="12">
        <f>IF(Raw_Data!X333&lt;&gt;"",Raw_Data!X333,Raw_Data!C333)</f>
        <v>0</v>
      </c>
      <c r="C330" s="12" t="str">
        <f>IF(Raw_Data!G333="","",Raw_Data!G333)</f>
        <v/>
      </c>
      <c r="D330" s="12" t="str">
        <f>IF(Raw_Data!H333="","",Raw_Data!H333)</f>
        <v/>
      </c>
      <c r="E330" s="12" t="str">
        <f>IF(Raw_Data!I333="","",Raw_Data!I333)</f>
        <v/>
      </c>
      <c r="F330" s="12" t="str">
        <f>IF(Raw_Data!J333="","",Raw_Data!J333)</f>
        <v/>
      </c>
      <c r="G330" s="12" t="str">
        <f>IF(Raw_Data!AH333&lt;&gt;"",Raw_Data!AH333,IF(Raw_Data!K333&lt;&gt;"",Raw_Data!K333,""))</f>
        <v/>
      </c>
      <c r="H330" s="12" t="str">
        <f>IF(Raw_Data!AI333&lt;&gt;"",Raw_Data!AI333,IF(Raw_Data!L333&lt;&gt;"",Raw_Data!L333,""))</f>
        <v/>
      </c>
      <c r="I330" s="12" t="str">
        <f t="shared" si="45"/>
        <v/>
      </c>
      <c r="J330" s="12" t="str">
        <f>IF(Raw_Data!M333="","",Raw_Data!M333)</f>
        <v/>
      </c>
      <c r="K330" s="12">
        <f>IF(Raw_Data!AJ333&lt;&gt;"",Raw_Data!AJ333,Raw_Data!N333)</f>
        <v>0</v>
      </c>
      <c r="L330" s="12">
        <f t="shared" si="46"/>
        <v>1</v>
      </c>
      <c r="M330" s="12" t="str">
        <f>IF(Raw_Data!AK333="","",Raw_Data!AK333)</f>
        <v/>
      </c>
      <c r="N330" s="12" t="str">
        <f>IF(Raw_Data!T333="","",Raw_Data!T333)</f>
        <v/>
      </c>
      <c r="O330" s="12" t="str">
        <f>IF(Raw_Data!AB333&lt;&gt;"",Raw_Data!AB333,IF(N330="tres_insatisfait",1,IF(N330="insatisfait",2,IF(N330="neutre",3,IF(N330="satisfait",4,IF(N330="tres_satisfait",5,""))))))</f>
        <v/>
      </c>
      <c r="P330" s="12">
        <f>IF(Raw_Data!AL333&lt;&gt;"",Raw_Data!AL333,Raw_Data!R333)</f>
        <v>0</v>
      </c>
      <c r="Q330" s="12">
        <f t="shared" si="47"/>
        <v>0</v>
      </c>
      <c r="R330" s="12" t="str">
        <f>IF(Raw_Data!AM333="","",Raw_Data!AM333)</f>
        <v/>
      </c>
      <c r="S330" s="12" t="str">
        <f t="shared" si="48"/>
        <v/>
      </c>
      <c r="T330" s="12" t="str">
        <f>IF(Raw_Data!AN333="","",Raw_Data!AN333)</f>
        <v/>
      </c>
      <c r="U330" s="12" t="str">
        <f t="shared" si="49"/>
        <v/>
      </c>
      <c r="V330" s="12" t="str">
        <f>IF(Raw_Data!AP333="","",IF(Raw_Data!AP333="oui",1,0))</f>
        <v/>
      </c>
      <c r="W330" s="12" t="str">
        <f>IF(Raw_Data!AQ333="","",IF(Raw_Data!AQ333="oui",1,0))</f>
        <v/>
      </c>
      <c r="X330" s="12" t="str">
        <f>IF(Raw_Data!AR333="","",IF(Raw_Data!AR333="oui",1,0))</f>
        <v/>
      </c>
      <c r="Y330" s="12" t="str">
        <f>IF(Raw_Data!AS333="","",IF(Raw_Data!AS333="oui",1,0))</f>
        <v/>
      </c>
      <c r="Z330" s="12" t="str">
        <f>IF(Raw_Data!V333="","",IF(Raw_Data!V333="oui",1,0))</f>
        <v/>
      </c>
      <c r="AA330" s="12" t="str">
        <f>IF(Raw_Data!W333="","",IF(Raw_Data!W333="oui",1,0))</f>
        <v/>
      </c>
      <c r="AB330" s="12" t="str">
        <f>IF(Raw_Data!Q333="","",IF(Raw_Data!Q333="oui",1,0))</f>
        <v/>
      </c>
      <c r="AC330" s="12">
        <f>Raw_Data!AF333</f>
        <v>0</v>
      </c>
      <c r="AD330" s="12" t="str">
        <f t="shared" si="50"/>
        <v/>
      </c>
      <c r="AE330" s="12" t="str">
        <f t="shared" si="51"/>
        <v/>
      </c>
      <c r="AF330" s="12" t="str">
        <f t="shared" si="52"/>
        <v/>
      </c>
      <c r="AG330" s="12">
        <f t="shared" si="53"/>
        <v>0</v>
      </c>
    </row>
    <row r="331" spans="1:33" ht="15" customHeight="1" x14ac:dyDescent="0.25">
      <c r="A331" s="12" t="str">
        <f>IF(Raw_Data!B334="","",Raw_Data!B334)</f>
        <v/>
      </c>
      <c r="B331" s="12">
        <f>IF(Raw_Data!X334&lt;&gt;"",Raw_Data!X334,Raw_Data!C334)</f>
        <v>0</v>
      </c>
      <c r="C331" s="12" t="str">
        <f>IF(Raw_Data!G334="","",Raw_Data!G334)</f>
        <v/>
      </c>
      <c r="D331" s="12" t="str">
        <f>IF(Raw_Data!H334="","",Raw_Data!H334)</f>
        <v/>
      </c>
      <c r="E331" s="12" t="str">
        <f>IF(Raw_Data!I334="","",Raw_Data!I334)</f>
        <v/>
      </c>
      <c r="F331" s="12" t="str">
        <f>IF(Raw_Data!J334="","",Raw_Data!J334)</f>
        <v/>
      </c>
      <c r="G331" s="12" t="str">
        <f>IF(Raw_Data!AH334&lt;&gt;"",Raw_Data!AH334,IF(Raw_Data!K334&lt;&gt;"",Raw_Data!K334,""))</f>
        <v/>
      </c>
      <c r="H331" s="12" t="str">
        <f>IF(Raw_Data!AI334&lt;&gt;"",Raw_Data!AI334,IF(Raw_Data!L334&lt;&gt;"",Raw_Data!L334,""))</f>
        <v/>
      </c>
      <c r="I331" s="12" t="str">
        <f t="shared" si="45"/>
        <v/>
      </c>
      <c r="J331" s="12" t="str">
        <f>IF(Raw_Data!M334="","",Raw_Data!M334)</f>
        <v/>
      </c>
      <c r="K331" s="12">
        <f>IF(Raw_Data!AJ334&lt;&gt;"",Raw_Data!AJ334,Raw_Data!N334)</f>
        <v>0</v>
      </c>
      <c r="L331" s="12">
        <f t="shared" si="46"/>
        <v>1</v>
      </c>
      <c r="M331" s="12" t="str">
        <f>IF(Raw_Data!AK334="","",Raw_Data!AK334)</f>
        <v/>
      </c>
      <c r="N331" s="12" t="str">
        <f>IF(Raw_Data!T334="","",Raw_Data!T334)</f>
        <v/>
      </c>
      <c r="O331" s="12" t="str">
        <f>IF(Raw_Data!AB334&lt;&gt;"",Raw_Data!AB334,IF(N331="tres_insatisfait",1,IF(N331="insatisfait",2,IF(N331="neutre",3,IF(N331="satisfait",4,IF(N331="tres_satisfait",5,""))))))</f>
        <v/>
      </c>
      <c r="P331" s="12">
        <f>IF(Raw_Data!AL334&lt;&gt;"",Raw_Data!AL334,Raw_Data!R334)</f>
        <v>0</v>
      </c>
      <c r="Q331" s="12">
        <f t="shared" si="47"/>
        <v>0</v>
      </c>
      <c r="R331" s="12" t="str">
        <f>IF(Raw_Data!AM334="","",Raw_Data!AM334)</f>
        <v/>
      </c>
      <c r="S331" s="12" t="str">
        <f t="shared" si="48"/>
        <v/>
      </c>
      <c r="T331" s="12" t="str">
        <f>IF(Raw_Data!AN334="","",Raw_Data!AN334)</f>
        <v/>
      </c>
      <c r="U331" s="12" t="str">
        <f t="shared" si="49"/>
        <v/>
      </c>
      <c r="V331" s="12" t="str">
        <f>IF(Raw_Data!AP334="","",IF(Raw_Data!AP334="oui",1,0))</f>
        <v/>
      </c>
      <c r="W331" s="12" t="str">
        <f>IF(Raw_Data!AQ334="","",IF(Raw_Data!AQ334="oui",1,0))</f>
        <v/>
      </c>
      <c r="X331" s="12" t="str">
        <f>IF(Raw_Data!AR334="","",IF(Raw_Data!AR334="oui",1,0))</f>
        <v/>
      </c>
      <c r="Y331" s="12" t="str">
        <f>IF(Raw_Data!AS334="","",IF(Raw_Data!AS334="oui",1,0))</f>
        <v/>
      </c>
      <c r="Z331" s="12" t="str">
        <f>IF(Raw_Data!V334="","",IF(Raw_Data!V334="oui",1,0))</f>
        <v/>
      </c>
      <c r="AA331" s="12" t="str">
        <f>IF(Raw_Data!W334="","",IF(Raw_Data!W334="oui",1,0))</f>
        <v/>
      </c>
      <c r="AB331" s="12" t="str">
        <f>IF(Raw_Data!Q334="","",IF(Raw_Data!Q334="oui",1,0))</f>
        <v/>
      </c>
      <c r="AC331" s="12">
        <f>Raw_Data!AF334</f>
        <v>0</v>
      </c>
      <c r="AD331" s="12" t="str">
        <f t="shared" si="50"/>
        <v/>
      </c>
      <c r="AE331" s="12" t="str">
        <f t="shared" si="51"/>
        <v/>
      </c>
      <c r="AF331" s="12" t="str">
        <f t="shared" si="52"/>
        <v/>
      </c>
      <c r="AG331" s="12">
        <f t="shared" si="53"/>
        <v>0</v>
      </c>
    </row>
    <row r="332" spans="1:33" ht="15" customHeight="1" x14ac:dyDescent="0.25">
      <c r="A332" s="12" t="str">
        <f>IF(Raw_Data!B335="","",Raw_Data!B335)</f>
        <v/>
      </c>
      <c r="B332" s="12">
        <f>IF(Raw_Data!X335&lt;&gt;"",Raw_Data!X335,Raw_Data!C335)</f>
        <v>0</v>
      </c>
      <c r="C332" s="12" t="str">
        <f>IF(Raw_Data!G335="","",Raw_Data!G335)</f>
        <v/>
      </c>
      <c r="D332" s="12" t="str">
        <f>IF(Raw_Data!H335="","",Raw_Data!H335)</f>
        <v/>
      </c>
      <c r="E332" s="12" t="str">
        <f>IF(Raw_Data!I335="","",Raw_Data!I335)</f>
        <v/>
      </c>
      <c r="F332" s="12" t="str">
        <f>IF(Raw_Data!J335="","",Raw_Data!J335)</f>
        <v/>
      </c>
      <c r="G332" s="12" t="str">
        <f>IF(Raw_Data!AH335&lt;&gt;"",Raw_Data!AH335,IF(Raw_Data!K335&lt;&gt;"",Raw_Data!K335,""))</f>
        <v/>
      </c>
      <c r="H332" s="12" t="str">
        <f>IF(Raw_Data!AI335&lt;&gt;"",Raw_Data!AI335,IF(Raw_Data!L335&lt;&gt;"",Raw_Data!L335,""))</f>
        <v/>
      </c>
      <c r="I332" s="12" t="str">
        <f t="shared" si="45"/>
        <v/>
      </c>
      <c r="J332" s="12" t="str">
        <f>IF(Raw_Data!M335="","",Raw_Data!M335)</f>
        <v/>
      </c>
      <c r="K332" s="12">
        <f>IF(Raw_Data!AJ335&lt;&gt;"",Raw_Data!AJ335,Raw_Data!N335)</f>
        <v>0</v>
      </c>
      <c r="L332" s="12">
        <f t="shared" si="46"/>
        <v>1</v>
      </c>
      <c r="M332" s="12" t="str">
        <f>IF(Raw_Data!AK335="","",Raw_Data!AK335)</f>
        <v/>
      </c>
      <c r="N332" s="12" t="str">
        <f>IF(Raw_Data!T335="","",Raw_Data!T335)</f>
        <v/>
      </c>
      <c r="O332" s="12" t="str">
        <f>IF(Raw_Data!AB335&lt;&gt;"",Raw_Data!AB335,IF(N332="tres_insatisfait",1,IF(N332="insatisfait",2,IF(N332="neutre",3,IF(N332="satisfait",4,IF(N332="tres_satisfait",5,""))))))</f>
        <v/>
      </c>
      <c r="P332" s="12">
        <f>IF(Raw_Data!AL335&lt;&gt;"",Raw_Data!AL335,Raw_Data!R335)</f>
        <v>0</v>
      </c>
      <c r="Q332" s="12">
        <f t="shared" si="47"/>
        <v>0</v>
      </c>
      <c r="R332" s="12" t="str">
        <f>IF(Raw_Data!AM335="","",Raw_Data!AM335)</f>
        <v/>
      </c>
      <c r="S332" s="12" t="str">
        <f t="shared" si="48"/>
        <v/>
      </c>
      <c r="T332" s="12" t="str">
        <f>IF(Raw_Data!AN335="","",Raw_Data!AN335)</f>
        <v/>
      </c>
      <c r="U332" s="12" t="str">
        <f t="shared" si="49"/>
        <v/>
      </c>
      <c r="V332" s="12" t="str">
        <f>IF(Raw_Data!AP335="","",IF(Raw_Data!AP335="oui",1,0))</f>
        <v/>
      </c>
      <c r="W332" s="12" t="str">
        <f>IF(Raw_Data!AQ335="","",IF(Raw_Data!AQ335="oui",1,0))</f>
        <v/>
      </c>
      <c r="X332" s="12" t="str">
        <f>IF(Raw_Data!AR335="","",IF(Raw_Data!AR335="oui",1,0))</f>
        <v/>
      </c>
      <c r="Y332" s="12" t="str">
        <f>IF(Raw_Data!AS335="","",IF(Raw_Data!AS335="oui",1,0))</f>
        <v/>
      </c>
      <c r="Z332" s="12" t="str">
        <f>IF(Raw_Data!V335="","",IF(Raw_Data!V335="oui",1,0))</f>
        <v/>
      </c>
      <c r="AA332" s="12" t="str">
        <f>IF(Raw_Data!W335="","",IF(Raw_Data!W335="oui",1,0))</f>
        <v/>
      </c>
      <c r="AB332" s="12" t="str">
        <f>IF(Raw_Data!Q335="","",IF(Raw_Data!Q335="oui",1,0))</f>
        <v/>
      </c>
      <c r="AC332" s="12">
        <f>Raw_Data!AF335</f>
        <v>0</v>
      </c>
      <c r="AD332" s="12" t="str">
        <f t="shared" si="50"/>
        <v/>
      </c>
      <c r="AE332" s="12" t="str">
        <f t="shared" si="51"/>
        <v/>
      </c>
      <c r="AF332" s="12" t="str">
        <f t="shared" si="52"/>
        <v/>
      </c>
      <c r="AG332" s="12">
        <f t="shared" si="53"/>
        <v>0</v>
      </c>
    </row>
    <row r="333" spans="1:33" ht="15" customHeight="1" x14ac:dyDescent="0.25">
      <c r="A333" s="12" t="str">
        <f>IF(Raw_Data!B336="","",Raw_Data!B336)</f>
        <v/>
      </c>
      <c r="B333" s="12">
        <f>IF(Raw_Data!X336&lt;&gt;"",Raw_Data!X336,Raw_Data!C336)</f>
        <v>0</v>
      </c>
      <c r="C333" s="12" t="str">
        <f>IF(Raw_Data!G336="","",Raw_Data!G336)</f>
        <v/>
      </c>
      <c r="D333" s="12" t="str">
        <f>IF(Raw_Data!H336="","",Raw_Data!H336)</f>
        <v/>
      </c>
      <c r="E333" s="12" t="str">
        <f>IF(Raw_Data!I336="","",Raw_Data!I336)</f>
        <v/>
      </c>
      <c r="F333" s="12" t="str">
        <f>IF(Raw_Data!J336="","",Raw_Data!J336)</f>
        <v/>
      </c>
      <c r="G333" s="12" t="str">
        <f>IF(Raw_Data!AH336&lt;&gt;"",Raw_Data!AH336,IF(Raw_Data!K336&lt;&gt;"",Raw_Data!K336,""))</f>
        <v/>
      </c>
      <c r="H333" s="12" t="str">
        <f>IF(Raw_Data!AI336&lt;&gt;"",Raw_Data!AI336,IF(Raw_Data!L336&lt;&gt;"",Raw_Data!L336,""))</f>
        <v/>
      </c>
      <c r="I333" s="12" t="str">
        <f t="shared" si="45"/>
        <v/>
      </c>
      <c r="J333" s="12" t="str">
        <f>IF(Raw_Data!M336="","",Raw_Data!M336)</f>
        <v/>
      </c>
      <c r="K333" s="12">
        <f>IF(Raw_Data!AJ336&lt;&gt;"",Raw_Data!AJ336,Raw_Data!N336)</f>
        <v>0</v>
      </c>
      <c r="L333" s="12">
        <f t="shared" si="46"/>
        <v>1</v>
      </c>
      <c r="M333" s="12" t="str">
        <f>IF(Raw_Data!AK336="","",Raw_Data!AK336)</f>
        <v/>
      </c>
      <c r="N333" s="12" t="str">
        <f>IF(Raw_Data!T336="","",Raw_Data!T336)</f>
        <v/>
      </c>
      <c r="O333" s="12" t="str">
        <f>IF(Raw_Data!AB336&lt;&gt;"",Raw_Data!AB336,IF(N333="tres_insatisfait",1,IF(N333="insatisfait",2,IF(N333="neutre",3,IF(N333="satisfait",4,IF(N333="tres_satisfait",5,""))))))</f>
        <v/>
      </c>
      <c r="P333" s="12">
        <f>IF(Raw_Data!AL336&lt;&gt;"",Raw_Data!AL336,Raw_Data!R336)</f>
        <v>0</v>
      </c>
      <c r="Q333" s="12">
        <f t="shared" si="47"/>
        <v>0</v>
      </c>
      <c r="R333" s="12" t="str">
        <f>IF(Raw_Data!AM336="","",Raw_Data!AM336)</f>
        <v/>
      </c>
      <c r="S333" s="12" t="str">
        <f t="shared" si="48"/>
        <v/>
      </c>
      <c r="T333" s="12" t="str">
        <f>IF(Raw_Data!AN336="","",Raw_Data!AN336)</f>
        <v/>
      </c>
      <c r="U333" s="12" t="str">
        <f t="shared" si="49"/>
        <v/>
      </c>
      <c r="V333" s="12" t="str">
        <f>IF(Raw_Data!AP336="","",IF(Raw_Data!AP336="oui",1,0))</f>
        <v/>
      </c>
      <c r="W333" s="12" t="str">
        <f>IF(Raw_Data!AQ336="","",IF(Raw_Data!AQ336="oui",1,0))</f>
        <v/>
      </c>
      <c r="X333" s="12" t="str">
        <f>IF(Raw_Data!AR336="","",IF(Raw_Data!AR336="oui",1,0))</f>
        <v/>
      </c>
      <c r="Y333" s="12" t="str">
        <f>IF(Raw_Data!AS336="","",IF(Raw_Data!AS336="oui",1,0))</f>
        <v/>
      </c>
      <c r="Z333" s="12" t="str">
        <f>IF(Raw_Data!V336="","",IF(Raw_Data!V336="oui",1,0))</f>
        <v/>
      </c>
      <c r="AA333" s="12" t="str">
        <f>IF(Raw_Data!W336="","",IF(Raw_Data!W336="oui",1,0))</f>
        <v/>
      </c>
      <c r="AB333" s="12" t="str">
        <f>IF(Raw_Data!Q336="","",IF(Raw_Data!Q336="oui",1,0))</f>
        <v/>
      </c>
      <c r="AC333" s="12">
        <f>Raw_Data!AF336</f>
        <v>0</v>
      </c>
      <c r="AD333" s="12" t="str">
        <f t="shared" si="50"/>
        <v/>
      </c>
      <c r="AE333" s="12" t="str">
        <f t="shared" si="51"/>
        <v/>
      </c>
      <c r="AF333" s="12" t="str">
        <f t="shared" si="52"/>
        <v/>
      </c>
      <c r="AG333" s="12">
        <f t="shared" si="53"/>
        <v>0</v>
      </c>
    </row>
    <row r="334" spans="1:33" ht="15" customHeight="1" x14ac:dyDescent="0.25">
      <c r="A334" s="12" t="str">
        <f>IF(Raw_Data!B337="","",Raw_Data!B337)</f>
        <v/>
      </c>
      <c r="B334" s="12">
        <f>IF(Raw_Data!X337&lt;&gt;"",Raw_Data!X337,Raw_Data!C337)</f>
        <v>0</v>
      </c>
      <c r="C334" s="12" t="str">
        <f>IF(Raw_Data!G337="","",Raw_Data!G337)</f>
        <v/>
      </c>
      <c r="D334" s="12" t="str">
        <f>IF(Raw_Data!H337="","",Raw_Data!H337)</f>
        <v/>
      </c>
      <c r="E334" s="12" t="str">
        <f>IF(Raw_Data!I337="","",Raw_Data!I337)</f>
        <v/>
      </c>
      <c r="F334" s="12" t="str">
        <f>IF(Raw_Data!J337="","",Raw_Data!J337)</f>
        <v/>
      </c>
      <c r="G334" s="12" t="str">
        <f>IF(Raw_Data!AH337&lt;&gt;"",Raw_Data!AH337,IF(Raw_Data!K337&lt;&gt;"",Raw_Data!K337,""))</f>
        <v/>
      </c>
      <c r="H334" s="12" t="str">
        <f>IF(Raw_Data!AI337&lt;&gt;"",Raw_Data!AI337,IF(Raw_Data!L337&lt;&gt;"",Raw_Data!L337,""))</f>
        <v/>
      </c>
      <c r="I334" s="12" t="str">
        <f t="shared" si="45"/>
        <v/>
      </c>
      <c r="J334" s="12" t="str">
        <f>IF(Raw_Data!M337="","",Raw_Data!M337)</f>
        <v/>
      </c>
      <c r="K334" s="12">
        <f>IF(Raw_Data!AJ337&lt;&gt;"",Raw_Data!AJ337,Raw_Data!N337)</f>
        <v>0</v>
      </c>
      <c r="L334" s="12">
        <f t="shared" si="46"/>
        <v>1</v>
      </c>
      <c r="M334" s="12" t="str">
        <f>IF(Raw_Data!AK337="","",Raw_Data!AK337)</f>
        <v/>
      </c>
      <c r="N334" s="12" t="str">
        <f>IF(Raw_Data!T337="","",Raw_Data!T337)</f>
        <v/>
      </c>
      <c r="O334" s="12" t="str">
        <f>IF(Raw_Data!AB337&lt;&gt;"",Raw_Data!AB337,IF(N334="tres_insatisfait",1,IF(N334="insatisfait",2,IF(N334="neutre",3,IF(N334="satisfait",4,IF(N334="tres_satisfait",5,""))))))</f>
        <v/>
      </c>
      <c r="P334" s="12">
        <f>IF(Raw_Data!AL337&lt;&gt;"",Raw_Data!AL337,Raw_Data!R337)</f>
        <v>0</v>
      </c>
      <c r="Q334" s="12">
        <f t="shared" si="47"/>
        <v>0</v>
      </c>
      <c r="R334" s="12" t="str">
        <f>IF(Raw_Data!AM337="","",Raw_Data!AM337)</f>
        <v/>
      </c>
      <c r="S334" s="12" t="str">
        <f t="shared" si="48"/>
        <v/>
      </c>
      <c r="T334" s="12" t="str">
        <f>IF(Raw_Data!AN337="","",Raw_Data!AN337)</f>
        <v/>
      </c>
      <c r="U334" s="12" t="str">
        <f t="shared" si="49"/>
        <v/>
      </c>
      <c r="V334" s="12" t="str">
        <f>IF(Raw_Data!AP337="","",IF(Raw_Data!AP337="oui",1,0))</f>
        <v/>
      </c>
      <c r="W334" s="12" t="str">
        <f>IF(Raw_Data!AQ337="","",IF(Raw_Data!AQ337="oui",1,0))</f>
        <v/>
      </c>
      <c r="X334" s="12" t="str">
        <f>IF(Raw_Data!AR337="","",IF(Raw_Data!AR337="oui",1,0))</f>
        <v/>
      </c>
      <c r="Y334" s="12" t="str">
        <f>IF(Raw_Data!AS337="","",IF(Raw_Data!AS337="oui",1,0))</f>
        <v/>
      </c>
      <c r="Z334" s="12" t="str">
        <f>IF(Raw_Data!V337="","",IF(Raw_Data!V337="oui",1,0))</f>
        <v/>
      </c>
      <c r="AA334" s="12" t="str">
        <f>IF(Raw_Data!W337="","",IF(Raw_Data!W337="oui",1,0))</f>
        <v/>
      </c>
      <c r="AB334" s="12" t="str">
        <f>IF(Raw_Data!Q337="","",IF(Raw_Data!Q337="oui",1,0))</f>
        <v/>
      </c>
      <c r="AC334" s="12">
        <f>Raw_Data!AF337</f>
        <v>0</v>
      </c>
      <c r="AD334" s="12" t="str">
        <f t="shared" si="50"/>
        <v/>
      </c>
      <c r="AE334" s="12" t="str">
        <f t="shared" si="51"/>
        <v/>
      </c>
      <c r="AF334" s="12" t="str">
        <f t="shared" si="52"/>
        <v/>
      </c>
      <c r="AG334" s="12">
        <f t="shared" si="53"/>
        <v>0</v>
      </c>
    </row>
    <row r="335" spans="1:33" ht="15" customHeight="1" x14ac:dyDescent="0.25">
      <c r="A335" s="12" t="str">
        <f>IF(Raw_Data!B338="","",Raw_Data!B338)</f>
        <v/>
      </c>
      <c r="B335" s="12">
        <f>IF(Raw_Data!X338&lt;&gt;"",Raw_Data!X338,Raw_Data!C338)</f>
        <v>0</v>
      </c>
      <c r="C335" s="12" t="str">
        <f>IF(Raw_Data!G338="","",Raw_Data!G338)</f>
        <v/>
      </c>
      <c r="D335" s="12" t="str">
        <f>IF(Raw_Data!H338="","",Raw_Data!H338)</f>
        <v/>
      </c>
      <c r="E335" s="12" t="str">
        <f>IF(Raw_Data!I338="","",Raw_Data!I338)</f>
        <v/>
      </c>
      <c r="F335" s="12" t="str">
        <f>IF(Raw_Data!J338="","",Raw_Data!J338)</f>
        <v/>
      </c>
      <c r="G335" s="12" t="str">
        <f>IF(Raw_Data!AH338&lt;&gt;"",Raw_Data!AH338,IF(Raw_Data!K338&lt;&gt;"",Raw_Data!K338,""))</f>
        <v/>
      </c>
      <c r="H335" s="12" t="str">
        <f>IF(Raw_Data!AI338&lt;&gt;"",Raw_Data!AI338,IF(Raw_Data!L338&lt;&gt;"",Raw_Data!L338,""))</f>
        <v/>
      </c>
      <c r="I335" s="12" t="str">
        <f t="shared" si="45"/>
        <v/>
      </c>
      <c r="J335" s="12" t="str">
        <f>IF(Raw_Data!M338="","",Raw_Data!M338)</f>
        <v/>
      </c>
      <c r="K335" s="12">
        <f>IF(Raw_Data!AJ338&lt;&gt;"",Raw_Data!AJ338,Raw_Data!N338)</f>
        <v>0</v>
      </c>
      <c r="L335" s="12">
        <f t="shared" si="46"/>
        <v>1</v>
      </c>
      <c r="M335" s="12" t="str">
        <f>IF(Raw_Data!AK338="","",Raw_Data!AK338)</f>
        <v/>
      </c>
      <c r="N335" s="12" t="str">
        <f>IF(Raw_Data!T338="","",Raw_Data!T338)</f>
        <v/>
      </c>
      <c r="O335" s="12" t="str">
        <f>IF(Raw_Data!AB338&lt;&gt;"",Raw_Data!AB338,IF(N335="tres_insatisfait",1,IF(N335="insatisfait",2,IF(N335="neutre",3,IF(N335="satisfait",4,IF(N335="tres_satisfait",5,""))))))</f>
        <v/>
      </c>
      <c r="P335" s="12">
        <f>IF(Raw_Data!AL338&lt;&gt;"",Raw_Data!AL338,Raw_Data!R338)</f>
        <v>0</v>
      </c>
      <c r="Q335" s="12">
        <f t="shared" si="47"/>
        <v>0</v>
      </c>
      <c r="R335" s="12" t="str">
        <f>IF(Raw_Data!AM338="","",Raw_Data!AM338)</f>
        <v/>
      </c>
      <c r="S335" s="12" t="str">
        <f t="shared" si="48"/>
        <v/>
      </c>
      <c r="T335" s="12" t="str">
        <f>IF(Raw_Data!AN338="","",Raw_Data!AN338)</f>
        <v/>
      </c>
      <c r="U335" s="12" t="str">
        <f t="shared" si="49"/>
        <v/>
      </c>
      <c r="V335" s="12" t="str">
        <f>IF(Raw_Data!AP338="","",IF(Raw_Data!AP338="oui",1,0))</f>
        <v/>
      </c>
      <c r="W335" s="12" t="str">
        <f>IF(Raw_Data!AQ338="","",IF(Raw_Data!AQ338="oui",1,0))</f>
        <v/>
      </c>
      <c r="X335" s="12" t="str">
        <f>IF(Raw_Data!AR338="","",IF(Raw_Data!AR338="oui",1,0))</f>
        <v/>
      </c>
      <c r="Y335" s="12" t="str">
        <f>IF(Raw_Data!AS338="","",IF(Raw_Data!AS338="oui",1,0))</f>
        <v/>
      </c>
      <c r="Z335" s="12" t="str">
        <f>IF(Raw_Data!V338="","",IF(Raw_Data!V338="oui",1,0))</f>
        <v/>
      </c>
      <c r="AA335" s="12" t="str">
        <f>IF(Raw_Data!W338="","",IF(Raw_Data!W338="oui",1,0))</f>
        <v/>
      </c>
      <c r="AB335" s="12" t="str">
        <f>IF(Raw_Data!Q338="","",IF(Raw_Data!Q338="oui",1,0))</f>
        <v/>
      </c>
      <c r="AC335" s="12">
        <f>Raw_Data!AF338</f>
        <v>0</v>
      </c>
      <c r="AD335" s="12" t="str">
        <f t="shared" si="50"/>
        <v/>
      </c>
      <c r="AE335" s="12" t="str">
        <f t="shared" si="51"/>
        <v/>
      </c>
      <c r="AF335" s="12" t="str">
        <f t="shared" si="52"/>
        <v/>
      </c>
      <c r="AG335" s="12">
        <f t="shared" si="53"/>
        <v>0</v>
      </c>
    </row>
    <row r="336" spans="1:33" ht="15" customHeight="1" x14ac:dyDescent="0.25">
      <c r="A336" s="12" t="str">
        <f>IF(Raw_Data!B339="","",Raw_Data!B339)</f>
        <v/>
      </c>
      <c r="B336" s="12">
        <f>IF(Raw_Data!X339&lt;&gt;"",Raw_Data!X339,Raw_Data!C339)</f>
        <v>0</v>
      </c>
      <c r="C336" s="12" t="str">
        <f>IF(Raw_Data!G339="","",Raw_Data!G339)</f>
        <v/>
      </c>
      <c r="D336" s="12" t="str">
        <f>IF(Raw_Data!H339="","",Raw_Data!H339)</f>
        <v/>
      </c>
      <c r="E336" s="12" t="str">
        <f>IF(Raw_Data!I339="","",Raw_Data!I339)</f>
        <v/>
      </c>
      <c r="F336" s="12" t="str">
        <f>IF(Raw_Data!J339="","",Raw_Data!J339)</f>
        <v/>
      </c>
      <c r="G336" s="12" t="str">
        <f>IF(Raw_Data!AH339&lt;&gt;"",Raw_Data!AH339,IF(Raw_Data!K339&lt;&gt;"",Raw_Data!K339,""))</f>
        <v/>
      </c>
      <c r="H336" s="12" t="str">
        <f>IF(Raw_Data!AI339&lt;&gt;"",Raw_Data!AI339,IF(Raw_Data!L339&lt;&gt;"",Raw_Data!L339,""))</f>
        <v/>
      </c>
      <c r="I336" s="12" t="str">
        <f t="shared" si="45"/>
        <v/>
      </c>
      <c r="J336" s="12" t="str">
        <f>IF(Raw_Data!M339="","",Raw_Data!M339)</f>
        <v/>
      </c>
      <c r="K336" s="12">
        <f>IF(Raw_Data!AJ339&lt;&gt;"",Raw_Data!AJ339,Raw_Data!N339)</f>
        <v>0</v>
      </c>
      <c r="L336" s="12">
        <f t="shared" si="46"/>
        <v>1</v>
      </c>
      <c r="M336" s="12" t="str">
        <f>IF(Raw_Data!AK339="","",Raw_Data!AK339)</f>
        <v/>
      </c>
      <c r="N336" s="12" t="str">
        <f>IF(Raw_Data!T339="","",Raw_Data!T339)</f>
        <v/>
      </c>
      <c r="O336" s="12" t="str">
        <f>IF(Raw_Data!AB339&lt;&gt;"",Raw_Data!AB339,IF(N336="tres_insatisfait",1,IF(N336="insatisfait",2,IF(N336="neutre",3,IF(N336="satisfait",4,IF(N336="tres_satisfait",5,""))))))</f>
        <v/>
      </c>
      <c r="P336" s="12">
        <f>IF(Raw_Data!AL339&lt;&gt;"",Raw_Data!AL339,Raw_Data!R339)</f>
        <v>0</v>
      </c>
      <c r="Q336" s="12">
        <f t="shared" si="47"/>
        <v>0</v>
      </c>
      <c r="R336" s="12" t="str">
        <f>IF(Raw_Data!AM339="","",Raw_Data!AM339)</f>
        <v/>
      </c>
      <c r="S336" s="12" t="str">
        <f t="shared" si="48"/>
        <v/>
      </c>
      <c r="T336" s="12" t="str">
        <f>IF(Raw_Data!AN339="","",Raw_Data!AN339)</f>
        <v/>
      </c>
      <c r="U336" s="12" t="str">
        <f t="shared" si="49"/>
        <v/>
      </c>
      <c r="V336" s="12" t="str">
        <f>IF(Raw_Data!AP339="","",IF(Raw_Data!AP339="oui",1,0))</f>
        <v/>
      </c>
      <c r="W336" s="12" t="str">
        <f>IF(Raw_Data!AQ339="","",IF(Raw_Data!AQ339="oui",1,0))</f>
        <v/>
      </c>
      <c r="X336" s="12" t="str">
        <f>IF(Raw_Data!AR339="","",IF(Raw_Data!AR339="oui",1,0))</f>
        <v/>
      </c>
      <c r="Y336" s="12" t="str">
        <f>IF(Raw_Data!AS339="","",IF(Raw_Data!AS339="oui",1,0))</f>
        <v/>
      </c>
      <c r="Z336" s="12" t="str">
        <f>IF(Raw_Data!V339="","",IF(Raw_Data!V339="oui",1,0))</f>
        <v/>
      </c>
      <c r="AA336" s="12" t="str">
        <f>IF(Raw_Data!W339="","",IF(Raw_Data!W339="oui",1,0))</f>
        <v/>
      </c>
      <c r="AB336" s="12" t="str">
        <f>IF(Raw_Data!Q339="","",IF(Raw_Data!Q339="oui",1,0))</f>
        <v/>
      </c>
      <c r="AC336" s="12">
        <f>Raw_Data!AF339</f>
        <v>0</v>
      </c>
      <c r="AD336" s="12" t="str">
        <f t="shared" si="50"/>
        <v/>
      </c>
      <c r="AE336" s="12" t="str">
        <f t="shared" si="51"/>
        <v/>
      </c>
      <c r="AF336" s="12" t="str">
        <f t="shared" si="52"/>
        <v/>
      </c>
      <c r="AG336" s="12">
        <f t="shared" si="53"/>
        <v>0</v>
      </c>
    </row>
    <row r="337" spans="1:33" ht="15" customHeight="1" x14ac:dyDescent="0.25">
      <c r="A337" s="12" t="str">
        <f>IF(Raw_Data!B340="","",Raw_Data!B340)</f>
        <v/>
      </c>
      <c r="B337" s="12">
        <f>IF(Raw_Data!X340&lt;&gt;"",Raw_Data!X340,Raw_Data!C340)</f>
        <v>0</v>
      </c>
      <c r="C337" s="12" t="str">
        <f>IF(Raw_Data!G340="","",Raw_Data!G340)</f>
        <v/>
      </c>
      <c r="D337" s="12" t="str">
        <f>IF(Raw_Data!H340="","",Raw_Data!H340)</f>
        <v/>
      </c>
      <c r="E337" s="12" t="str">
        <f>IF(Raw_Data!I340="","",Raw_Data!I340)</f>
        <v/>
      </c>
      <c r="F337" s="12" t="str">
        <f>IF(Raw_Data!J340="","",Raw_Data!J340)</f>
        <v/>
      </c>
      <c r="G337" s="12" t="str">
        <f>IF(Raw_Data!AH340&lt;&gt;"",Raw_Data!AH340,IF(Raw_Data!K340&lt;&gt;"",Raw_Data!K340,""))</f>
        <v/>
      </c>
      <c r="H337" s="12" t="str">
        <f>IF(Raw_Data!AI340&lt;&gt;"",Raw_Data!AI340,IF(Raw_Data!L340&lt;&gt;"",Raw_Data!L340,""))</f>
        <v/>
      </c>
      <c r="I337" s="12" t="str">
        <f t="shared" si="45"/>
        <v/>
      </c>
      <c r="J337" s="12" t="str">
        <f>IF(Raw_Data!M340="","",Raw_Data!M340)</f>
        <v/>
      </c>
      <c r="K337" s="12">
        <f>IF(Raw_Data!AJ340&lt;&gt;"",Raw_Data!AJ340,Raw_Data!N340)</f>
        <v>0</v>
      </c>
      <c r="L337" s="12">
        <f t="shared" si="46"/>
        <v>1</v>
      </c>
      <c r="M337" s="12" t="str">
        <f>IF(Raw_Data!AK340="","",Raw_Data!AK340)</f>
        <v/>
      </c>
      <c r="N337" s="12" t="str">
        <f>IF(Raw_Data!T340="","",Raw_Data!T340)</f>
        <v/>
      </c>
      <c r="O337" s="12" t="str">
        <f>IF(Raw_Data!AB340&lt;&gt;"",Raw_Data!AB340,IF(N337="tres_insatisfait",1,IF(N337="insatisfait",2,IF(N337="neutre",3,IF(N337="satisfait",4,IF(N337="tres_satisfait",5,""))))))</f>
        <v/>
      </c>
      <c r="P337" s="12">
        <f>IF(Raw_Data!AL340&lt;&gt;"",Raw_Data!AL340,Raw_Data!R340)</f>
        <v>0</v>
      </c>
      <c r="Q337" s="12">
        <f t="shared" si="47"/>
        <v>0</v>
      </c>
      <c r="R337" s="12" t="str">
        <f>IF(Raw_Data!AM340="","",Raw_Data!AM340)</f>
        <v/>
      </c>
      <c r="S337" s="12" t="str">
        <f t="shared" si="48"/>
        <v/>
      </c>
      <c r="T337" s="12" t="str">
        <f>IF(Raw_Data!AN340="","",Raw_Data!AN340)</f>
        <v/>
      </c>
      <c r="U337" s="12" t="str">
        <f t="shared" si="49"/>
        <v/>
      </c>
      <c r="V337" s="12" t="str">
        <f>IF(Raw_Data!AP340="","",IF(Raw_Data!AP340="oui",1,0))</f>
        <v/>
      </c>
      <c r="W337" s="12" t="str">
        <f>IF(Raw_Data!AQ340="","",IF(Raw_Data!AQ340="oui",1,0))</f>
        <v/>
      </c>
      <c r="X337" s="12" t="str">
        <f>IF(Raw_Data!AR340="","",IF(Raw_Data!AR340="oui",1,0))</f>
        <v/>
      </c>
      <c r="Y337" s="12" t="str">
        <f>IF(Raw_Data!AS340="","",IF(Raw_Data!AS340="oui",1,0))</f>
        <v/>
      </c>
      <c r="Z337" s="12" t="str">
        <f>IF(Raw_Data!V340="","",IF(Raw_Data!V340="oui",1,0))</f>
        <v/>
      </c>
      <c r="AA337" s="12" t="str">
        <f>IF(Raw_Data!W340="","",IF(Raw_Data!W340="oui",1,0))</f>
        <v/>
      </c>
      <c r="AB337" s="12" t="str">
        <f>IF(Raw_Data!Q340="","",IF(Raw_Data!Q340="oui",1,0))</f>
        <v/>
      </c>
      <c r="AC337" s="12">
        <f>Raw_Data!AF340</f>
        <v>0</v>
      </c>
      <c r="AD337" s="12" t="str">
        <f t="shared" si="50"/>
        <v/>
      </c>
      <c r="AE337" s="12" t="str">
        <f t="shared" si="51"/>
        <v/>
      </c>
      <c r="AF337" s="12" t="str">
        <f t="shared" si="52"/>
        <v/>
      </c>
      <c r="AG337" s="12">
        <f t="shared" si="53"/>
        <v>0</v>
      </c>
    </row>
    <row r="338" spans="1:33" ht="15" customHeight="1" x14ac:dyDescent="0.25">
      <c r="A338" s="12" t="str">
        <f>IF(Raw_Data!B341="","",Raw_Data!B341)</f>
        <v/>
      </c>
      <c r="B338" s="12">
        <f>IF(Raw_Data!X341&lt;&gt;"",Raw_Data!X341,Raw_Data!C341)</f>
        <v>0</v>
      </c>
      <c r="C338" s="12" t="str">
        <f>IF(Raw_Data!G341="","",Raw_Data!G341)</f>
        <v/>
      </c>
      <c r="D338" s="12" t="str">
        <f>IF(Raw_Data!H341="","",Raw_Data!H341)</f>
        <v/>
      </c>
      <c r="E338" s="12" t="str">
        <f>IF(Raw_Data!I341="","",Raw_Data!I341)</f>
        <v/>
      </c>
      <c r="F338" s="12" t="str">
        <f>IF(Raw_Data!J341="","",Raw_Data!J341)</f>
        <v/>
      </c>
      <c r="G338" s="12" t="str">
        <f>IF(Raw_Data!AH341&lt;&gt;"",Raw_Data!AH341,IF(Raw_Data!K341&lt;&gt;"",Raw_Data!K341,""))</f>
        <v/>
      </c>
      <c r="H338" s="12" t="str">
        <f>IF(Raw_Data!AI341&lt;&gt;"",Raw_Data!AI341,IF(Raw_Data!L341&lt;&gt;"",Raw_Data!L341,""))</f>
        <v/>
      </c>
      <c r="I338" s="12" t="str">
        <f t="shared" si="45"/>
        <v/>
      </c>
      <c r="J338" s="12" t="str">
        <f>IF(Raw_Data!M341="","",Raw_Data!M341)</f>
        <v/>
      </c>
      <c r="K338" s="12">
        <f>IF(Raw_Data!AJ341&lt;&gt;"",Raw_Data!AJ341,Raw_Data!N341)</f>
        <v>0</v>
      </c>
      <c r="L338" s="12">
        <f t="shared" si="46"/>
        <v>1</v>
      </c>
      <c r="M338" s="12" t="str">
        <f>IF(Raw_Data!AK341="","",Raw_Data!AK341)</f>
        <v/>
      </c>
      <c r="N338" s="12" t="str">
        <f>IF(Raw_Data!T341="","",Raw_Data!T341)</f>
        <v/>
      </c>
      <c r="O338" s="12" t="str">
        <f>IF(Raw_Data!AB341&lt;&gt;"",Raw_Data!AB341,IF(N338="tres_insatisfait",1,IF(N338="insatisfait",2,IF(N338="neutre",3,IF(N338="satisfait",4,IF(N338="tres_satisfait",5,""))))))</f>
        <v/>
      </c>
      <c r="P338" s="12">
        <f>IF(Raw_Data!AL341&lt;&gt;"",Raw_Data!AL341,Raw_Data!R341)</f>
        <v>0</v>
      </c>
      <c r="Q338" s="12">
        <f t="shared" si="47"/>
        <v>0</v>
      </c>
      <c r="R338" s="12" t="str">
        <f>IF(Raw_Data!AM341="","",Raw_Data!AM341)</f>
        <v/>
      </c>
      <c r="S338" s="12" t="str">
        <f t="shared" si="48"/>
        <v/>
      </c>
      <c r="T338" s="12" t="str">
        <f>IF(Raw_Data!AN341="","",Raw_Data!AN341)</f>
        <v/>
      </c>
      <c r="U338" s="12" t="str">
        <f t="shared" si="49"/>
        <v/>
      </c>
      <c r="V338" s="12" t="str">
        <f>IF(Raw_Data!AP341="","",IF(Raw_Data!AP341="oui",1,0))</f>
        <v/>
      </c>
      <c r="W338" s="12" t="str">
        <f>IF(Raw_Data!AQ341="","",IF(Raw_Data!AQ341="oui",1,0))</f>
        <v/>
      </c>
      <c r="X338" s="12" t="str">
        <f>IF(Raw_Data!AR341="","",IF(Raw_Data!AR341="oui",1,0))</f>
        <v/>
      </c>
      <c r="Y338" s="12" t="str">
        <f>IF(Raw_Data!AS341="","",IF(Raw_Data!AS341="oui",1,0))</f>
        <v/>
      </c>
      <c r="Z338" s="12" t="str">
        <f>IF(Raw_Data!V341="","",IF(Raw_Data!V341="oui",1,0))</f>
        <v/>
      </c>
      <c r="AA338" s="12" t="str">
        <f>IF(Raw_Data!W341="","",IF(Raw_Data!W341="oui",1,0))</f>
        <v/>
      </c>
      <c r="AB338" s="12" t="str">
        <f>IF(Raw_Data!Q341="","",IF(Raw_Data!Q341="oui",1,0))</f>
        <v/>
      </c>
      <c r="AC338" s="12">
        <f>Raw_Data!AF341</f>
        <v>0</v>
      </c>
      <c r="AD338" s="12" t="str">
        <f t="shared" si="50"/>
        <v/>
      </c>
      <c r="AE338" s="12" t="str">
        <f t="shared" si="51"/>
        <v/>
      </c>
      <c r="AF338" s="12" t="str">
        <f t="shared" si="52"/>
        <v/>
      </c>
      <c r="AG338" s="12">
        <f t="shared" si="53"/>
        <v>0</v>
      </c>
    </row>
    <row r="339" spans="1:33" ht="15" customHeight="1" x14ac:dyDescent="0.25">
      <c r="A339" s="12" t="str">
        <f>IF(Raw_Data!B342="","",Raw_Data!B342)</f>
        <v/>
      </c>
      <c r="B339" s="12">
        <f>IF(Raw_Data!X342&lt;&gt;"",Raw_Data!X342,Raw_Data!C342)</f>
        <v>0</v>
      </c>
      <c r="C339" s="12" t="str">
        <f>IF(Raw_Data!G342="","",Raw_Data!G342)</f>
        <v/>
      </c>
      <c r="D339" s="12" t="str">
        <f>IF(Raw_Data!H342="","",Raw_Data!H342)</f>
        <v/>
      </c>
      <c r="E339" s="12" t="str">
        <f>IF(Raw_Data!I342="","",Raw_Data!I342)</f>
        <v/>
      </c>
      <c r="F339" s="12" t="str">
        <f>IF(Raw_Data!J342="","",Raw_Data!J342)</f>
        <v/>
      </c>
      <c r="G339" s="12" t="str">
        <f>IF(Raw_Data!AH342&lt;&gt;"",Raw_Data!AH342,IF(Raw_Data!K342&lt;&gt;"",Raw_Data!K342,""))</f>
        <v/>
      </c>
      <c r="H339" s="12" t="str">
        <f>IF(Raw_Data!AI342&lt;&gt;"",Raw_Data!AI342,IF(Raw_Data!L342&lt;&gt;"",Raw_Data!L342,""))</f>
        <v/>
      </c>
      <c r="I339" s="12" t="str">
        <f t="shared" si="45"/>
        <v/>
      </c>
      <c r="J339" s="12" t="str">
        <f>IF(Raw_Data!M342="","",Raw_Data!M342)</f>
        <v/>
      </c>
      <c r="K339" s="12">
        <f>IF(Raw_Data!AJ342&lt;&gt;"",Raw_Data!AJ342,Raw_Data!N342)</f>
        <v>0</v>
      </c>
      <c r="L339" s="12">
        <f t="shared" si="46"/>
        <v>1</v>
      </c>
      <c r="M339" s="12" t="str">
        <f>IF(Raw_Data!AK342="","",Raw_Data!AK342)</f>
        <v/>
      </c>
      <c r="N339" s="12" t="str">
        <f>IF(Raw_Data!T342="","",Raw_Data!T342)</f>
        <v/>
      </c>
      <c r="O339" s="12" t="str">
        <f>IF(Raw_Data!AB342&lt;&gt;"",Raw_Data!AB342,IF(N339="tres_insatisfait",1,IF(N339="insatisfait",2,IF(N339="neutre",3,IF(N339="satisfait",4,IF(N339="tres_satisfait",5,""))))))</f>
        <v/>
      </c>
      <c r="P339" s="12">
        <f>IF(Raw_Data!AL342&lt;&gt;"",Raw_Data!AL342,Raw_Data!R342)</f>
        <v>0</v>
      </c>
      <c r="Q339" s="12">
        <f t="shared" si="47"/>
        <v>0</v>
      </c>
      <c r="R339" s="12" t="str">
        <f>IF(Raw_Data!AM342="","",Raw_Data!AM342)</f>
        <v/>
      </c>
      <c r="S339" s="12" t="str">
        <f t="shared" si="48"/>
        <v/>
      </c>
      <c r="T339" s="12" t="str">
        <f>IF(Raw_Data!AN342="","",Raw_Data!AN342)</f>
        <v/>
      </c>
      <c r="U339" s="12" t="str">
        <f t="shared" si="49"/>
        <v/>
      </c>
      <c r="V339" s="12" t="str">
        <f>IF(Raw_Data!AP342="","",IF(Raw_Data!AP342="oui",1,0))</f>
        <v/>
      </c>
      <c r="W339" s="12" t="str">
        <f>IF(Raw_Data!AQ342="","",IF(Raw_Data!AQ342="oui",1,0))</f>
        <v/>
      </c>
      <c r="X339" s="12" t="str">
        <f>IF(Raw_Data!AR342="","",IF(Raw_Data!AR342="oui",1,0))</f>
        <v/>
      </c>
      <c r="Y339" s="12" t="str">
        <f>IF(Raw_Data!AS342="","",IF(Raw_Data!AS342="oui",1,0))</f>
        <v/>
      </c>
      <c r="Z339" s="12" t="str">
        <f>IF(Raw_Data!V342="","",IF(Raw_Data!V342="oui",1,0))</f>
        <v/>
      </c>
      <c r="AA339" s="12" t="str">
        <f>IF(Raw_Data!W342="","",IF(Raw_Data!W342="oui",1,0))</f>
        <v/>
      </c>
      <c r="AB339" s="12" t="str">
        <f>IF(Raw_Data!Q342="","",IF(Raw_Data!Q342="oui",1,0))</f>
        <v/>
      </c>
      <c r="AC339" s="12">
        <f>Raw_Data!AF342</f>
        <v>0</v>
      </c>
      <c r="AD339" s="12" t="str">
        <f t="shared" si="50"/>
        <v/>
      </c>
      <c r="AE339" s="12" t="str">
        <f t="shared" si="51"/>
        <v/>
      </c>
      <c r="AF339" s="12" t="str">
        <f t="shared" si="52"/>
        <v/>
      </c>
      <c r="AG339" s="12">
        <f t="shared" si="53"/>
        <v>0</v>
      </c>
    </row>
    <row r="340" spans="1:33" ht="15" customHeight="1" x14ac:dyDescent="0.25">
      <c r="A340" s="12" t="str">
        <f>IF(Raw_Data!B343="","",Raw_Data!B343)</f>
        <v/>
      </c>
      <c r="B340" s="12">
        <f>IF(Raw_Data!X343&lt;&gt;"",Raw_Data!X343,Raw_Data!C343)</f>
        <v>0</v>
      </c>
      <c r="C340" s="12" t="str">
        <f>IF(Raw_Data!G343="","",Raw_Data!G343)</f>
        <v/>
      </c>
      <c r="D340" s="12" t="str">
        <f>IF(Raw_Data!H343="","",Raw_Data!H343)</f>
        <v/>
      </c>
      <c r="E340" s="12" t="str">
        <f>IF(Raw_Data!I343="","",Raw_Data!I343)</f>
        <v/>
      </c>
      <c r="F340" s="12" t="str">
        <f>IF(Raw_Data!J343="","",Raw_Data!J343)</f>
        <v/>
      </c>
      <c r="G340" s="12" t="str">
        <f>IF(Raw_Data!AH343&lt;&gt;"",Raw_Data!AH343,IF(Raw_Data!K343&lt;&gt;"",Raw_Data!K343,""))</f>
        <v/>
      </c>
      <c r="H340" s="12" t="str">
        <f>IF(Raw_Data!AI343&lt;&gt;"",Raw_Data!AI343,IF(Raw_Data!L343&lt;&gt;"",Raw_Data!L343,""))</f>
        <v/>
      </c>
      <c r="I340" s="12" t="str">
        <f t="shared" si="45"/>
        <v/>
      </c>
      <c r="J340" s="12" t="str">
        <f>IF(Raw_Data!M343="","",Raw_Data!M343)</f>
        <v/>
      </c>
      <c r="K340" s="12">
        <f>IF(Raw_Data!AJ343&lt;&gt;"",Raw_Data!AJ343,Raw_Data!N343)</f>
        <v>0</v>
      </c>
      <c r="L340" s="12">
        <f t="shared" si="46"/>
        <v>1</v>
      </c>
      <c r="M340" s="12" t="str">
        <f>IF(Raw_Data!AK343="","",Raw_Data!AK343)</f>
        <v/>
      </c>
      <c r="N340" s="12" t="str">
        <f>IF(Raw_Data!T343="","",Raw_Data!T343)</f>
        <v/>
      </c>
      <c r="O340" s="12" t="str">
        <f>IF(Raw_Data!AB343&lt;&gt;"",Raw_Data!AB343,IF(N340="tres_insatisfait",1,IF(N340="insatisfait",2,IF(N340="neutre",3,IF(N340="satisfait",4,IF(N340="tres_satisfait",5,""))))))</f>
        <v/>
      </c>
      <c r="P340" s="12">
        <f>IF(Raw_Data!AL343&lt;&gt;"",Raw_Data!AL343,Raw_Data!R343)</f>
        <v>0</v>
      </c>
      <c r="Q340" s="12">
        <f t="shared" si="47"/>
        <v>0</v>
      </c>
      <c r="R340" s="12" t="str">
        <f>IF(Raw_Data!AM343="","",Raw_Data!AM343)</f>
        <v/>
      </c>
      <c r="S340" s="12" t="str">
        <f t="shared" si="48"/>
        <v/>
      </c>
      <c r="T340" s="12" t="str">
        <f>IF(Raw_Data!AN343="","",Raw_Data!AN343)</f>
        <v/>
      </c>
      <c r="U340" s="12" t="str">
        <f t="shared" si="49"/>
        <v/>
      </c>
      <c r="V340" s="12" t="str">
        <f>IF(Raw_Data!AP343="","",IF(Raw_Data!AP343="oui",1,0))</f>
        <v/>
      </c>
      <c r="W340" s="12" t="str">
        <f>IF(Raw_Data!AQ343="","",IF(Raw_Data!AQ343="oui",1,0))</f>
        <v/>
      </c>
      <c r="X340" s="12" t="str">
        <f>IF(Raw_Data!AR343="","",IF(Raw_Data!AR343="oui",1,0))</f>
        <v/>
      </c>
      <c r="Y340" s="12" t="str">
        <f>IF(Raw_Data!AS343="","",IF(Raw_Data!AS343="oui",1,0))</f>
        <v/>
      </c>
      <c r="Z340" s="12" t="str">
        <f>IF(Raw_Data!V343="","",IF(Raw_Data!V343="oui",1,0))</f>
        <v/>
      </c>
      <c r="AA340" s="12" t="str">
        <f>IF(Raw_Data!W343="","",IF(Raw_Data!W343="oui",1,0))</f>
        <v/>
      </c>
      <c r="AB340" s="12" t="str">
        <f>IF(Raw_Data!Q343="","",IF(Raw_Data!Q343="oui",1,0))</f>
        <v/>
      </c>
      <c r="AC340" s="12">
        <f>Raw_Data!AF343</f>
        <v>0</v>
      </c>
      <c r="AD340" s="12" t="str">
        <f t="shared" si="50"/>
        <v/>
      </c>
      <c r="AE340" s="12" t="str">
        <f t="shared" si="51"/>
        <v/>
      </c>
      <c r="AF340" s="12" t="str">
        <f t="shared" si="52"/>
        <v/>
      </c>
      <c r="AG340" s="12">
        <f t="shared" si="53"/>
        <v>0</v>
      </c>
    </row>
    <row r="341" spans="1:33" ht="15" customHeight="1" x14ac:dyDescent="0.25">
      <c r="A341" s="12" t="str">
        <f>IF(Raw_Data!B344="","",Raw_Data!B344)</f>
        <v/>
      </c>
      <c r="B341" s="12">
        <f>IF(Raw_Data!X344&lt;&gt;"",Raw_Data!X344,Raw_Data!C344)</f>
        <v>0</v>
      </c>
      <c r="C341" s="12" t="str">
        <f>IF(Raw_Data!G344="","",Raw_Data!G344)</f>
        <v/>
      </c>
      <c r="D341" s="12" t="str">
        <f>IF(Raw_Data!H344="","",Raw_Data!H344)</f>
        <v/>
      </c>
      <c r="E341" s="12" t="str">
        <f>IF(Raw_Data!I344="","",Raw_Data!I344)</f>
        <v/>
      </c>
      <c r="F341" s="12" t="str">
        <f>IF(Raw_Data!J344="","",Raw_Data!J344)</f>
        <v/>
      </c>
      <c r="G341" s="12" t="str">
        <f>IF(Raw_Data!AH344&lt;&gt;"",Raw_Data!AH344,IF(Raw_Data!K344&lt;&gt;"",Raw_Data!K344,""))</f>
        <v/>
      </c>
      <c r="H341" s="12" t="str">
        <f>IF(Raw_Data!AI344&lt;&gt;"",Raw_Data!AI344,IF(Raw_Data!L344&lt;&gt;"",Raw_Data!L344,""))</f>
        <v/>
      </c>
      <c r="I341" s="12" t="str">
        <f t="shared" si="45"/>
        <v/>
      </c>
      <c r="J341" s="12" t="str">
        <f>IF(Raw_Data!M344="","",Raw_Data!M344)</f>
        <v/>
      </c>
      <c r="K341" s="12">
        <f>IF(Raw_Data!AJ344&lt;&gt;"",Raw_Data!AJ344,Raw_Data!N344)</f>
        <v>0</v>
      </c>
      <c r="L341" s="12">
        <f t="shared" si="46"/>
        <v>1</v>
      </c>
      <c r="M341" s="12" t="str">
        <f>IF(Raw_Data!AK344="","",Raw_Data!AK344)</f>
        <v/>
      </c>
      <c r="N341" s="12" t="str">
        <f>IF(Raw_Data!T344="","",Raw_Data!T344)</f>
        <v/>
      </c>
      <c r="O341" s="12" t="str">
        <f>IF(Raw_Data!AB344&lt;&gt;"",Raw_Data!AB344,IF(N341="tres_insatisfait",1,IF(N341="insatisfait",2,IF(N341="neutre",3,IF(N341="satisfait",4,IF(N341="tres_satisfait",5,""))))))</f>
        <v/>
      </c>
      <c r="P341" s="12">
        <f>IF(Raw_Data!AL344&lt;&gt;"",Raw_Data!AL344,Raw_Data!R344)</f>
        <v>0</v>
      </c>
      <c r="Q341" s="12">
        <f t="shared" si="47"/>
        <v>0</v>
      </c>
      <c r="R341" s="12" t="str">
        <f>IF(Raw_Data!AM344="","",Raw_Data!AM344)</f>
        <v/>
      </c>
      <c r="S341" s="12" t="str">
        <f t="shared" si="48"/>
        <v/>
      </c>
      <c r="T341" s="12" t="str">
        <f>IF(Raw_Data!AN344="","",Raw_Data!AN344)</f>
        <v/>
      </c>
      <c r="U341" s="12" t="str">
        <f t="shared" si="49"/>
        <v/>
      </c>
      <c r="V341" s="12" t="str">
        <f>IF(Raw_Data!AP344="","",IF(Raw_Data!AP344="oui",1,0))</f>
        <v/>
      </c>
      <c r="W341" s="12" t="str">
        <f>IF(Raw_Data!AQ344="","",IF(Raw_Data!AQ344="oui",1,0))</f>
        <v/>
      </c>
      <c r="X341" s="12" t="str">
        <f>IF(Raw_Data!AR344="","",IF(Raw_Data!AR344="oui",1,0))</f>
        <v/>
      </c>
      <c r="Y341" s="12" t="str">
        <f>IF(Raw_Data!AS344="","",IF(Raw_Data!AS344="oui",1,0))</f>
        <v/>
      </c>
      <c r="Z341" s="12" t="str">
        <f>IF(Raw_Data!V344="","",IF(Raw_Data!V344="oui",1,0))</f>
        <v/>
      </c>
      <c r="AA341" s="12" t="str">
        <f>IF(Raw_Data!W344="","",IF(Raw_Data!W344="oui",1,0))</f>
        <v/>
      </c>
      <c r="AB341" s="12" t="str">
        <f>IF(Raw_Data!Q344="","",IF(Raw_Data!Q344="oui",1,0))</f>
        <v/>
      </c>
      <c r="AC341" s="12">
        <f>Raw_Data!AF344</f>
        <v>0</v>
      </c>
      <c r="AD341" s="12" t="str">
        <f t="shared" si="50"/>
        <v/>
      </c>
      <c r="AE341" s="12" t="str">
        <f t="shared" si="51"/>
        <v/>
      </c>
      <c r="AF341" s="12" t="str">
        <f t="shared" si="52"/>
        <v/>
      </c>
      <c r="AG341" s="12">
        <f t="shared" si="53"/>
        <v>0</v>
      </c>
    </row>
    <row r="342" spans="1:33" ht="15" customHeight="1" x14ac:dyDescent="0.25">
      <c r="A342" s="12" t="str">
        <f>IF(Raw_Data!B345="","",Raw_Data!B345)</f>
        <v/>
      </c>
      <c r="B342" s="12">
        <f>IF(Raw_Data!X345&lt;&gt;"",Raw_Data!X345,Raw_Data!C345)</f>
        <v>0</v>
      </c>
      <c r="C342" s="12" t="str">
        <f>IF(Raw_Data!G345="","",Raw_Data!G345)</f>
        <v/>
      </c>
      <c r="D342" s="12" t="str">
        <f>IF(Raw_Data!H345="","",Raw_Data!H345)</f>
        <v/>
      </c>
      <c r="E342" s="12" t="str">
        <f>IF(Raw_Data!I345="","",Raw_Data!I345)</f>
        <v/>
      </c>
      <c r="F342" s="12" t="str">
        <f>IF(Raw_Data!J345="","",Raw_Data!J345)</f>
        <v/>
      </c>
      <c r="G342" s="12" t="str">
        <f>IF(Raw_Data!AH345&lt;&gt;"",Raw_Data!AH345,IF(Raw_Data!K345&lt;&gt;"",Raw_Data!K345,""))</f>
        <v/>
      </c>
      <c r="H342" s="12" t="str">
        <f>IF(Raw_Data!AI345&lt;&gt;"",Raw_Data!AI345,IF(Raw_Data!L345&lt;&gt;"",Raw_Data!L345,""))</f>
        <v/>
      </c>
      <c r="I342" s="12" t="str">
        <f t="shared" si="45"/>
        <v/>
      </c>
      <c r="J342" s="12" t="str">
        <f>IF(Raw_Data!M345="","",Raw_Data!M345)</f>
        <v/>
      </c>
      <c r="K342" s="12">
        <f>IF(Raw_Data!AJ345&lt;&gt;"",Raw_Data!AJ345,Raw_Data!N345)</f>
        <v>0</v>
      </c>
      <c r="L342" s="12">
        <f t="shared" si="46"/>
        <v>1</v>
      </c>
      <c r="M342" s="12" t="str">
        <f>IF(Raw_Data!AK345="","",Raw_Data!AK345)</f>
        <v/>
      </c>
      <c r="N342" s="12" t="str">
        <f>IF(Raw_Data!T345="","",Raw_Data!T345)</f>
        <v/>
      </c>
      <c r="O342" s="12" t="str">
        <f>IF(Raw_Data!AB345&lt;&gt;"",Raw_Data!AB345,IF(N342="tres_insatisfait",1,IF(N342="insatisfait",2,IF(N342="neutre",3,IF(N342="satisfait",4,IF(N342="tres_satisfait",5,""))))))</f>
        <v/>
      </c>
      <c r="P342" s="12">
        <f>IF(Raw_Data!AL345&lt;&gt;"",Raw_Data!AL345,Raw_Data!R345)</f>
        <v>0</v>
      </c>
      <c r="Q342" s="12">
        <f t="shared" si="47"/>
        <v>0</v>
      </c>
      <c r="R342" s="12" t="str">
        <f>IF(Raw_Data!AM345="","",Raw_Data!AM345)</f>
        <v/>
      </c>
      <c r="S342" s="12" t="str">
        <f t="shared" si="48"/>
        <v/>
      </c>
      <c r="T342" s="12" t="str">
        <f>IF(Raw_Data!AN345="","",Raw_Data!AN345)</f>
        <v/>
      </c>
      <c r="U342" s="12" t="str">
        <f t="shared" si="49"/>
        <v/>
      </c>
      <c r="V342" s="12" t="str">
        <f>IF(Raw_Data!AP345="","",IF(Raw_Data!AP345="oui",1,0))</f>
        <v/>
      </c>
      <c r="W342" s="12" t="str">
        <f>IF(Raw_Data!AQ345="","",IF(Raw_Data!AQ345="oui",1,0))</f>
        <v/>
      </c>
      <c r="X342" s="12" t="str">
        <f>IF(Raw_Data!AR345="","",IF(Raw_Data!AR345="oui",1,0))</f>
        <v/>
      </c>
      <c r="Y342" s="12" t="str">
        <f>IF(Raw_Data!AS345="","",IF(Raw_Data!AS345="oui",1,0))</f>
        <v/>
      </c>
      <c r="Z342" s="12" t="str">
        <f>IF(Raw_Data!V345="","",IF(Raw_Data!V345="oui",1,0))</f>
        <v/>
      </c>
      <c r="AA342" s="12" t="str">
        <f>IF(Raw_Data!W345="","",IF(Raw_Data!W345="oui",1,0))</f>
        <v/>
      </c>
      <c r="AB342" s="12" t="str">
        <f>IF(Raw_Data!Q345="","",IF(Raw_Data!Q345="oui",1,0))</f>
        <v/>
      </c>
      <c r="AC342" s="12">
        <f>Raw_Data!AF345</f>
        <v>0</v>
      </c>
      <c r="AD342" s="12" t="str">
        <f t="shared" si="50"/>
        <v/>
      </c>
      <c r="AE342" s="12" t="str">
        <f t="shared" si="51"/>
        <v/>
      </c>
      <c r="AF342" s="12" t="str">
        <f t="shared" si="52"/>
        <v/>
      </c>
      <c r="AG342" s="12">
        <f t="shared" si="53"/>
        <v>0</v>
      </c>
    </row>
    <row r="343" spans="1:33" ht="15" customHeight="1" x14ac:dyDescent="0.25">
      <c r="A343" s="12" t="str">
        <f>IF(Raw_Data!B346="","",Raw_Data!B346)</f>
        <v/>
      </c>
      <c r="B343" s="12">
        <f>IF(Raw_Data!X346&lt;&gt;"",Raw_Data!X346,Raw_Data!C346)</f>
        <v>0</v>
      </c>
      <c r="C343" s="12" t="str">
        <f>IF(Raw_Data!G346="","",Raw_Data!G346)</f>
        <v/>
      </c>
      <c r="D343" s="12" t="str">
        <f>IF(Raw_Data!H346="","",Raw_Data!H346)</f>
        <v/>
      </c>
      <c r="E343" s="12" t="str">
        <f>IF(Raw_Data!I346="","",Raw_Data!I346)</f>
        <v/>
      </c>
      <c r="F343" s="12" t="str">
        <f>IF(Raw_Data!J346="","",Raw_Data!J346)</f>
        <v/>
      </c>
      <c r="G343" s="12" t="str">
        <f>IF(Raw_Data!AH346&lt;&gt;"",Raw_Data!AH346,IF(Raw_Data!K346&lt;&gt;"",Raw_Data!K346,""))</f>
        <v/>
      </c>
      <c r="H343" s="12" t="str">
        <f>IF(Raw_Data!AI346&lt;&gt;"",Raw_Data!AI346,IF(Raw_Data!L346&lt;&gt;"",Raw_Data!L346,""))</f>
        <v/>
      </c>
      <c r="I343" s="12" t="str">
        <f t="shared" si="45"/>
        <v/>
      </c>
      <c r="J343" s="12" t="str">
        <f>IF(Raw_Data!M346="","",Raw_Data!M346)</f>
        <v/>
      </c>
      <c r="K343" s="12">
        <f>IF(Raw_Data!AJ346&lt;&gt;"",Raw_Data!AJ346,Raw_Data!N346)</f>
        <v>0</v>
      </c>
      <c r="L343" s="12">
        <f t="shared" si="46"/>
        <v>1</v>
      </c>
      <c r="M343" s="12" t="str">
        <f>IF(Raw_Data!AK346="","",Raw_Data!AK346)</f>
        <v/>
      </c>
      <c r="N343" s="12" t="str">
        <f>IF(Raw_Data!T346="","",Raw_Data!T346)</f>
        <v/>
      </c>
      <c r="O343" s="12" t="str">
        <f>IF(Raw_Data!AB346&lt;&gt;"",Raw_Data!AB346,IF(N343="tres_insatisfait",1,IF(N343="insatisfait",2,IF(N343="neutre",3,IF(N343="satisfait",4,IF(N343="tres_satisfait",5,""))))))</f>
        <v/>
      </c>
      <c r="P343" s="12">
        <f>IF(Raw_Data!AL346&lt;&gt;"",Raw_Data!AL346,Raw_Data!R346)</f>
        <v>0</v>
      </c>
      <c r="Q343" s="12">
        <f t="shared" si="47"/>
        <v>0</v>
      </c>
      <c r="R343" s="12" t="str">
        <f>IF(Raw_Data!AM346="","",Raw_Data!AM346)</f>
        <v/>
      </c>
      <c r="S343" s="12" t="str">
        <f t="shared" si="48"/>
        <v/>
      </c>
      <c r="T343" s="12" t="str">
        <f>IF(Raw_Data!AN346="","",Raw_Data!AN346)</f>
        <v/>
      </c>
      <c r="U343" s="12" t="str">
        <f t="shared" si="49"/>
        <v/>
      </c>
      <c r="V343" s="12" t="str">
        <f>IF(Raw_Data!AP346="","",IF(Raw_Data!AP346="oui",1,0))</f>
        <v/>
      </c>
      <c r="W343" s="12" t="str">
        <f>IF(Raw_Data!AQ346="","",IF(Raw_Data!AQ346="oui",1,0))</f>
        <v/>
      </c>
      <c r="X343" s="12" t="str">
        <f>IF(Raw_Data!AR346="","",IF(Raw_Data!AR346="oui",1,0))</f>
        <v/>
      </c>
      <c r="Y343" s="12" t="str">
        <f>IF(Raw_Data!AS346="","",IF(Raw_Data!AS346="oui",1,0))</f>
        <v/>
      </c>
      <c r="Z343" s="12" t="str">
        <f>IF(Raw_Data!V346="","",IF(Raw_Data!V346="oui",1,0))</f>
        <v/>
      </c>
      <c r="AA343" s="12" t="str">
        <f>IF(Raw_Data!W346="","",IF(Raw_Data!W346="oui",1,0))</f>
        <v/>
      </c>
      <c r="AB343" s="12" t="str">
        <f>IF(Raw_Data!Q346="","",IF(Raw_Data!Q346="oui",1,0))</f>
        <v/>
      </c>
      <c r="AC343" s="12">
        <f>Raw_Data!AF346</f>
        <v>0</v>
      </c>
      <c r="AD343" s="12" t="str">
        <f t="shared" si="50"/>
        <v/>
      </c>
      <c r="AE343" s="12" t="str">
        <f t="shared" si="51"/>
        <v/>
      </c>
      <c r="AF343" s="12" t="str">
        <f t="shared" si="52"/>
        <v/>
      </c>
      <c r="AG343" s="12">
        <f t="shared" si="53"/>
        <v>0</v>
      </c>
    </row>
    <row r="344" spans="1:33" ht="15" customHeight="1" x14ac:dyDescent="0.25">
      <c r="A344" s="12" t="str">
        <f>IF(Raw_Data!B347="","",Raw_Data!B347)</f>
        <v/>
      </c>
      <c r="B344" s="12">
        <f>IF(Raw_Data!X347&lt;&gt;"",Raw_Data!X347,Raw_Data!C347)</f>
        <v>0</v>
      </c>
      <c r="C344" s="12" t="str">
        <f>IF(Raw_Data!G347="","",Raw_Data!G347)</f>
        <v/>
      </c>
      <c r="D344" s="12" t="str">
        <f>IF(Raw_Data!H347="","",Raw_Data!H347)</f>
        <v/>
      </c>
      <c r="E344" s="12" t="str">
        <f>IF(Raw_Data!I347="","",Raw_Data!I347)</f>
        <v/>
      </c>
      <c r="F344" s="12" t="str">
        <f>IF(Raw_Data!J347="","",Raw_Data!J347)</f>
        <v/>
      </c>
      <c r="G344" s="12" t="str">
        <f>IF(Raw_Data!AH347&lt;&gt;"",Raw_Data!AH347,IF(Raw_Data!K347&lt;&gt;"",Raw_Data!K347,""))</f>
        <v/>
      </c>
      <c r="H344" s="12" t="str">
        <f>IF(Raw_Data!AI347&lt;&gt;"",Raw_Data!AI347,IF(Raw_Data!L347&lt;&gt;"",Raw_Data!L347,""))</f>
        <v/>
      </c>
      <c r="I344" s="12" t="str">
        <f t="shared" si="45"/>
        <v/>
      </c>
      <c r="J344" s="12" t="str">
        <f>IF(Raw_Data!M347="","",Raw_Data!M347)</f>
        <v/>
      </c>
      <c r="K344" s="12">
        <f>IF(Raw_Data!AJ347&lt;&gt;"",Raw_Data!AJ347,Raw_Data!N347)</f>
        <v>0</v>
      </c>
      <c r="L344" s="12">
        <f t="shared" si="46"/>
        <v>1</v>
      </c>
      <c r="M344" s="12" t="str">
        <f>IF(Raw_Data!AK347="","",Raw_Data!AK347)</f>
        <v/>
      </c>
      <c r="N344" s="12" t="str">
        <f>IF(Raw_Data!T347="","",Raw_Data!T347)</f>
        <v/>
      </c>
      <c r="O344" s="12" t="str">
        <f>IF(Raw_Data!AB347&lt;&gt;"",Raw_Data!AB347,IF(N344="tres_insatisfait",1,IF(N344="insatisfait",2,IF(N344="neutre",3,IF(N344="satisfait",4,IF(N344="tres_satisfait",5,""))))))</f>
        <v/>
      </c>
      <c r="P344" s="12">
        <f>IF(Raw_Data!AL347&lt;&gt;"",Raw_Data!AL347,Raw_Data!R347)</f>
        <v>0</v>
      </c>
      <c r="Q344" s="12">
        <f t="shared" si="47"/>
        <v>0</v>
      </c>
      <c r="R344" s="12" t="str">
        <f>IF(Raw_Data!AM347="","",Raw_Data!AM347)</f>
        <v/>
      </c>
      <c r="S344" s="12" t="str">
        <f t="shared" si="48"/>
        <v/>
      </c>
      <c r="T344" s="12" t="str">
        <f>IF(Raw_Data!AN347="","",Raw_Data!AN347)</f>
        <v/>
      </c>
      <c r="U344" s="12" t="str">
        <f t="shared" si="49"/>
        <v/>
      </c>
      <c r="V344" s="12" t="str">
        <f>IF(Raw_Data!AP347="","",IF(Raw_Data!AP347="oui",1,0))</f>
        <v/>
      </c>
      <c r="W344" s="12" t="str">
        <f>IF(Raw_Data!AQ347="","",IF(Raw_Data!AQ347="oui",1,0))</f>
        <v/>
      </c>
      <c r="X344" s="12" t="str">
        <f>IF(Raw_Data!AR347="","",IF(Raw_Data!AR347="oui",1,0))</f>
        <v/>
      </c>
      <c r="Y344" s="12" t="str">
        <f>IF(Raw_Data!AS347="","",IF(Raw_Data!AS347="oui",1,0))</f>
        <v/>
      </c>
      <c r="Z344" s="12" t="str">
        <f>IF(Raw_Data!V347="","",IF(Raw_Data!V347="oui",1,0))</f>
        <v/>
      </c>
      <c r="AA344" s="12" t="str">
        <f>IF(Raw_Data!W347="","",IF(Raw_Data!W347="oui",1,0))</f>
        <v/>
      </c>
      <c r="AB344" s="12" t="str">
        <f>IF(Raw_Data!Q347="","",IF(Raw_Data!Q347="oui",1,0))</f>
        <v/>
      </c>
      <c r="AC344" s="12">
        <f>Raw_Data!AF347</f>
        <v>0</v>
      </c>
      <c r="AD344" s="12" t="str">
        <f t="shared" si="50"/>
        <v/>
      </c>
      <c r="AE344" s="12" t="str">
        <f t="shared" si="51"/>
        <v/>
      </c>
      <c r="AF344" s="12" t="str">
        <f t="shared" si="52"/>
        <v/>
      </c>
      <c r="AG344" s="12">
        <f t="shared" si="53"/>
        <v>0</v>
      </c>
    </row>
    <row r="345" spans="1:33" ht="15" customHeight="1" x14ac:dyDescent="0.25">
      <c r="A345" s="12" t="str">
        <f>IF(Raw_Data!B348="","",Raw_Data!B348)</f>
        <v/>
      </c>
      <c r="B345" s="12">
        <f>IF(Raw_Data!X348&lt;&gt;"",Raw_Data!X348,Raw_Data!C348)</f>
        <v>0</v>
      </c>
      <c r="C345" s="12" t="str">
        <f>IF(Raw_Data!G348="","",Raw_Data!G348)</f>
        <v/>
      </c>
      <c r="D345" s="12" t="str">
        <f>IF(Raw_Data!H348="","",Raw_Data!H348)</f>
        <v/>
      </c>
      <c r="E345" s="12" t="str">
        <f>IF(Raw_Data!I348="","",Raw_Data!I348)</f>
        <v/>
      </c>
      <c r="F345" s="12" t="str">
        <f>IF(Raw_Data!J348="","",Raw_Data!J348)</f>
        <v/>
      </c>
      <c r="G345" s="12" t="str">
        <f>IF(Raw_Data!AH348&lt;&gt;"",Raw_Data!AH348,IF(Raw_Data!K348&lt;&gt;"",Raw_Data!K348,""))</f>
        <v/>
      </c>
      <c r="H345" s="12" t="str">
        <f>IF(Raw_Data!AI348&lt;&gt;"",Raw_Data!AI348,IF(Raw_Data!L348&lt;&gt;"",Raw_Data!L348,""))</f>
        <v/>
      </c>
      <c r="I345" s="12" t="str">
        <f t="shared" si="45"/>
        <v/>
      </c>
      <c r="J345" s="12" t="str">
        <f>IF(Raw_Data!M348="","",Raw_Data!M348)</f>
        <v/>
      </c>
      <c r="K345" s="12">
        <f>IF(Raw_Data!AJ348&lt;&gt;"",Raw_Data!AJ348,Raw_Data!N348)</f>
        <v>0</v>
      </c>
      <c r="L345" s="12">
        <f t="shared" si="46"/>
        <v>1</v>
      </c>
      <c r="M345" s="12" t="str">
        <f>IF(Raw_Data!AK348="","",Raw_Data!AK348)</f>
        <v/>
      </c>
      <c r="N345" s="12" t="str">
        <f>IF(Raw_Data!T348="","",Raw_Data!T348)</f>
        <v/>
      </c>
      <c r="O345" s="12" t="str">
        <f>IF(Raw_Data!AB348&lt;&gt;"",Raw_Data!AB348,IF(N345="tres_insatisfait",1,IF(N345="insatisfait",2,IF(N345="neutre",3,IF(N345="satisfait",4,IF(N345="tres_satisfait",5,""))))))</f>
        <v/>
      </c>
      <c r="P345" s="12">
        <f>IF(Raw_Data!AL348&lt;&gt;"",Raw_Data!AL348,Raw_Data!R348)</f>
        <v>0</v>
      </c>
      <c r="Q345" s="12">
        <f t="shared" si="47"/>
        <v>0</v>
      </c>
      <c r="R345" s="12" t="str">
        <f>IF(Raw_Data!AM348="","",Raw_Data!AM348)</f>
        <v/>
      </c>
      <c r="S345" s="12" t="str">
        <f t="shared" si="48"/>
        <v/>
      </c>
      <c r="T345" s="12" t="str">
        <f>IF(Raw_Data!AN348="","",Raw_Data!AN348)</f>
        <v/>
      </c>
      <c r="U345" s="12" t="str">
        <f t="shared" si="49"/>
        <v/>
      </c>
      <c r="V345" s="12" t="str">
        <f>IF(Raw_Data!AP348="","",IF(Raw_Data!AP348="oui",1,0))</f>
        <v/>
      </c>
      <c r="W345" s="12" t="str">
        <f>IF(Raw_Data!AQ348="","",IF(Raw_Data!AQ348="oui",1,0))</f>
        <v/>
      </c>
      <c r="X345" s="12" t="str">
        <f>IF(Raw_Data!AR348="","",IF(Raw_Data!AR348="oui",1,0))</f>
        <v/>
      </c>
      <c r="Y345" s="12" t="str">
        <f>IF(Raw_Data!AS348="","",IF(Raw_Data!AS348="oui",1,0))</f>
        <v/>
      </c>
      <c r="Z345" s="12" t="str">
        <f>IF(Raw_Data!V348="","",IF(Raw_Data!V348="oui",1,0))</f>
        <v/>
      </c>
      <c r="AA345" s="12" t="str">
        <f>IF(Raw_Data!W348="","",IF(Raw_Data!W348="oui",1,0))</f>
        <v/>
      </c>
      <c r="AB345" s="12" t="str">
        <f>IF(Raw_Data!Q348="","",IF(Raw_Data!Q348="oui",1,0))</f>
        <v/>
      </c>
      <c r="AC345" s="12">
        <f>Raw_Data!AF348</f>
        <v>0</v>
      </c>
      <c r="AD345" s="12" t="str">
        <f t="shared" si="50"/>
        <v/>
      </c>
      <c r="AE345" s="12" t="str">
        <f t="shared" si="51"/>
        <v/>
      </c>
      <c r="AF345" s="12" t="str">
        <f t="shared" si="52"/>
        <v/>
      </c>
      <c r="AG345" s="12">
        <f t="shared" si="53"/>
        <v>0</v>
      </c>
    </row>
    <row r="346" spans="1:33" ht="15" customHeight="1" x14ac:dyDescent="0.25">
      <c r="A346" s="12" t="str">
        <f>IF(Raw_Data!B349="","",Raw_Data!B349)</f>
        <v/>
      </c>
      <c r="B346" s="12">
        <f>IF(Raw_Data!X349&lt;&gt;"",Raw_Data!X349,Raw_Data!C349)</f>
        <v>0</v>
      </c>
      <c r="C346" s="12" t="str">
        <f>IF(Raw_Data!G349="","",Raw_Data!G349)</f>
        <v/>
      </c>
      <c r="D346" s="12" t="str">
        <f>IF(Raw_Data!H349="","",Raw_Data!H349)</f>
        <v/>
      </c>
      <c r="E346" s="12" t="str">
        <f>IF(Raw_Data!I349="","",Raw_Data!I349)</f>
        <v/>
      </c>
      <c r="F346" s="12" t="str">
        <f>IF(Raw_Data!J349="","",Raw_Data!J349)</f>
        <v/>
      </c>
      <c r="G346" s="12" t="str">
        <f>IF(Raw_Data!AH349&lt;&gt;"",Raw_Data!AH349,IF(Raw_Data!K349&lt;&gt;"",Raw_Data!K349,""))</f>
        <v/>
      </c>
      <c r="H346" s="12" t="str">
        <f>IF(Raw_Data!AI349&lt;&gt;"",Raw_Data!AI349,IF(Raw_Data!L349&lt;&gt;"",Raw_Data!L349,""))</f>
        <v/>
      </c>
      <c r="I346" s="12" t="str">
        <f t="shared" si="45"/>
        <v/>
      </c>
      <c r="J346" s="12" t="str">
        <f>IF(Raw_Data!M349="","",Raw_Data!M349)</f>
        <v/>
      </c>
      <c r="K346" s="12">
        <f>IF(Raw_Data!AJ349&lt;&gt;"",Raw_Data!AJ349,Raw_Data!N349)</f>
        <v>0</v>
      </c>
      <c r="L346" s="12">
        <f t="shared" si="46"/>
        <v>1</v>
      </c>
      <c r="M346" s="12" t="str">
        <f>IF(Raw_Data!AK349="","",Raw_Data!AK349)</f>
        <v/>
      </c>
      <c r="N346" s="12" t="str">
        <f>IF(Raw_Data!T349="","",Raw_Data!T349)</f>
        <v/>
      </c>
      <c r="O346" s="12" t="str">
        <f>IF(Raw_Data!AB349&lt;&gt;"",Raw_Data!AB349,IF(N346="tres_insatisfait",1,IF(N346="insatisfait",2,IF(N346="neutre",3,IF(N346="satisfait",4,IF(N346="tres_satisfait",5,""))))))</f>
        <v/>
      </c>
      <c r="P346" s="12">
        <f>IF(Raw_Data!AL349&lt;&gt;"",Raw_Data!AL349,Raw_Data!R349)</f>
        <v>0</v>
      </c>
      <c r="Q346" s="12">
        <f t="shared" si="47"/>
        <v>0</v>
      </c>
      <c r="R346" s="12" t="str">
        <f>IF(Raw_Data!AM349="","",Raw_Data!AM349)</f>
        <v/>
      </c>
      <c r="S346" s="12" t="str">
        <f t="shared" si="48"/>
        <v/>
      </c>
      <c r="T346" s="12" t="str">
        <f>IF(Raw_Data!AN349="","",Raw_Data!AN349)</f>
        <v/>
      </c>
      <c r="U346" s="12" t="str">
        <f t="shared" si="49"/>
        <v/>
      </c>
      <c r="V346" s="12" t="str">
        <f>IF(Raw_Data!AP349="","",IF(Raw_Data!AP349="oui",1,0))</f>
        <v/>
      </c>
      <c r="W346" s="12" t="str">
        <f>IF(Raw_Data!AQ349="","",IF(Raw_Data!AQ349="oui",1,0))</f>
        <v/>
      </c>
      <c r="X346" s="12" t="str">
        <f>IF(Raw_Data!AR349="","",IF(Raw_Data!AR349="oui",1,0))</f>
        <v/>
      </c>
      <c r="Y346" s="12" t="str">
        <f>IF(Raw_Data!AS349="","",IF(Raw_Data!AS349="oui",1,0))</f>
        <v/>
      </c>
      <c r="Z346" s="12" t="str">
        <f>IF(Raw_Data!V349="","",IF(Raw_Data!V349="oui",1,0))</f>
        <v/>
      </c>
      <c r="AA346" s="12" t="str">
        <f>IF(Raw_Data!W349="","",IF(Raw_Data!W349="oui",1,0))</f>
        <v/>
      </c>
      <c r="AB346" s="12" t="str">
        <f>IF(Raw_Data!Q349="","",IF(Raw_Data!Q349="oui",1,0))</f>
        <v/>
      </c>
      <c r="AC346" s="12">
        <f>Raw_Data!AF349</f>
        <v>0</v>
      </c>
      <c r="AD346" s="12" t="str">
        <f t="shared" si="50"/>
        <v/>
      </c>
      <c r="AE346" s="12" t="str">
        <f t="shared" si="51"/>
        <v/>
      </c>
      <c r="AF346" s="12" t="str">
        <f t="shared" si="52"/>
        <v/>
      </c>
      <c r="AG346" s="12">
        <f t="shared" si="53"/>
        <v>0</v>
      </c>
    </row>
    <row r="347" spans="1:33" ht="15" customHeight="1" x14ac:dyDescent="0.25">
      <c r="A347" s="12" t="str">
        <f>IF(Raw_Data!B350="","",Raw_Data!B350)</f>
        <v/>
      </c>
      <c r="B347" s="12">
        <f>IF(Raw_Data!X350&lt;&gt;"",Raw_Data!X350,Raw_Data!C350)</f>
        <v>0</v>
      </c>
      <c r="C347" s="12" t="str">
        <f>IF(Raw_Data!G350="","",Raw_Data!G350)</f>
        <v/>
      </c>
      <c r="D347" s="12" t="str">
        <f>IF(Raw_Data!H350="","",Raw_Data!H350)</f>
        <v/>
      </c>
      <c r="E347" s="12" t="str">
        <f>IF(Raw_Data!I350="","",Raw_Data!I350)</f>
        <v/>
      </c>
      <c r="F347" s="12" t="str">
        <f>IF(Raw_Data!J350="","",Raw_Data!J350)</f>
        <v/>
      </c>
      <c r="G347" s="12" t="str">
        <f>IF(Raw_Data!AH350&lt;&gt;"",Raw_Data!AH350,IF(Raw_Data!K350&lt;&gt;"",Raw_Data!K350,""))</f>
        <v/>
      </c>
      <c r="H347" s="12" t="str">
        <f>IF(Raw_Data!AI350&lt;&gt;"",Raw_Data!AI350,IF(Raw_Data!L350&lt;&gt;"",Raw_Data!L350,""))</f>
        <v/>
      </c>
      <c r="I347" s="12" t="str">
        <f t="shared" si="45"/>
        <v/>
      </c>
      <c r="J347" s="12" t="str">
        <f>IF(Raw_Data!M350="","",Raw_Data!M350)</f>
        <v/>
      </c>
      <c r="K347" s="12">
        <f>IF(Raw_Data!AJ350&lt;&gt;"",Raw_Data!AJ350,Raw_Data!N350)</f>
        <v>0</v>
      </c>
      <c r="L347" s="12">
        <f t="shared" si="46"/>
        <v>1</v>
      </c>
      <c r="M347" s="12" t="str">
        <f>IF(Raw_Data!AK350="","",Raw_Data!AK350)</f>
        <v/>
      </c>
      <c r="N347" s="12" t="str">
        <f>IF(Raw_Data!T350="","",Raw_Data!T350)</f>
        <v/>
      </c>
      <c r="O347" s="12" t="str">
        <f>IF(Raw_Data!AB350&lt;&gt;"",Raw_Data!AB350,IF(N347="tres_insatisfait",1,IF(N347="insatisfait",2,IF(N347="neutre",3,IF(N347="satisfait",4,IF(N347="tres_satisfait",5,""))))))</f>
        <v/>
      </c>
      <c r="P347" s="12">
        <f>IF(Raw_Data!AL350&lt;&gt;"",Raw_Data!AL350,Raw_Data!R350)</f>
        <v>0</v>
      </c>
      <c r="Q347" s="12">
        <f t="shared" si="47"/>
        <v>0</v>
      </c>
      <c r="R347" s="12" t="str">
        <f>IF(Raw_Data!AM350="","",Raw_Data!AM350)</f>
        <v/>
      </c>
      <c r="S347" s="12" t="str">
        <f t="shared" si="48"/>
        <v/>
      </c>
      <c r="T347" s="12" t="str">
        <f>IF(Raw_Data!AN350="","",Raw_Data!AN350)</f>
        <v/>
      </c>
      <c r="U347" s="12" t="str">
        <f t="shared" si="49"/>
        <v/>
      </c>
      <c r="V347" s="12" t="str">
        <f>IF(Raw_Data!AP350="","",IF(Raw_Data!AP350="oui",1,0))</f>
        <v/>
      </c>
      <c r="W347" s="12" t="str">
        <f>IF(Raw_Data!AQ350="","",IF(Raw_Data!AQ350="oui",1,0))</f>
        <v/>
      </c>
      <c r="X347" s="12" t="str">
        <f>IF(Raw_Data!AR350="","",IF(Raw_Data!AR350="oui",1,0))</f>
        <v/>
      </c>
      <c r="Y347" s="12" t="str">
        <f>IF(Raw_Data!AS350="","",IF(Raw_Data!AS350="oui",1,0))</f>
        <v/>
      </c>
      <c r="Z347" s="12" t="str">
        <f>IF(Raw_Data!V350="","",IF(Raw_Data!V350="oui",1,0))</f>
        <v/>
      </c>
      <c r="AA347" s="12" t="str">
        <f>IF(Raw_Data!W350="","",IF(Raw_Data!W350="oui",1,0))</f>
        <v/>
      </c>
      <c r="AB347" s="12" t="str">
        <f>IF(Raw_Data!Q350="","",IF(Raw_Data!Q350="oui",1,0))</f>
        <v/>
      </c>
      <c r="AC347" s="12">
        <f>Raw_Data!AF350</f>
        <v>0</v>
      </c>
      <c r="AD347" s="12" t="str">
        <f t="shared" si="50"/>
        <v/>
      </c>
      <c r="AE347" s="12" t="str">
        <f t="shared" si="51"/>
        <v/>
      </c>
      <c r="AF347" s="12" t="str">
        <f t="shared" si="52"/>
        <v/>
      </c>
      <c r="AG347" s="12">
        <f t="shared" si="53"/>
        <v>0</v>
      </c>
    </row>
    <row r="348" spans="1:33" ht="15" customHeight="1" x14ac:dyDescent="0.25">
      <c r="A348" s="12" t="str">
        <f>IF(Raw_Data!B351="","",Raw_Data!B351)</f>
        <v/>
      </c>
      <c r="B348" s="12">
        <f>IF(Raw_Data!X351&lt;&gt;"",Raw_Data!X351,Raw_Data!C351)</f>
        <v>0</v>
      </c>
      <c r="C348" s="12" t="str">
        <f>IF(Raw_Data!G351="","",Raw_Data!G351)</f>
        <v/>
      </c>
      <c r="D348" s="12" t="str">
        <f>IF(Raw_Data!H351="","",Raw_Data!H351)</f>
        <v/>
      </c>
      <c r="E348" s="12" t="str">
        <f>IF(Raw_Data!I351="","",Raw_Data!I351)</f>
        <v/>
      </c>
      <c r="F348" s="12" t="str">
        <f>IF(Raw_Data!J351="","",Raw_Data!J351)</f>
        <v/>
      </c>
      <c r="G348" s="12" t="str">
        <f>IF(Raw_Data!AH351&lt;&gt;"",Raw_Data!AH351,IF(Raw_Data!K351&lt;&gt;"",Raw_Data!K351,""))</f>
        <v/>
      </c>
      <c r="H348" s="12" t="str">
        <f>IF(Raw_Data!AI351&lt;&gt;"",Raw_Data!AI351,IF(Raw_Data!L351&lt;&gt;"",Raw_Data!L351,""))</f>
        <v/>
      </c>
      <c r="I348" s="12" t="str">
        <f t="shared" si="45"/>
        <v/>
      </c>
      <c r="J348" s="12" t="str">
        <f>IF(Raw_Data!M351="","",Raw_Data!M351)</f>
        <v/>
      </c>
      <c r="K348" s="12">
        <f>IF(Raw_Data!AJ351&lt;&gt;"",Raw_Data!AJ351,Raw_Data!N351)</f>
        <v>0</v>
      </c>
      <c r="L348" s="12">
        <f t="shared" si="46"/>
        <v>1</v>
      </c>
      <c r="M348" s="12" t="str">
        <f>IF(Raw_Data!AK351="","",Raw_Data!AK351)</f>
        <v/>
      </c>
      <c r="N348" s="12" t="str">
        <f>IF(Raw_Data!T351="","",Raw_Data!T351)</f>
        <v/>
      </c>
      <c r="O348" s="12" t="str">
        <f>IF(Raw_Data!AB351&lt;&gt;"",Raw_Data!AB351,IF(N348="tres_insatisfait",1,IF(N348="insatisfait",2,IF(N348="neutre",3,IF(N348="satisfait",4,IF(N348="tres_satisfait",5,""))))))</f>
        <v/>
      </c>
      <c r="P348" s="12">
        <f>IF(Raw_Data!AL351&lt;&gt;"",Raw_Data!AL351,Raw_Data!R351)</f>
        <v>0</v>
      </c>
      <c r="Q348" s="12">
        <f t="shared" si="47"/>
        <v>0</v>
      </c>
      <c r="R348" s="12" t="str">
        <f>IF(Raw_Data!AM351="","",Raw_Data!AM351)</f>
        <v/>
      </c>
      <c r="S348" s="12" t="str">
        <f t="shared" si="48"/>
        <v/>
      </c>
      <c r="T348" s="12" t="str">
        <f>IF(Raw_Data!AN351="","",Raw_Data!AN351)</f>
        <v/>
      </c>
      <c r="U348" s="12" t="str">
        <f t="shared" si="49"/>
        <v/>
      </c>
      <c r="V348" s="12" t="str">
        <f>IF(Raw_Data!AP351="","",IF(Raw_Data!AP351="oui",1,0))</f>
        <v/>
      </c>
      <c r="W348" s="12" t="str">
        <f>IF(Raw_Data!AQ351="","",IF(Raw_Data!AQ351="oui",1,0))</f>
        <v/>
      </c>
      <c r="X348" s="12" t="str">
        <f>IF(Raw_Data!AR351="","",IF(Raw_Data!AR351="oui",1,0))</f>
        <v/>
      </c>
      <c r="Y348" s="12" t="str">
        <f>IF(Raw_Data!AS351="","",IF(Raw_Data!AS351="oui",1,0))</f>
        <v/>
      </c>
      <c r="Z348" s="12" t="str">
        <f>IF(Raw_Data!V351="","",IF(Raw_Data!V351="oui",1,0))</f>
        <v/>
      </c>
      <c r="AA348" s="12" t="str">
        <f>IF(Raw_Data!W351="","",IF(Raw_Data!W351="oui",1,0))</f>
        <v/>
      </c>
      <c r="AB348" s="12" t="str">
        <f>IF(Raw_Data!Q351="","",IF(Raw_Data!Q351="oui",1,0))</f>
        <v/>
      </c>
      <c r="AC348" s="12">
        <f>Raw_Data!AF351</f>
        <v>0</v>
      </c>
      <c r="AD348" s="12" t="str">
        <f t="shared" si="50"/>
        <v/>
      </c>
      <c r="AE348" s="12" t="str">
        <f t="shared" si="51"/>
        <v/>
      </c>
      <c r="AF348" s="12" t="str">
        <f t="shared" si="52"/>
        <v/>
      </c>
      <c r="AG348" s="12">
        <f t="shared" si="53"/>
        <v>0</v>
      </c>
    </row>
    <row r="349" spans="1:33" ht="15" customHeight="1" x14ac:dyDescent="0.25">
      <c r="A349" s="12" t="str">
        <f>IF(Raw_Data!B352="","",Raw_Data!B352)</f>
        <v/>
      </c>
      <c r="B349" s="12">
        <f>IF(Raw_Data!X352&lt;&gt;"",Raw_Data!X352,Raw_Data!C352)</f>
        <v>0</v>
      </c>
      <c r="C349" s="12" t="str">
        <f>IF(Raw_Data!G352="","",Raw_Data!G352)</f>
        <v/>
      </c>
      <c r="D349" s="12" t="str">
        <f>IF(Raw_Data!H352="","",Raw_Data!H352)</f>
        <v/>
      </c>
      <c r="E349" s="12" t="str">
        <f>IF(Raw_Data!I352="","",Raw_Data!I352)</f>
        <v/>
      </c>
      <c r="F349" s="12" t="str">
        <f>IF(Raw_Data!J352="","",Raw_Data!J352)</f>
        <v/>
      </c>
      <c r="G349" s="12" t="str">
        <f>IF(Raw_Data!AH352&lt;&gt;"",Raw_Data!AH352,IF(Raw_Data!K352&lt;&gt;"",Raw_Data!K352,""))</f>
        <v/>
      </c>
      <c r="H349" s="12" t="str">
        <f>IF(Raw_Data!AI352&lt;&gt;"",Raw_Data!AI352,IF(Raw_Data!L352&lt;&gt;"",Raw_Data!L352,""))</f>
        <v/>
      </c>
      <c r="I349" s="12" t="str">
        <f t="shared" si="45"/>
        <v/>
      </c>
      <c r="J349" s="12" t="str">
        <f>IF(Raw_Data!M352="","",Raw_Data!M352)</f>
        <v/>
      </c>
      <c r="K349" s="12">
        <f>IF(Raw_Data!AJ352&lt;&gt;"",Raw_Data!AJ352,Raw_Data!N352)</f>
        <v>0</v>
      </c>
      <c r="L349" s="12">
        <f t="shared" si="46"/>
        <v>1</v>
      </c>
      <c r="M349" s="12" t="str">
        <f>IF(Raw_Data!AK352="","",Raw_Data!AK352)</f>
        <v/>
      </c>
      <c r="N349" s="12" t="str">
        <f>IF(Raw_Data!T352="","",Raw_Data!T352)</f>
        <v/>
      </c>
      <c r="O349" s="12" t="str">
        <f>IF(Raw_Data!AB352&lt;&gt;"",Raw_Data!AB352,IF(N349="tres_insatisfait",1,IF(N349="insatisfait",2,IF(N349="neutre",3,IF(N349="satisfait",4,IF(N349="tres_satisfait",5,""))))))</f>
        <v/>
      </c>
      <c r="P349" s="12">
        <f>IF(Raw_Data!AL352&lt;&gt;"",Raw_Data!AL352,Raw_Data!R352)</f>
        <v>0</v>
      </c>
      <c r="Q349" s="12">
        <f t="shared" si="47"/>
        <v>0</v>
      </c>
      <c r="R349" s="12" t="str">
        <f>IF(Raw_Data!AM352="","",Raw_Data!AM352)</f>
        <v/>
      </c>
      <c r="S349" s="12" t="str">
        <f t="shared" si="48"/>
        <v/>
      </c>
      <c r="T349" s="12" t="str">
        <f>IF(Raw_Data!AN352="","",Raw_Data!AN352)</f>
        <v/>
      </c>
      <c r="U349" s="12" t="str">
        <f t="shared" si="49"/>
        <v/>
      </c>
      <c r="V349" s="12" t="str">
        <f>IF(Raw_Data!AP352="","",IF(Raw_Data!AP352="oui",1,0))</f>
        <v/>
      </c>
      <c r="W349" s="12" t="str">
        <f>IF(Raw_Data!AQ352="","",IF(Raw_Data!AQ352="oui",1,0))</f>
        <v/>
      </c>
      <c r="X349" s="12" t="str">
        <f>IF(Raw_Data!AR352="","",IF(Raw_Data!AR352="oui",1,0))</f>
        <v/>
      </c>
      <c r="Y349" s="12" t="str">
        <f>IF(Raw_Data!AS352="","",IF(Raw_Data!AS352="oui",1,0))</f>
        <v/>
      </c>
      <c r="Z349" s="12" t="str">
        <f>IF(Raw_Data!V352="","",IF(Raw_Data!V352="oui",1,0))</f>
        <v/>
      </c>
      <c r="AA349" s="12" t="str">
        <f>IF(Raw_Data!W352="","",IF(Raw_Data!W352="oui",1,0))</f>
        <v/>
      </c>
      <c r="AB349" s="12" t="str">
        <f>IF(Raw_Data!Q352="","",IF(Raw_Data!Q352="oui",1,0))</f>
        <v/>
      </c>
      <c r="AC349" s="12">
        <f>Raw_Data!AF352</f>
        <v>0</v>
      </c>
      <c r="AD349" s="12" t="str">
        <f t="shared" si="50"/>
        <v/>
      </c>
      <c r="AE349" s="12" t="str">
        <f t="shared" si="51"/>
        <v/>
      </c>
      <c r="AF349" s="12" t="str">
        <f t="shared" si="52"/>
        <v/>
      </c>
      <c r="AG349" s="12">
        <f t="shared" si="53"/>
        <v>0</v>
      </c>
    </row>
    <row r="350" spans="1:33" ht="15" customHeight="1" x14ac:dyDescent="0.25">
      <c r="A350" s="12" t="str">
        <f>IF(Raw_Data!B353="","",Raw_Data!B353)</f>
        <v/>
      </c>
      <c r="B350" s="12">
        <f>IF(Raw_Data!X353&lt;&gt;"",Raw_Data!X353,Raw_Data!C353)</f>
        <v>0</v>
      </c>
      <c r="C350" s="12" t="str">
        <f>IF(Raw_Data!G353="","",Raw_Data!G353)</f>
        <v/>
      </c>
      <c r="D350" s="12" t="str">
        <f>IF(Raw_Data!H353="","",Raw_Data!H353)</f>
        <v/>
      </c>
      <c r="E350" s="12" t="str">
        <f>IF(Raw_Data!I353="","",Raw_Data!I353)</f>
        <v/>
      </c>
      <c r="F350" s="12" t="str">
        <f>IF(Raw_Data!J353="","",Raw_Data!J353)</f>
        <v/>
      </c>
      <c r="G350" s="12" t="str">
        <f>IF(Raw_Data!AH353&lt;&gt;"",Raw_Data!AH353,IF(Raw_Data!K353&lt;&gt;"",Raw_Data!K353,""))</f>
        <v/>
      </c>
      <c r="H350" s="12" t="str">
        <f>IF(Raw_Data!AI353&lt;&gt;"",Raw_Data!AI353,IF(Raw_Data!L353&lt;&gt;"",Raw_Data!L353,""))</f>
        <v/>
      </c>
      <c r="I350" s="12" t="str">
        <f t="shared" si="45"/>
        <v/>
      </c>
      <c r="J350" s="12" t="str">
        <f>IF(Raw_Data!M353="","",Raw_Data!M353)</f>
        <v/>
      </c>
      <c r="K350" s="12">
        <f>IF(Raw_Data!AJ353&lt;&gt;"",Raw_Data!AJ353,Raw_Data!N353)</f>
        <v>0</v>
      </c>
      <c r="L350" s="12">
        <f t="shared" si="46"/>
        <v>1</v>
      </c>
      <c r="M350" s="12" t="str">
        <f>IF(Raw_Data!AK353="","",Raw_Data!AK353)</f>
        <v/>
      </c>
      <c r="N350" s="12" t="str">
        <f>IF(Raw_Data!T353="","",Raw_Data!T353)</f>
        <v/>
      </c>
      <c r="O350" s="12" t="str">
        <f>IF(Raw_Data!AB353&lt;&gt;"",Raw_Data!AB353,IF(N350="tres_insatisfait",1,IF(N350="insatisfait",2,IF(N350="neutre",3,IF(N350="satisfait",4,IF(N350="tres_satisfait",5,""))))))</f>
        <v/>
      </c>
      <c r="P350" s="12">
        <f>IF(Raw_Data!AL353&lt;&gt;"",Raw_Data!AL353,Raw_Data!R353)</f>
        <v>0</v>
      </c>
      <c r="Q350" s="12">
        <f t="shared" si="47"/>
        <v>0</v>
      </c>
      <c r="R350" s="12" t="str">
        <f>IF(Raw_Data!AM353="","",Raw_Data!AM353)</f>
        <v/>
      </c>
      <c r="S350" s="12" t="str">
        <f t="shared" si="48"/>
        <v/>
      </c>
      <c r="T350" s="12" t="str">
        <f>IF(Raw_Data!AN353="","",Raw_Data!AN353)</f>
        <v/>
      </c>
      <c r="U350" s="12" t="str">
        <f t="shared" si="49"/>
        <v/>
      </c>
      <c r="V350" s="12" t="str">
        <f>IF(Raw_Data!AP353="","",IF(Raw_Data!AP353="oui",1,0))</f>
        <v/>
      </c>
      <c r="W350" s="12" t="str">
        <f>IF(Raw_Data!AQ353="","",IF(Raw_Data!AQ353="oui",1,0))</f>
        <v/>
      </c>
      <c r="X350" s="12" t="str">
        <f>IF(Raw_Data!AR353="","",IF(Raw_Data!AR353="oui",1,0))</f>
        <v/>
      </c>
      <c r="Y350" s="12" t="str">
        <f>IF(Raw_Data!AS353="","",IF(Raw_Data!AS353="oui",1,0))</f>
        <v/>
      </c>
      <c r="Z350" s="12" t="str">
        <f>IF(Raw_Data!V353="","",IF(Raw_Data!V353="oui",1,0))</f>
        <v/>
      </c>
      <c r="AA350" s="12" t="str">
        <f>IF(Raw_Data!W353="","",IF(Raw_Data!W353="oui",1,0))</f>
        <v/>
      </c>
      <c r="AB350" s="12" t="str">
        <f>IF(Raw_Data!Q353="","",IF(Raw_Data!Q353="oui",1,0))</f>
        <v/>
      </c>
      <c r="AC350" s="12">
        <f>Raw_Data!AF353</f>
        <v>0</v>
      </c>
      <c r="AD350" s="12" t="str">
        <f t="shared" si="50"/>
        <v/>
      </c>
      <c r="AE350" s="12" t="str">
        <f t="shared" si="51"/>
        <v/>
      </c>
      <c r="AF350" s="12" t="str">
        <f t="shared" si="52"/>
        <v/>
      </c>
      <c r="AG350" s="12">
        <f t="shared" si="53"/>
        <v>0</v>
      </c>
    </row>
    <row r="351" spans="1:33" ht="15" customHeight="1" x14ac:dyDescent="0.25">
      <c r="A351" s="12" t="str">
        <f>IF(Raw_Data!B354="","",Raw_Data!B354)</f>
        <v/>
      </c>
      <c r="B351" s="12">
        <f>IF(Raw_Data!X354&lt;&gt;"",Raw_Data!X354,Raw_Data!C354)</f>
        <v>0</v>
      </c>
      <c r="C351" s="12" t="str">
        <f>IF(Raw_Data!G354="","",Raw_Data!G354)</f>
        <v/>
      </c>
      <c r="D351" s="12" t="str">
        <f>IF(Raw_Data!H354="","",Raw_Data!H354)</f>
        <v/>
      </c>
      <c r="E351" s="12" t="str">
        <f>IF(Raw_Data!I354="","",Raw_Data!I354)</f>
        <v/>
      </c>
      <c r="F351" s="12" t="str">
        <f>IF(Raw_Data!J354="","",Raw_Data!J354)</f>
        <v/>
      </c>
      <c r="G351" s="12" t="str">
        <f>IF(Raw_Data!AH354&lt;&gt;"",Raw_Data!AH354,IF(Raw_Data!K354&lt;&gt;"",Raw_Data!K354,""))</f>
        <v/>
      </c>
      <c r="H351" s="12" t="str">
        <f>IF(Raw_Data!AI354&lt;&gt;"",Raw_Data!AI354,IF(Raw_Data!L354&lt;&gt;"",Raw_Data!L354,""))</f>
        <v/>
      </c>
      <c r="I351" s="12" t="str">
        <f t="shared" si="45"/>
        <v/>
      </c>
      <c r="J351" s="12" t="str">
        <f>IF(Raw_Data!M354="","",Raw_Data!M354)</f>
        <v/>
      </c>
      <c r="K351" s="12">
        <f>IF(Raw_Data!AJ354&lt;&gt;"",Raw_Data!AJ354,Raw_Data!N354)</f>
        <v>0</v>
      </c>
      <c r="L351" s="12">
        <f t="shared" si="46"/>
        <v>1</v>
      </c>
      <c r="M351" s="12" t="str">
        <f>IF(Raw_Data!AK354="","",Raw_Data!AK354)</f>
        <v/>
      </c>
      <c r="N351" s="12" t="str">
        <f>IF(Raw_Data!T354="","",Raw_Data!T354)</f>
        <v/>
      </c>
      <c r="O351" s="12" t="str">
        <f>IF(Raw_Data!AB354&lt;&gt;"",Raw_Data!AB354,IF(N351="tres_insatisfait",1,IF(N351="insatisfait",2,IF(N351="neutre",3,IF(N351="satisfait",4,IF(N351="tres_satisfait",5,""))))))</f>
        <v/>
      </c>
      <c r="P351" s="12">
        <f>IF(Raw_Data!AL354&lt;&gt;"",Raw_Data!AL354,Raw_Data!R354)</f>
        <v>0</v>
      </c>
      <c r="Q351" s="12">
        <f t="shared" si="47"/>
        <v>0</v>
      </c>
      <c r="R351" s="12" t="str">
        <f>IF(Raw_Data!AM354="","",Raw_Data!AM354)</f>
        <v/>
      </c>
      <c r="S351" s="12" t="str">
        <f t="shared" si="48"/>
        <v/>
      </c>
      <c r="T351" s="12" t="str">
        <f>IF(Raw_Data!AN354="","",Raw_Data!AN354)</f>
        <v/>
      </c>
      <c r="U351" s="12" t="str">
        <f t="shared" si="49"/>
        <v/>
      </c>
      <c r="V351" s="12" t="str">
        <f>IF(Raw_Data!AP354="","",IF(Raw_Data!AP354="oui",1,0))</f>
        <v/>
      </c>
      <c r="W351" s="12" t="str">
        <f>IF(Raw_Data!AQ354="","",IF(Raw_Data!AQ354="oui",1,0))</f>
        <v/>
      </c>
      <c r="X351" s="12" t="str">
        <f>IF(Raw_Data!AR354="","",IF(Raw_Data!AR354="oui",1,0))</f>
        <v/>
      </c>
      <c r="Y351" s="12" t="str">
        <f>IF(Raw_Data!AS354="","",IF(Raw_Data!AS354="oui",1,0))</f>
        <v/>
      </c>
      <c r="Z351" s="12" t="str">
        <f>IF(Raw_Data!V354="","",IF(Raw_Data!V354="oui",1,0))</f>
        <v/>
      </c>
      <c r="AA351" s="12" t="str">
        <f>IF(Raw_Data!W354="","",IF(Raw_Data!W354="oui",1,0))</f>
        <v/>
      </c>
      <c r="AB351" s="12" t="str">
        <f>IF(Raw_Data!Q354="","",IF(Raw_Data!Q354="oui",1,0))</f>
        <v/>
      </c>
      <c r="AC351" s="12">
        <f>Raw_Data!AF354</f>
        <v>0</v>
      </c>
      <c r="AD351" s="12" t="str">
        <f t="shared" si="50"/>
        <v/>
      </c>
      <c r="AE351" s="12" t="str">
        <f t="shared" si="51"/>
        <v/>
      </c>
      <c r="AF351" s="12" t="str">
        <f t="shared" si="52"/>
        <v/>
      </c>
      <c r="AG351" s="12">
        <f t="shared" si="53"/>
        <v>0</v>
      </c>
    </row>
    <row r="352" spans="1:33" ht="15" customHeight="1" x14ac:dyDescent="0.25">
      <c r="A352" s="12" t="str">
        <f>IF(Raw_Data!B355="","",Raw_Data!B355)</f>
        <v/>
      </c>
      <c r="B352" s="12">
        <f>IF(Raw_Data!X355&lt;&gt;"",Raw_Data!X355,Raw_Data!C355)</f>
        <v>0</v>
      </c>
      <c r="C352" s="12" t="str">
        <f>IF(Raw_Data!G355="","",Raw_Data!G355)</f>
        <v/>
      </c>
      <c r="D352" s="12" t="str">
        <f>IF(Raw_Data!H355="","",Raw_Data!H355)</f>
        <v/>
      </c>
      <c r="E352" s="12" t="str">
        <f>IF(Raw_Data!I355="","",Raw_Data!I355)</f>
        <v/>
      </c>
      <c r="F352" s="12" t="str">
        <f>IF(Raw_Data!J355="","",Raw_Data!J355)</f>
        <v/>
      </c>
      <c r="G352" s="12" t="str">
        <f>IF(Raw_Data!AH355&lt;&gt;"",Raw_Data!AH355,IF(Raw_Data!K355&lt;&gt;"",Raw_Data!K355,""))</f>
        <v/>
      </c>
      <c r="H352" s="12" t="str">
        <f>IF(Raw_Data!AI355&lt;&gt;"",Raw_Data!AI355,IF(Raw_Data!L355&lt;&gt;"",Raw_Data!L355,""))</f>
        <v/>
      </c>
      <c r="I352" s="12" t="str">
        <f t="shared" si="45"/>
        <v/>
      </c>
      <c r="J352" s="12" t="str">
        <f>IF(Raw_Data!M355="","",Raw_Data!M355)</f>
        <v/>
      </c>
      <c r="K352" s="12">
        <f>IF(Raw_Data!AJ355&lt;&gt;"",Raw_Data!AJ355,Raw_Data!N355)</f>
        <v>0</v>
      </c>
      <c r="L352" s="12">
        <f t="shared" si="46"/>
        <v>1</v>
      </c>
      <c r="M352" s="12" t="str">
        <f>IF(Raw_Data!AK355="","",Raw_Data!AK355)</f>
        <v/>
      </c>
      <c r="N352" s="12" t="str">
        <f>IF(Raw_Data!T355="","",Raw_Data!T355)</f>
        <v/>
      </c>
      <c r="O352" s="12" t="str">
        <f>IF(Raw_Data!AB355&lt;&gt;"",Raw_Data!AB355,IF(N352="tres_insatisfait",1,IF(N352="insatisfait",2,IF(N352="neutre",3,IF(N352="satisfait",4,IF(N352="tres_satisfait",5,""))))))</f>
        <v/>
      </c>
      <c r="P352" s="12">
        <f>IF(Raw_Data!AL355&lt;&gt;"",Raw_Data!AL355,Raw_Data!R355)</f>
        <v>0</v>
      </c>
      <c r="Q352" s="12">
        <f t="shared" si="47"/>
        <v>0</v>
      </c>
      <c r="R352" s="12" t="str">
        <f>IF(Raw_Data!AM355="","",Raw_Data!AM355)</f>
        <v/>
      </c>
      <c r="S352" s="12" t="str">
        <f t="shared" si="48"/>
        <v/>
      </c>
      <c r="T352" s="12" t="str">
        <f>IF(Raw_Data!AN355="","",Raw_Data!AN355)</f>
        <v/>
      </c>
      <c r="U352" s="12" t="str">
        <f t="shared" si="49"/>
        <v/>
      </c>
      <c r="V352" s="12" t="str">
        <f>IF(Raw_Data!AP355="","",IF(Raw_Data!AP355="oui",1,0))</f>
        <v/>
      </c>
      <c r="W352" s="12" t="str">
        <f>IF(Raw_Data!AQ355="","",IF(Raw_Data!AQ355="oui",1,0))</f>
        <v/>
      </c>
      <c r="X352" s="12" t="str">
        <f>IF(Raw_Data!AR355="","",IF(Raw_Data!AR355="oui",1,0))</f>
        <v/>
      </c>
      <c r="Y352" s="12" t="str">
        <f>IF(Raw_Data!AS355="","",IF(Raw_Data!AS355="oui",1,0))</f>
        <v/>
      </c>
      <c r="Z352" s="12" t="str">
        <f>IF(Raw_Data!V355="","",IF(Raw_Data!V355="oui",1,0))</f>
        <v/>
      </c>
      <c r="AA352" s="12" t="str">
        <f>IF(Raw_Data!W355="","",IF(Raw_Data!W355="oui",1,0))</f>
        <v/>
      </c>
      <c r="AB352" s="12" t="str">
        <f>IF(Raw_Data!Q355="","",IF(Raw_Data!Q355="oui",1,0))</f>
        <v/>
      </c>
      <c r="AC352" s="12">
        <f>Raw_Data!AF355</f>
        <v>0</v>
      </c>
      <c r="AD352" s="12" t="str">
        <f t="shared" si="50"/>
        <v/>
      </c>
      <c r="AE352" s="12" t="str">
        <f t="shared" si="51"/>
        <v/>
      </c>
      <c r="AF352" s="12" t="str">
        <f t="shared" si="52"/>
        <v/>
      </c>
      <c r="AG352" s="12">
        <f t="shared" si="53"/>
        <v>0</v>
      </c>
    </row>
    <row r="353" spans="1:33" ht="15" customHeight="1" x14ac:dyDescent="0.25">
      <c r="A353" s="12" t="str">
        <f>IF(Raw_Data!B356="","",Raw_Data!B356)</f>
        <v/>
      </c>
      <c r="B353" s="12">
        <f>IF(Raw_Data!X356&lt;&gt;"",Raw_Data!X356,Raw_Data!C356)</f>
        <v>0</v>
      </c>
      <c r="C353" s="12" t="str">
        <f>IF(Raw_Data!G356="","",Raw_Data!G356)</f>
        <v/>
      </c>
      <c r="D353" s="12" t="str">
        <f>IF(Raw_Data!H356="","",Raw_Data!H356)</f>
        <v/>
      </c>
      <c r="E353" s="12" t="str">
        <f>IF(Raw_Data!I356="","",Raw_Data!I356)</f>
        <v/>
      </c>
      <c r="F353" s="12" t="str">
        <f>IF(Raw_Data!J356="","",Raw_Data!J356)</f>
        <v/>
      </c>
      <c r="G353" s="12" t="str">
        <f>IF(Raw_Data!AH356&lt;&gt;"",Raw_Data!AH356,IF(Raw_Data!K356&lt;&gt;"",Raw_Data!K356,""))</f>
        <v/>
      </c>
      <c r="H353" s="12" t="str">
        <f>IF(Raw_Data!AI356&lt;&gt;"",Raw_Data!AI356,IF(Raw_Data!L356&lt;&gt;"",Raw_Data!L356,""))</f>
        <v/>
      </c>
      <c r="I353" s="12" t="str">
        <f t="shared" si="45"/>
        <v/>
      </c>
      <c r="J353" s="12" t="str">
        <f>IF(Raw_Data!M356="","",Raw_Data!M356)</f>
        <v/>
      </c>
      <c r="K353" s="12">
        <f>IF(Raw_Data!AJ356&lt;&gt;"",Raw_Data!AJ356,Raw_Data!N356)</f>
        <v>0</v>
      </c>
      <c r="L353" s="12">
        <f t="shared" si="46"/>
        <v>1</v>
      </c>
      <c r="M353" s="12" t="str">
        <f>IF(Raw_Data!AK356="","",Raw_Data!AK356)</f>
        <v/>
      </c>
      <c r="N353" s="12" t="str">
        <f>IF(Raw_Data!T356="","",Raw_Data!T356)</f>
        <v/>
      </c>
      <c r="O353" s="12" t="str">
        <f>IF(Raw_Data!AB356&lt;&gt;"",Raw_Data!AB356,IF(N353="tres_insatisfait",1,IF(N353="insatisfait",2,IF(N353="neutre",3,IF(N353="satisfait",4,IF(N353="tres_satisfait",5,""))))))</f>
        <v/>
      </c>
      <c r="P353" s="12">
        <f>IF(Raw_Data!AL356&lt;&gt;"",Raw_Data!AL356,Raw_Data!R356)</f>
        <v>0</v>
      </c>
      <c r="Q353" s="12">
        <f t="shared" si="47"/>
        <v>0</v>
      </c>
      <c r="R353" s="12" t="str">
        <f>IF(Raw_Data!AM356="","",Raw_Data!AM356)</f>
        <v/>
      </c>
      <c r="S353" s="12" t="str">
        <f t="shared" si="48"/>
        <v/>
      </c>
      <c r="T353" s="12" t="str">
        <f>IF(Raw_Data!AN356="","",Raw_Data!AN356)</f>
        <v/>
      </c>
      <c r="U353" s="12" t="str">
        <f t="shared" si="49"/>
        <v/>
      </c>
      <c r="V353" s="12" t="str">
        <f>IF(Raw_Data!AP356="","",IF(Raw_Data!AP356="oui",1,0))</f>
        <v/>
      </c>
      <c r="W353" s="12" t="str">
        <f>IF(Raw_Data!AQ356="","",IF(Raw_Data!AQ356="oui",1,0))</f>
        <v/>
      </c>
      <c r="X353" s="12" t="str">
        <f>IF(Raw_Data!AR356="","",IF(Raw_Data!AR356="oui",1,0))</f>
        <v/>
      </c>
      <c r="Y353" s="12" t="str">
        <f>IF(Raw_Data!AS356="","",IF(Raw_Data!AS356="oui",1,0))</f>
        <v/>
      </c>
      <c r="Z353" s="12" t="str">
        <f>IF(Raw_Data!V356="","",IF(Raw_Data!V356="oui",1,0))</f>
        <v/>
      </c>
      <c r="AA353" s="12" t="str">
        <f>IF(Raw_Data!W356="","",IF(Raw_Data!W356="oui",1,0))</f>
        <v/>
      </c>
      <c r="AB353" s="12" t="str">
        <f>IF(Raw_Data!Q356="","",IF(Raw_Data!Q356="oui",1,0))</f>
        <v/>
      </c>
      <c r="AC353" s="12">
        <f>Raw_Data!AF356</f>
        <v>0</v>
      </c>
      <c r="AD353" s="12" t="str">
        <f t="shared" si="50"/>
        <v/>
      </c>
      <c r="AE353" s="12" t="str">
        <f t="shared" si="51"/>
        <v/>
      </c>
      <c r="AF353" s="12" t="str">
        <f t="shared" si="52"/>
        <v/>
      </c>
      <c r="AG353" s="12">
        <f t="shared" si="53"/>
        <v>0</v>
      </c>
    </row>
    <row r="354" spans="1:33" ht="15" customHeight="1" x14ac:dyDescent="0.25">
      <c r="A354" s="12" t="str">
        <f>IF(Raw_Data!B357="","",Raw_Data!B357)</f>
        <v/>
      </c>
      <c r="B354" s="12">
        <f>IF(Raw_Data!X357&lt;&gt;"",Raw_Data!X357,Raw_Data!C357)</f>
        <v>0</v>
      </c>
      <c r="C354" s="12" t="str">
        <f>IF(Raw_Data!G357="","",Raw_Data!G357)</f>
        <v/>
      </c>
      <c r="D354" s="12" t="str">
        <f>IF(Raw_Data!H357="","",Raw_Data!H357)</f>
        <v/>
      </c>
      <c r="E354" s="12" t="str">
        <f>IF(Raw_Data!I357="","",Raw_Data!I357)</f>
        <v/>
      </c>
      <c r="F354" s="12" t="str">
        <f>IF(Raw_Data!J357="","",Raw_Data!J357)</f>
        <v/>
      </c>
      <c r="G354" s="12" t="str">
        <f>IF(Raw_Data!AH357&lt;&gt;"",Raw_Data!AH357,IF(Raw_Data!K357&lt;&gt;"",Raw_Data!K357,""))</f>
        <v/>
      </c>
      <c r="H354" s="12" t="str">
        <f>IF(Raw_Data!AI357&lt;&gt;"",Raw_Data!AI357,IF(Raw_Data!L357&lt;&gt;"",Raw_Data!L357,""))</f>
        <v/>
      </c>
      <c r="I354" s="12" t="str">
        <f t="shared" si="45"/>
        <v/>
      </c>
      <c r="J354" s="12" t="str">
        <f>IF(Raw_Data!M357="","",Raw_Data!M357)</f>
        <v/>
      </c>
      <c r="K354" s="12">
        <f>IF(Raw_Data!AJ357&lt;&gt;"",Raw_Data!AJ357,Raw_Data!N357)</f>
        <v>0</v>
      </c>
      <c r="L354" s="12">
        <f t="shared" si="46"/>
        <v>1</v>
      </c>
      <c r="M354" s="12" t="str">
        <f>IF(Raw_Data!AK357="","",Raw_Data!AK357)</f>
        <v/>
      </c>
      <c r="N354" s="12" t="str">
        <f>IF(Raw_Data!T357="","",Raw_Data!T357)</f>
        <v/>
      </c>
      <c r="O354" s="12" t="str">
        <f>IF(Raw_Data!AB357&lt;&gt;"",Raw_Data!AB357,IF(N354="tres_insatisfait",1,IF(N354="insatisfait",2,IF(N354="neutre",3,IF(N354="satisfait",4,IF(N354="tres_satisfait",5,""))))))</f>
        <v/>
      </c>
      <c r="P354" s="12">
        <f>IF(Raw_Data!AL357&lt;&gt;"",Raw_Data!AL357,Raw_Data!R357)</f>
        <v>0</v>
      </c>
      <c r="Q354" s="12">
        <f t="shared" si="47"/>
        <v>0</v>
      </c>
      <c r="R354" s="12" t="str">
        <f>IF(Raw_Data!AM357="","",Raw_Data!AM357)</f>
        <v/>
      </c>
      <c r="S354" s="12" t="str">
        <f t="shared" si="48"/>
        <v/>
      </c>
      <c r="T354" s="12" t="str">
        <f>IF(Raw_Data!AN357="","",Raw_Data!AN357)</f>
        <v/>
      </c>
      <c r="U354" s="12" t="str">
        <f t="shared" si="49"/>
        <v/>
      </c>
      <c r="V354" s="12" t="str">
        <f>IF(Raw_Data!AP357="","",IF(Raw_Data!AP357="oui",1,0))</f>
        <v/>
      </c>
      <c r="W354" s="12" t="str">
        <f>IF(Raw_Data!AQ357="","",IF(Raw_Data!AQ357="oui",1,0))</f>
        <v/>
      </c>
      <c r="X354" s="12" t="str">
        <f>IF(Raw_Data!AR357="","",IF(Raw_Data!AR357="oui",1,0))</f>
        <v/>
      </c>
      <c r="Y354" s="12" t="str">
        <f>IF(Raw_Data!AS357="","",IF(Raw_Data!AS357="oui",1,0))</f>
        <v/>
      </c>
      <c r="Z354" s="12" t="str">
        <f>IF(Raw_Data!V357="","",IF(Raw_Data!V357="oui",1,0))</f>
        <v/>
      </c>
      <c r="AA354" s="12" t="str">
        <f>IF(Raw_Data!W357="","",IF(Raw_Data!W357="oui",1,0))</f>
        <v/>
      </c>
      <c r="AB354" s="12" t="str">
        <f>IF(Raw_Data!Q357="","",IF(Raw_Data!Q357="oui",1,0))</f>
        <v/>
      </c>
      <c r="AC354" s="12">
        <f>Raw_Data!AF357</f>
        <v>0</v>
      </c>
      <c r="AD354" s="12" t="str">
        <f t="shared" si="50"/>
        <v/>
      </c>
      <c r="AE354" s="12" t="str">
        <f t="shared" si="51"/>
        <v/>
      </c>
      <c r="AF354" s="12" t="str">
        <f t="shared" si="52"/>
        <v/>
      </c>
      <c r="AG354" s="12">
        <f t="shared" si="53"/>
        <v>0</v>
      </c>
    </row>
    <row r="355" spans="1:33" ht="15" customHeight="1" x14ac:dyDescent="0.25">
      <c r="A355" s="12" t="str">
        <f>IF(Raw_Data!B358="","",Raw_Data!B358)</f>
        <v/>
      </c>
      <c r="B355" s="12">
        <f>IF(Raw_Data!X358&lt;&gt;"",Raw_Data!X358,Raw_Data!C358)</f>
        <v>0</v>
      </c>
      <c r="C355" s="12" t="str">
        <f>IF(Raw_Data!G358="","",Raw_Data!G358)</f>
        <v/>
      </c>
      <c r="D355" s="12" t="str">
        <f>IF(Raw_Data!H358="","",Raw_Data!H358)</f>
        <v/>
      </c>
      <c r="E355" s="12" t="str">
        <f>IF(Raw_Data!I358="","",Raw_Data!I358)</f>
        <v/>
      </c>
      <c r="F355" s="12" t="str">
        <f>IF(Raw_Data!J358="","",Raw_Data!J358)</f>
        <v/>
      </c>
      <c r="G355" s="12" t="str">
        <f>IF(Raw_Data!AH358&lt;&gt;"",Raw_Data!AH358,IF(Raw_Data!K358&lt;&gt;"",Raw_Data!K358,""))</f>
        <v/>
      </c>
      <c r="H355" s="12" t="str">
        <f>IF(Raw_Data!AI358&lt;&gt;"",Raw_Data!AI358,IF(Raw_Data!L358&lt;&gt;"",Raw_Data!L358,""))</f>
        <v/>
      </c>
      <c r="I355" s="12" t="str">
        <f t="shared" si="45"/>
        <v/>
      </c>
      <c r="J355" s="12" t="str">
        <f>IF(Raw_Data!M358="","",Raw_Data!M358)</f>
        <v/>
      </c>
      <c r="K355" s="12">
        <f>IF(Raw_Data!AJ358&lt;&gt;"",Raw_Data!AJ358,Raw_Data!N358)</f>
        <v>0</v>
      </c>
      <c r="L355" s="12">
        <f t="shared" si="46"/>
        <v>1</v>
      </c>
      <c r="M355" s="12" t="str">
        <f>IF(Raw_Data!AK358="","",Raw_Data!AK358)</f>
        <v/>
      </c>
      <c r="N355" s="12" t="str">
        <f>IF(Raw_Data!T358="","",Raw_Data!T358)</f>
        <v/>
      </c>
      <c r="O355" s="12" t="str">
        <f>IF(Raw_Data!AB358&lt;&gt;"",Raw_Data!AB358,IF(N355="tres_insatisfait",1,IF(N355="insatisfait",2,IF(N355="neutre",3,IF(N355="satisfait",4,IF(N355="tres_satisfait",5,""))))))</f>
        <v/>
      </c>
      <c r="P355" s="12">
        <f>IF(Raw_Data!AL358&lt;&gt;"",Raw_Data!AL358,Raw_Data!R358)</f>
        <v>0</v>
      </c>
      <c r="Q355" s="12">
        <f t="shared" si="47"/>
        <v>0</v>
      </c>
      <c r="R355" s="12" t="str">
        <f>IF(Raw_Data!AM358="","",Raw_Data!AM358)</f>
        <v/>
      </c>
      <c r="S355" s="12" t="str">
        <f t="shared" si="48"/>
        <v/>
      </c>
      <c r="T355" s="12" t="str">
        <f>IF(Raw_Data!AN358="","",Raw_Data!AN358)</f>
        <v/>
      </c>
      <c r="U355" s="12" t="str">
        <f t="shared" si="49"/>
        <v/>
      </c>
      <c r="V355" s="12" t="str">
        <f>IF(Raw_Data!AP358="","",IF(Raw_Data!AP358="oui",1,0))</f>
        <v/>
      </c>
      <c r="W355" s="12" t="str">
        <f>IF(Raw_Data!AQ358="","",IF(Raw_Data!AQ358="oui",1,0))</f>
        <v/>
      </c>
      <c r="X355" s="12" t="str">
        <f>IF(Raw_Data!AR358="","",IF(Raw_Data!AR358="oui",1,0))</f>
        <v/>
      </c>
      <c r="Y355" s="12" t="str">
        <f>IF(Raw_Data!AS358="","",IF(Raw_Data!AS358="oui",1,0))</f>
        <v/>
      </c>
      <c r="Z355" s="12" t="str">
        <f>IF(Raw_Data!V358="","",IF(Raw_Data!V358="oui",1,0))</f>
        <v/>
      </c>
      <c r="AA355" s="12" t="str">
        <f>IF(Raw_Data!W358="","",IF(Raw_Data!W358="oui",1,0))</f>
        <v/>
      </c>
      <c r="AB355" s="12" t="str">
        <f>IF(Raw_Data!Q358="","",IF(Raw_Data!Q358="oui",1,0))</f>
        <v/>
      </c>
      <c r="AC355" s="12">
        <f>Raw_Data!AF358</f>
        <v>0</v>
      </c>
      <c r="AD355" s="12" t="str">
        <f t="shared" si="50"/>
        <v/>
      </c>
      <c r="AE355" s="12" t="str">
        <f t="shared" si="51"/>
        <v/>
      </c>
      <c r="AF355" s="12" t="str">
        <f t="shared" si="52"/>
        <v/>
      </c>
      <c r="AG355" s="12">
        <f t="shared" si="53"/>
        <v>0</v>
      </c>
    </row>
    <row r="356" spans="1:33" ht="15" customHeight="1" x14ac:dyDescent="0.25">
      <c r="A356" s="12" t="str">
        <f>IF(Raw_Data!B359="","",Raw_Data!B359)</f>
        <v/>
      </c>
      <c r="B356" s="12">
        <f>IF(Raw_Data!X359&lt;&gt;"",Raw_Data!X359,Raw_Data!C359)</f>
        <v>0</v>
      </c>
      <c r="C356" s="12" t="str">
        <f>IF(Raw_Data!G359="","",Raw_Data!G359)</f>
        <v/>
      </c>
      <c r="D356" s="12" t="str">
        <f>IF(Raw_Data!H359="","",Raw_Data!H359)</f>
        <v/>
      </c>
      <c r="E356" s="12" t="str">
        <f>IF(Raw_Data!I359="","",Raw_Data!I359)</f>
        <v/>
      </c>
      <c r="F356" s="12" t="str">
        <f>IF(Raw_Data!J359="","",Raw_Data!J359)</f>
        <v/>
      </c>
      <c r="G356" s="12" t="str">
        <f>IF(Raw_Data!AH359&lt;&gt;"",Raw_Data!AH359,IF(Raw_Data!K359&lt;&gt;"",Raw_Data!K359,""))</f>
        <v/>
      </c>
      <c r="H356" s="12" t="str">
        <f>IF(Raw_Data!AI359&lt;&gt;"",Raw_Data!AI359,IF(Raw_Data!L359&lt;&gt;"",Raw_Data!L359,""))</f>
        <v/>
      </c>
      <c r="I356" s="12" t="str">
        <f t="shared" si="45"/>
        <v/>
      </c>
      <c r="J356" s="12" t="str">
        <f>IF(Raw_Data!M359="","",Raw_Data!M359)</f>
        <v/>
      </c>
      <c r="K356" s="12">
        <f>IF(Raw_Data!AJ359&lt;&gt;"",Raw_Data!AJ359,Raw_Data!N359)</f>
        <v>0</v>
      </c>
      <c r="L356" s="12">
        <f t="shared" si="46"/>
        <v>1</v>
      </c>
      <c r="M356" s="12" t="str">
        <f>IF(Raw_Data!AK359="","",Raw_Data!AK359)</f>
        <v/>
      </c>
      <c r="N356" s="12" t="str">
        <f>IF(Raw_Data!T359="","",Raw_Data!T359)</f>
        <v/>
      </c>
      <c r="O356" s="12" t="str">
        <f>IF(Raw_Data!AB359&lt;&gt;"",Raw_Data!AB359,IF(N356="tres_insatisfait",1,IF(N356="insatisfait",2,IF(N356="neutre",3,IF(N356="satisfait",4,IF(N356="tres_satisfait",5,""))))))</f>
        <v/>
      </c>
      <c r="P356" s="12">
        <f>IF(Raw_Data!AL359&lt;&gt;"",Raw_Data!AL359,Raw_Data!R359)</f>
        <v>0</v>
      </c>
      <c r="Q356" s="12">
        <f t="shared" si="47"/>
        <v>0</v>
      </c>
      <c r="R356" s="12" t="str">
        <f>IF(Raw_Data!AM359="","",Raw_Data!AM359)</f>
        <v/>
      </c>
      <c r="S356" s="12" t="str">
        <f t="shared" si="48"/>
        <v/>
      </c>
      <c r="T356" s="12" t="str">
        <f>IF(Raw_Data!AN359="","",Raw_Data!AN359)</f>
        <v/>
      </c>
      <c r="U356" s="12" t="str">
        <f t="shared" si="49"/>
        <v/>
      </c>
      <c r="V356" s="12" t="str">
        <f>IF(Raw_Data!AP359="","",IF(Raw_Data!AP359="oui",1,0))</f>
        <v/>
      </c>
      <c r="W356" s="12" t="str">
        <f>IF(Raw_Data!AQ359="","",IF(Raw_Data!AQ359="oui",1,0))</f>
        <v/>
      </c>
      <c r="X356" s="12" t="str">
        <f>IF(Raw_Data!AR359="","",IF(Raw_Data!AR359="oui",1,0))</f>
        <v/>
      </c>
      <c r="Y356" s="12" t="str">
        <f>IF(Raw_Data!AS359="","",IF(Raw_Data!AS359="oui",1,0))</f>
        <v/>
      </c>
      <c r="Z356" s="12" t="str">
        <f>IF(Raw_Data!V359="","",IF(Raw_Data!V359="oui",1,0))</f>
        <v/>
      </c>
      <c r="AA356" s="12" t="str">
        <f>IF(Raw_Data!W359="","",IF(Raw_Data!W359="oui",1,0))</f>
        <v/>
      </c>
      <c r="AB356" s="12" t="str">
        <f>IF(Raw_Data!Q359="","",IF(Raw_Data!Q359="oui",1,0))</f>
        <v/>
      </c>
      <c r="AC356" s="12">
        <f>Raw_Data!AF359</f>
        <v>0</v>
      </c>
      <c r="AD356" s="12" t="str">
        <f t="shared" si="50"/>
        <v/>
      </c>
      <c r="AE356" s="12" t="str">
        <f t="shared" si="51"/>
        <v/>
      </c>
      <c r="AF356" s="12" t="str">
        <f t="shared" si="52"/>
        <v/>
      </c>
      <c r="AG356" s="12">
        <f t="shared" si="53"/>
        <v>0</v>
      </c>
    </row>
    <row r="357" spans="1:33" ht="15" customHeight="1" x14ac:dyDescent="0.25">
      <c r="A357" s="12" t="str">
        <f>IF(Raw_Data!B360="","",Raw_Data!B360)</f>
        <v/>
      </c>
      <c r="B357" s="12">
        <f>IF(Raw_Data!X360&lt;&gt;"",Raw_Data!X360,Raw_Data!C360)</f>
        <v>0</v>
      </c>
      <c r="C357" s="12" t="str">
        <f>IF(Raw_Data!G360="","",Raw_Data!G360)</f>
        <v/>
      </c>
      <c r="D357" s="12" t="str">
        <f>IF(Raw_Data!H360="","",Raw_Data!H360)</f>
        <v/>
      </c>
      <c r="E357" s="12" t="str">
        <f>IF(Raw_Data!I360="","",Raw_Data!I360)</f>
        <v/>
      </c>
      <c r="F357" s="12" t="str">
        <f>IF(Raw_Data!J360="","",Raw_Data!J360)</f>
        <v/>
      </c>
      <c r="G357" s="12" t="str">
        <f>IF(Raw_Data!AH360&lt;&gt;"",Raw_Data!AH360,IF(Raw_Data!K360&lt;&gt;"",Raw_Data!K360,""))</f>
        <v/>
      </c>
      <c r="H357" s="12" t="str">
        <f>IF(Raw_Data!AI360&lt;&gt;"",Raw_Data!AI360,IF(Raw_Data!L360&lt;&gt;"",Raw_Data!L360,""))</f>
        <v/>
      </c>
      <c r="I357" s="12" t="str">
        <f t="shared" si="45"/>
        <v/>
      </c>
      <c r="J357" s="12" t="str">
        <f>IF(Raw_Data!M360="","",Raw_Data!M360)</f>
        <v/>
      </c>
      <c r="K357" s="12">
        <f>IF(Raw_Data!AJ360&lt;&gt;"",Raw_Data!AJ360,Raw_Data!N360)</f>
        <v>0</v>
      </c>
      <c r="L357" s="12">
        <f t="shared" si="46"/>
        <v>1</v>
      </c>
      <c r="M357" s="12" t="str">
        <f>IF(Raw_Data!AK360="","",Raw_Data!AK360)</f>
        <v/>
      </c>
      <c r="N357" s="12" t="str">
        <f>IF(Raw_Data!T360="","",Raw_Data!T360)</f>
        <v/>
      </c>
      <c r="O357" s="12" t="str">
        <f>IF(Raw_Data!AB360&lt;&gt;"",Raw_Data!AB360,IF(N357="tres_insatisfait",1,IF(N357="insatisfait",2,IF(N357="neutre",3,IF(N357="satisfait",4,IF(N357="tres_satisfait",5,""))))))</f>
        <v/>
      </c>
      <c r="P357" s="12">
        <f>IF(Raw_Data!AL360&lt;&gt;"",Raw_Data!AL360,Raw_Data!R360)</f>
        <v>0</v>
      </c>
      <c r="Q357" s="12">
        <f t="shared" si="47"/>
        <v>0</v>
      </c>
      <c r="R357" s="12" t="str">
        <f>IF(Raw_Data!AM360="","",Raw_Data!AM360)</f>
        <v/>
      </c>
      <c r="S357" s="12" t="str">
        <f t="shared" si="48"/>
        <v/>
      </c>
      <c r="T357" s="12" t="str">
        <f>IF(Raw_Data!AN360="","",Raw_Data!AN360)</f>
        <v/>
      </c>
      <c r="U357" s="12" t="str">
        <f t="shared" si="49"/>
        <v/>
      </c>
      <c r="V357" s="12" t="str">
        <f>IF(Raw_Data!AP360="","",IF(Raw_Data!AP360="oui",1,0))</f>
        <v/>
      </c>
      <c r="W357" s="12" t="str">
        <f>IF(Raw_Data!AQ360="","",IF(Raw_Data!AQ360="oui",1,0))</f>
        <v/>
      </c>
      <c r="X357" s="12" t="str">
        <f>IF(Raw_Data!AR360="","",IF(Raw_Data!AR360="oui",1,0))</f>
        <v/>
      </c>
      <c r="Y357" s="12" t="str">
        <f>IF(Raw_Data!AS360="","",IF(Raw_Data!AS360="oui",1,0))</f>
        <v/>
      </c>
      <c r="Z357" s="12" t="str">
        <f>IF(Raw_Data!V360="","",IF(Raw_Data!V360="oui",1,0))</f>
        <v/>
      </c>
      <c r="AA357" s="12" t="str">
        <f>IF(Raw_Data!W360="","",IF(Raw_Data!W360="oui",1,0))</f>
        <v/>
      </c>
      <c r="AB357" s="12" t="str">
        <f>IF(Raw_Data!Q360="","",IF(Raw_Data!Q360="oui",1,0))</f>
        <v/>
      </c>
      <c r="AC357" s="12">
        <f>Raw_Data!AF360</f>
        <v>0</v>
      </c>
      <c r="AD357" s="12" t="str">
        <f t="shared" si="50"/>
        <v/>
      </c>
      <c r="AE357" s="12" t="str">
        <f t="shared" si="51"/>
        <v/>
      </c>
      <c r="AF357" s="12" t="str">
        <f t="shared" si="52"/>
        <v/>
      </c>
      <c r="AG357" s="12">
        <f t="shared" si="53"/>
        <v>0</v>
      </c>
    </row>
    <row r="358" spans="1:33" ht="15" customHeight="1" x14ac:dyDescent="0.25">
      <c r="A358" s="12" t="str">
        <f>IF(Raw_Data!B361="","",Raw_Data!B361)</f>
        <v/>
      </c>
      <c r="B358" s="12">
        <f>IF(Raw_Data!X361&lt;&gt;"",Raw_Data!X361,Raw_Data!C361)</f>
        <v>0</v>
      </c>
      <c r="C358" s="12" t="str">
        <f>IF(Raw_Data!G361="","",Raw_Data!G361)</f>
        <v/>
      </c>
      <c r="D358" s="12" t="str">
        <f>IF(Raw_Data!H361="","",Raw_Data!H361)</f>
        <v/>
      </c>
      <c r="E358" s="12" t="str">
        <f>IF(Raw_Data!I361="","",Raw_Data!I361)</f>
        <v/>
      </c>
      <c r="F358" s="12" t="str">
        <f>IF(Raw_Data!J361="","",Raw_Data!J361)</f>
        <v/>
      </c>
      <c r="G358" s="12" t="str">
        <f>IF(Raw_Data!AH361&lt;&gt;"",Raw_Data!AH361,IF(Raw_Data!K361&lt;&gt;"",Raw_Data!K361,""))</f>
        <v/>
      </c>
      <c r="H358" s="12" t="str">
        <f>IF(Raw_Data!AI361&lt;&gt;"",Raw_Data!AI361,IF(Raw_Data!L361&lt;&gt;"",Raw_Data!L361,""))</f>
        <v/>
      </c>
      <c r="I358" s="12" t="str">
        <f t="shared" si="45"/>
        <v/>
      </c>
      <c r="J358" s="12" t="str">
        <f>IF(Raw_Data!M361="","",Raw_Data!M361)</f>
        <v/>
      </c>
      <c r="K358" s="12">
        <f>IF(Raw_Data!AJ361&lt;&gt;"",Raw_Data!AJ361,Raw_Data!N361)</f>
        <v>0</v>
      </c>
      <c r="L358" s="12">
        <f t="shared" si="46"/>
        <v>1</v>
      </c>
      <c r="M358" s="12" t="str">
        <f>IF(Raw_Data!AK361="","",Raw_Data!AK361)</f>
        <v/>
      </c>
      <c r="N358" s="12" t="str">
        <f>IF(Raw_Data!T361="","",Raw_Data!T361)</f>
        <v/>
      </c>
      <c r="O358" s="12" t="str">
        <f>IF(Raw_Data!AB361&lt;&gt;"",Raw_Data!AB361,IF(N358="tres_insatisfait",1,IF(N358="insatisfait",2,IF(N358="neutre",3,IF(N358="satisfait",4,IF(N358="tres_satisfait",5,""))))))</f>
        <v/>
      </c>
      <c r="P358" s="12">
        <f>IF(Raw_Data!AL361&lt;&gt;"",Raw_Data!AL361,Raw_Data!R361)</f>
        <v>0</v>
      </c>
      <c r="Q358" s="12">
        <f t="shared" si="47"/>
        <v>0</v>
      </c>
      <c r="R358" s="12" t="str">
        <f>IF(Raw_Data!AM361="","",Raw_Data!AM361)</f>
        <v/>
      </c>
      <c r="S358" s="12" t="str">
        <f t="shared" si="48"/>
        <v/>
      </c>
      <c r="T358" s="12" t="str">
        <f>IF(Raw_Data!AN361="","",Raw_Data!AN361)</f>
        <v/>
      </c>
      <c r="U358" s="12" t="str">
        <f t="shared" si="49"/>
        <v/>
      </c>
      <c r="V358" s="12" t="str">
        <f>IF(Raw_Data!AP361="","",IF(Raw_Data!AP361="oui",1,0))</f>
        <v/>
      </c>
      <c r="W358" s="12" t="str">
        <f>IF(Raw_Data!AQ361="","",IF(Raw_Data!AQ361="oui",1,0))</f>
        <v/>
      </c>
      <c r="X358" s="12" t="str">
        <f>IF(Raw_Data!AR361="","",IF(Raw_Data!AR361="oui",1,0))</f>
        <v/>
      </c>
      <c r="Y358" s="12" t="str">
        <f>IF(Raw_Data!AS361="","",IF(Raw_Data!AS361="oui",1,0))</f>
        <v/>
      </c>
      <c r="Z358" s="12" t="str">
        <f>IF(Raw_Data!V361="","",IF(Raw_Data!V361="oui",1,0))</f>
        <v/>
      </c>
      <c r="AA358" s="12" t="str">
        <f>IF(Raw_Data!W361="","",IF(Raw_Data!W361="oui",1,0))</f>
        <v/>
      </c>
      <c r="AB358" s="12" t="str">
        <f>IF(Raw_Data!Q361="","",IF(Raw_Data!Q361="oui",1,0))</f>
        <v/>
      </c>
      <c r="AC358" s="12">
        <f>Raw_Data!AF361</f>
        <v>0</v>
      </c>
      <c r="AD358" s="12" t="str">
        <f t="shared" si="50"/>
        <v/>
      </c>
      <c r="AE358" s="12" t="str">
        <f t="shared" si="51"/>
        <v/>
      </c>
      <c r="AF358" s="12" t="str">
        <f t="shared" si="52"/>
        <v/>
      </c>
      <c r="AG358" s="12">
        <f t="shared" si="53"/>
        <v>0</v>
      </c>
    </row>
    <row r="359" spans="1:33" ht="15" customHeight="1" x14ac:dyDescent="0.25">
      <c r="A359" s="12" t="str">
        <f>IF(Raw_Data!B362="","",Raw_Data!B362)</f>
        <v/>
      </c>
      <c r="B359" s="12">
        <f>IF(Raw_Data!X362&lt;&gt;"",Raw_Data!X362,Raw_Data!C362)</f>
        <v>0</v>
      </c>
      <c r="C359" s="12" t="str">
        <f>IF(Raw_Data!G362="","",Raw_Data!G362)</f>
        <v/>
      </c>
      <c r="D359" s="12" t="str">
        <f>IF(Raw_Data!H362="","",Raw_Data!H362)</f>
        <v/>
      </c>
      <c r="E359" s="12" t="str">
        <f>IF(Raw_Data!I362="","",Raw_Data!I362)</f>
        <v/>
      </c>
      <c r="F359" s="12" t="str">
        <f>IF(Raw_Data!J362="","",Raw_Data!J362)</f>
        <v/>
      </c>
      <c r="G359" s="12" t="str">
        <f>IF(Raw_Data!AH362&lt;&gt;"",Raw_Data!AH362,IF(Raw_Data!K362&lt;&gt;"",Raw_Data!K362,""))</f>
        <v/>
      </c>
      <c r="H359" s="12" t="str">
        <f>IF(Raw_Data!AI362&lt;&gt;"",Raw_Data!AI362,IF(Raw_Data!L362&lt;&gt;"",Raw_Data!L362,""))</f>
        <v/>
      </c>
      <c r="I359" s="12" t="str">
        <f t="shared" si="45"/>
        <v/>
      </c>
      <c r="J359" s="12" t="str">
        <f>IF(Raw_Data!M362="","",Raw_Data!M362)</f>
        <v/>
      </c>
      <c r="K359" s="12">
        <f>IF(Raw_Data!AJ362&lt;&gt;"",Raw_Data!AJ362,Raw_Data!N362)</f>
        <v>0</v>
      </c>
      <c r="L359" s="12">
        <f t="shared" si="46"/>
        <v>1</v>
      </c>
      <c r="M359" s="12" t="str">
        <f>IF(Raw_Data!AK362="","",Raw_Data!AK362)</f>
        <v/>
      </c>
      <c r="N359" s="12" t="str">
        <f>IF(Raw_Data!T362="","",Raw_Data!T362)</f>
        <v/>
      </c>
      <c r="O359" s="12" t="str">
        <f>IF(Raw_Data!AB362&lt;&gt;"",Raw_Data!AB362,IF(N359="tres_insatisfait",1,IF(N359="insatisfait",2,IF(N359="neutre",3,IF(N359="satisfait",4,IF(N359="tres_satisfait",5,""))))))</f>
        <v/>
      </c>
      <c r="P359" s="12">
        <f>IF(Raw_Data!AL362&lt;&gt;"",Raw_Data!AL362,Raw_Data!R362)</f>
        <v>0</v>
      </c>
      <c r="Q359" s="12">
        <f t="shared" si="47"/>
        <v>0</v>
      </c>
      <c r="R359" s="12" t="str">
        <f>IF(Raw_Data!AM362="","",Raw_Data!AM362)</f>
        <v/>
      </c>
      <c r="S359" s="12" t="str">
        <f t="shared" si="48"/>
        <v/>
      </c>
      <c r="T359" s="12" t="str">
        <f>IF(Raw_Data!AN362="","",Raw_Data!AN362)</f>
        <v/>
      </c>
      <c r="U359" s="12" t="str">
        <f t="shared" si="49"/>
        <v/>
      </c>
      <c r="V359" s="12" t="str">
        <f>IF(Raw_Data!AP362="","",IF(Raw_Data!AP362="oui",1,0))</f>
        <v/>
      </c>
      <c r="W359" s="12" t="str">
        <f>IF(Raw_Data!AQ362="","",IF(Raw_Data!AQ362="oui",1,0))</f>
        <v/>
      </c>
      <c r="X359" s="12" t="str">
        <f>IF(Raw_Data!AR362="","",IF(Raw_Data!AR362="oui",1,0))</f>
        <v/>
      </c>
      <c r="Y359" s="12" t="str">
        <f>IF(Raw_Data!AS362="","",IF(Raw_Data!AS362="oui",1,0))</f>
        <v/>
      </c>
      <c r="Z359" s="12" t="str">
        <f>IF(Raw_Data!V362="","",IF(Raw_Data!V362="oui",1,0))</f>
        <v/>
      </c>
      <c r="AA359" s="12" t="str">
        <f>IF(Raw_Data!W362="","",IF(Raw_Data!W362="oui",1,0))</f>
        <v/>
      </c>
      <c r="AB359" s="12" t="str">
        <f>IF(Raw_Data!Q362="","",IF(Raw_Data!Q362="oui",1,0))</f>
        <v/>
      </c>
      <c r="AC359" s="12">
        <f>Raw_Data!AF362</f>
        <v>0</v>
      </c>
      <c r="AD359" s="12" t="str">
        <f t="shared" si="50"/>
        <v/>
      </c>
      <c r="AE359" s="12" t="str">
        <f t="shared" si="51"/>
        <v/>
      </c>
      <c r="AF359" s="12" t="str">
        <f t="shared" si="52"/>
        <v/>
      </c>
      <c r="AG359" s="12">
        <f t="shared" si="53"/>
        <v>0</v>
      </c>
    </row>
    <row r="360" spans="1:33" ht="15" customHeight="1" x14ac:dyDescent="0.25">
      <c r="A360" s="12" t="str">
        <f>IF(Raw_Data!B363="","",Raw_Data!B363)</f>
        <v/>
      </c>
      <c r="B360" s="12">
        <f>IF(Raw_Data!X363&lt;&gt;"",Raw_Data!X363,Raw_Data!C363)</f>
        <v>0</v>
      </c>
      <c r="C360" s="12" t="str">
        <f>IF(Raw_Data!G363="","",Raw_Data!G363)</f>
        <v/>
      </c>
      <c r="D360" s="12" t="str">
        <f>IF(Raw_Data!H363="","",Raw_Data!H363)</f>
        <v/>
      </c>
      <c r="E360" s="12" t="str">
        <f>IF(Raw_Data!I363="","",Raw_Data!I363)</f>
        <v/>
      </c>
      <c r="F360" s="12" t="str">
        <f>IF(Raw_Data!J363="","",Raw_Data!J363)</f>
        <v/>
      </c>
      <c r="G360" s="12" t="str">
        <f>IF(Raw_Data!AH363&lt;&gt;"",Raw_Data!AH363,IF(Raw_Data!K363&lt;&gt;"",Raw_Data!K363,""))</f>
        <v/>
      </c>
      <c r="H360" s="12" t="str">
        <f>IF(Raw_Data!AI363&lt;&gt;"",Raw_Data!AI363,IF(Raw_Data!L363&lt;&gt;"",Raw_Data!L363,""))</f>
        <v/>
      </c>
      <c r="I360" s="12" t="str">
        <f t="shared" si="45"/>
        <v/>
      </c>
      <c r="J360" s="12" t="str">
        <f>IF(Raw_Data!M363="","",Raw_Data!M363)</f>
        <v/>
      </c>
      <c r="K360" s="12">
        <f>IF(Raw_Data!AJ363&lt;&gt;"",Raw_Data!AJ363,Raw_Data!N363)</f>
        <v>0</v>
      </c>
      <c r="L360" s="12">
        <f t="shared" si="46"/>
        <v>1</v>
      </c>
      <c r="M360" s="12" t="str">
        <f>IF(Raw_Data!AK363="","",Raw_Data!AK363)</f>
        <v/>
      </c>
      <c r="N360" s="12" t="str">
        <f>IF(Raw_Data!T363="","",Raw_Data!T363)</f>
        <v/>
      </c>
      <c r="O360" s="12" t="str">
        <f>IF(Raw_Data!AB363&lt;&gt;"",Raw_Data!AB363,IF(N360="tres_insatisfait",1,IF(N360="insatisfait",2,IF(N360="neutre",3,IF(N360="satisfait",4,IF(N360="tres_satisfait",5,""))))))</f>
        <v/>
      </c>
      <c r="P360" s="12">
        <f>IF(Raw_Data!AL363&lt;&gt;"",Raw_Data!AL363,Raw_Data!R363)</f>
        <v>0</v>
      </c>
      <c r="Q360" s="12">
        <f t="shared" si="47"/>
        <v>0</v>
      </c>
      <c r="R360" s="12" t="str">
        <f>IF(Raw_Data!AM363="","",Raw_Data!AM363)</f>
        <v/>
      </c>
      <c r="S360" s="12" t="str">
        <f t="shared" si="48"/>
        <v/>
      </c>
      <c r="T360" s="12" t="str">
        <f>IF(Raw_Data!AN363="","",Raw_Data!AN363)</f>
        <v/>
      </c>
      <c r="U360" s="12" t="str">
        <f t="shared" si="49"/>
        <v/>
      </c>
      <c r="V360" s="12" t="str">
        <f>IF(Raw_Data!AP363="","",IF(Raw_Data!AP363="oui",1,0))</f>
        <v/>
      </c>
      <c r="W360" s="12" t="str">
        <f>IF(Raw_Data!AQ363="","",IF(Raw_Data!AQ363="oui",1,0))</f>
        <v/>
      </c>
      <c r="X360" s="12" t="str">
        <f>IF(Raw_Data!AR363="","",IF(Raw_Data!AR363="oui",1,0))</f>
        <v/>
      </c>
      <c r="Y360" s="12" t="str">
        <f>IF(Raw_Data!AS363="","",IF(Raw_Data!AS363="oui",1,0))</f>
        <v/>
      </c>
      <c r="Z360" s="12" t="str">
        <f>IF(Raw_Data!V363="","",IF(Raw_Data!V363="oui",1,0))</f>
        <v/>
      </c>
      <c r="AA360" s="12" t="str">
        <f>IF(Raw_Data!W363="","",IF(Raw_Data!W363="oui",1,0))</f>
        <v/>
      </c>
      <c r="AB360" s="12" t="str">
        <f>IF(Raw_Data!Q363="","",IF(Raw_Data!Q363="oui",1,0))</f>
        <v/>
      </c>
      <c r="AC360" s="12">
        <f>Raw_Data!AF363</f>
        <v>0</v>
      </c>
      <c r="AD360" s="12" t="str">
        <f t="shared" si="50"/>
        <v/>
      </c>
      <c r="AE360" s="12" t="str">
        <f t="shared" si="51"/>
        <v/>
      </c>
      <c r="AF360" s="12" t="str">
        <f t="shared" si="52"/>
        <v/>
      </c>
      <c r="AG360" s="12">
        <f t="shared" si="53"/>
        <v>0</v>
      </c>
    </row>
    <row r="361" spans="1:33" ht="15" customHeight="1" x14ac:dyDescent="0.25">
      <c r="A361" s="12" t="str">
        <f>IF(Raw_Data!B364="","",Raw_Data!B364)</f>
        <v/>
      </c>
      <c r="B361" s="12">
        <f>IF(Raw_Data!X364&lt;&gt;"",Raw_Data!X364,Raw_Data!C364)</f>
        <v>0</v>
      </c>
      <c r="C361" s="12" t="str">
        <f>IF(Raw_Data!G364="","",Raw_Data!G364)</f>
        <v/>
      </c>
      <c r="D361" s="12" t="str">
        <f>IF(Raw_Data!H364="","",Raw_Data!H364)</f>
        <v/>
      </c>
      <c r="E361" s="12" t="str">
        <f>IF(Raw_Data!I364="","",Raw_Data!I364)</f>
        <v/>
      </c>
      <c r="F361" s="12" t="str">
        <f>IF(Raw_Data!J364="","",Raw_Data!J364)</f>
        <v/>
      </c>
      <c r="G361" s="12" t="str">
        <f>IF(Raw_Data!AH364&lt;&gt;"",Raw_Data!AH364,IF(Raw_Data!K364&lt;&gt;"",Raw_Data!K364,""))</f>
        <v/>
      </c>
      <c r="H361" s="12" t="str">
        <f>IF(Raw_Data!AI364&lt;&gt;"",Raw_Data!AI364,IF(Raw_Data!L364&lt;&gt;"",Raw_Data!L364,""))</f>
        <v/>
      </c>
      <c r="I361" s="12" t="str">
        <f t="shared" si="45"/>
        <v/>
      </c>
      <c r="J361" s="12" t="str">
        <f>IF(Raw_Data!M364="","",Raw_Data!M364)</f>
        <v/>
      </c>
      <c r="K361" s="12">
        <f>IF(Raw_Data!AJ364&lt;&gt;"",Raw_Data!AJ364,Raw_Data!N364)</f>
        <v>0</v>
      </c>
      <c r="L361" s="12">
        <f t="shared" si="46"/>
        <v>1</v>
      </c>
      <c r="M361" s="12" t="str">
        <f>IF(Raw_Data!AK364="","",Raw_Data!AK364)</f>
        <v/>
      </c>
      <c r="N361" s="12" t="str">
        <f>IF(Raw_Data!T364="","",Raw_Data!T364)</f>
        <v/>
      </c>
      <c r="O361" s="12" t="str">
        <f>IF(Raw_Data!AB364&lt;&gt;"",Raw_Data!AB364,IF(N361="tres_insatisfait",1,IF(N361="insatisfait",2,IF(N361="neutre",3,IF(N361="satisfait",4,IF(N361="tres_satisfait",5,""))))))</f>
        <v/>
      </c>
      <c r="P361" s="12">
        <f>IF(Raw_Data!AL364&lt;&gt;"",Raw_Data!AL364,Raw_Data!R364)</f>
        <v>0</v>
      </c>
      <c r="Q361" s="12">
        <f t="shared" si="47"/>
        <v>0</v>
      </c>
      <c r="R361" s="12" t="str">
        <f>IF(Raw_Data!AM364="","",Raw_Data!AM364)</f>
        <v/>
      </c>
      <c r="S361" s="12" t="str">
        <f t="shared" si="48"/>
        <v/>
      </c>
      <c r="T361" s="12" t="str">
        <f>IF(Raw_Data!AN364="","",Raw_Data!AN364)</f>
        <v/>
      </c>
      <c r="U361" s="12" t="str">
        <f t="shared" si="49"/>
        <v/>
      </c>
      <c r="V361" s="12" t="str">
        <f>IF(Raw_Data!AP364="","",IF(Raw_Data!AP364="oui",1,0))</f>
        <v/>
      </c>
      <c r="W361" s="12" t="str">
        <f>IF(Raw_Data!AQ364="","",IF(Raw_Data!AQ364="oui",1,0))</f>
        <v/>
      </c>
      <c r="X361" s="12" t="str">
        <f>IF(Raw_Data!AR364="","",IF(Raw_Data!AR364="oui",1,0))</f>
        <v/>
      </c>
      <c r="Y361" s="12" t="str">
        <f>IF(Raw_Data!AS364="","",IF(Raw_Data!AS364="oui",1,0))</f>
        <v/>
      </c>
      <c r="Z361" s="12" t="str">
        <f>IF(Raw_Data!V364="","",IF(Raw_Data!V364="oui",1,0))</f>
        <v/>
      </c>
      <c r="AA361" s="12" t="str">
        <f>IF(Raw_Data!W364="","",IF(Raw_Data!W364="oui",1,0))</f>
        <v/>
      </c>
      <c r="AB361" s="12" t="str">
        <f>IF(Raw_Data!Q364="","",IF(Raw_Data!Q364="oui",1,0))</f>
        <v/>
      </c>
      <c r="AC361" s="12">
        <f>Raw_Data!AF364</f>
        <v>0</v>
      </c>
      <c r="AD361" s="12" t="str">
        <f t="shared" si="50"/>
        <v/>
      </c>
      <c r="AE361" s="12" t="str">
        <f t="shared" si="51"/>
        <v/>
      </c>
      <c r="AF361" s="12" t="str">
        <f t="shared" si="52"/>
        <v/>
      </c>
      <c r="AG361" s="12">
        <f t="shared" si="53"/>
        <v>0</v>
      </c>
    </row>
    <row r="362" spans="1:33" ht="15" customHeight="1" x14ac:dyDescent="0.25">
      <c r="A362" s="12" t="str">
        <f>IF(Raw_Data!B365="","",Raw_Data!B365)</f>
        <v/>
      </c>
      <c r="B362" s="12">
        <f>IF(Raw_Data!X365&lt;&gt;"",Raw_Data!X365,Raw_Data!C365)</f>
        <v>0</v>
      </c>
      <c r="C362" s="12" t="str">
        <f>IF(Raw_Data!G365="","",Raw_Data!G365)</f>
        <v/>
      </c>
      <c r="D362" s="12" t="str">
        <f>IF(Raw_Data!H365="","",Raw_Data!H365)</f>
        <v/>
      </c>
      <c r="E362" s="12" t="str">
        <f>IF(Raw_Data!I365="","",Raw_Data!I365)</f>
        <v/>
      </c>
      <c r="F362" s="12" t="str">
        <f>IF(Raw_Data!J365="","",Raw_Data!J365)</f>
        <v/>
      </c>
      <c r="G362" s="12" t="str">
        <f>IF(Raw_Data!AH365&lt;&gt;"",Raw_Data!AH365,IF(Raw_Data!K365&lt;&gt;"",Raw_Data!K365,""))</f>
        <v/>
      </c>
      <c r="H362" s="12" t="str">
        <f>IF(Raw_Data!AI365&lt;&gt;"",Raw_Data!AI365,IF(Raw_Data!L365&lt;&gt;"",Raw_Data!L365,""))</f>
        <v/>
      </c>
      <c r="I362" s="12" t="str">
        <f t="shared" si="45"/>
        <v/>
      </c>
      <c r="J362" s="12" t="str">
        <f>IF(Raw_Data!M365="","",Raw_Data!M365)</f>
        <v/>
      </c>
      <c r="K362" s="12">
        <f>IF(Raw_Data!AJ365&lt;&gt;"",Raw_Data!AJ365,Raw_Data!N365)</f>
        <v>0</v>
      </c>
      <c r="L362" s="12">
        <f t="shared" si="46"/>
        <v>1</v>
      </c>
      <c r="M362" s="12" t="str">
        <f>IF(Raw_Data!AK365="","",Raw_Data!AK365)</f>
        <v/>
      </c>
      <c r="N362" s="12" t="str">
        <f>IF(Raw_Data!T365="","",Raw_Data!T365)</f>
        <v/>
      </c>
      <c r="O362" s="12" t="str">
        <f>IF(Raw_Data!AB365&lt;&gt;"",Raw_Data!AB365,IF(N362="tres_insatisfait",1,IF(N362="insatisfait",2,IF(N362="neutre",3,IF(N362="satisfait",4,IF(N362="tres_satisfait",5,""))))))</f>
        <v/>
      </c>
      <c r="P362" s="12">
        <f>IF(Raw_Data!AL365&lt;&gt;"",Raw_Data!AL365,Raw_Data!R365)</f>
        <v>0</v>
      </c>
      <c r="Q362" s="12">
        <f t="shared" si="47"/>
        <v>0</v>
      </c>
      <c r="R362" s="12" t="str">
        <f>IF(Raw_Data!AM365="","",Raw_Data!AM365)</f>
        <v/>
      </c>
      <c r="S362" s="12" t="str">
        <f t="shared" si="48"/>
        <v/>
      </c>
      <c r="T362" s="12" t="str">
        <f>IF(Raw_Data!AN365="","",Raw_Data!AN365)</f>
        <v/>
      </c>
      <c r="U362" s="12" t="str">
        <f t="shared" si="49"/>
        <v/>
      </c>
      <c r="V362" s="12" t="str">
        <f>IF(Raw_Data!AP365="","",IF(Raw_Data!AP365="oui",1,0))</f>
        <v/>
      </c>
      <c r="W362" s="12" t="str">
        <f>IF(Raw_Data!AQ365="","",IF(Raw_Data!AQ365="oui",1,0))</f>
        <v/>
      </c>
      <c r="X362" s="12" t="str">
        <f>IF(Raw_Data!AR365="","",IF(Raw_Data!AR365="oui",1,0))</f>
        <v/>
      </c>
      <c r="Y362" s="12" t="str">
        <f>IF(Raw_Data!AS365="","",IF(Raw_Data!AS365="oui",1,0))</f>
        <v/>
      </c>
      <c r="Z362" s="12" t="str">
        <f>IF(Raw_Data!V365="","",IF(Raw_Data!V365="oui",1,0))</f>
        <v/>
      </c>
      <c r="AA362" s="12" t="str">
        <f>IF(Raw_Data!W365="","",IF(Raw_Data!W365="oui",1,0))</f>
        <v/>
      </c>
      <c r="AB362" s="12" t="str">
        <f>IF(Raw_Data!Q365="","",IF(Raw_Data!Q365="oui",1,0))</f>
        <v/>
      </c>
      <c r="AC362" s="12">
        <f>Raw_Data!AF365</f>
        <v>0</v>
      </c>
      <c r="AD362" s="12" t="str">
        <f t="shared" si="50"/>
        <v/>
      </c>
      <c r="AE362" s="12" t="str">
        <f t="shared" si="51"/>
        <v/>
      </c>
      <c r="AF362" s="12" t="str">
        <f t="shared" si="52"/>
        <v/>
      </c>
      <c r="AG362" s="12">
        <f t="shared" si="53"/>
        <v>0</v>
      </c>
    </row>
    <row r="363" spans="1:33" ht="15" customHeight="1" x14ac:dyDescent="0.25">
      <c r="A363" s="12" t="str">
        <f>IF(Raw_Data!B366="","",Raw_Data!B366)</f>
        <v/>
      </c>
      <c r="B363" s="12">
        <f>IF(Raw_Data!X366&lt;&gt;"",Raw_Data!X366,Raw_Data!C366)</f>
        <v>0</v>
      </c>
      <c r="C363" s="12" t="str">
        <f>IF(Raw_Data!G366="","",Raw_Data!G366)</f>
        <v/>
      </c>
      <c r="D363" s="12" t="str">
        <f>IF(Raw_Data!H366="","",Raw_Data!H366)</f>
        <v/>
      </c>
      <c r="E363" s="12" t="str">
        <f>IF(Raw_Data!I366="","",Raw_Data!I366)</f>
        <v/>
      </c>
      <c r="F363" s="12" t="str">
        <f>IF(Raw_Data!J366="","",Raw_Data!J366)</f>
        <v/>
      </c>
      <c r="G363" s="12" t="str">
        <f>IF(Raw_Data!AH366&lt;&gt;"",Raw_Data!AH366,IF(Raw_Data!K366&lt;&gt;"",Raw_Data!K366,""))</f>
        <v/>
      </c>
      <c r="H363" s="12" t="str">
        <f>IF(Raw_Data!AI366&lt;&gt;"",Raw_Data!AI366,IF(Raw_Data!L366&lt;&gt;"",Raw_Data!L366,""))</f>
        <v/>
      </c>
      <c r="I363" s="12" t="str">
        <f t="shared" si="45"/>
        <v/>
      </c>
      <c r="J363" s="12" t="str">
        <f>IF(Raw_Data!M366="","",Raw_Data!M366)</f>
        <v/>
      </c>
      <c r="K363" s="12">
        <f>IF(Raw_Data!AJ366&lt;&gt;"",Raw_Data!AJ366,Raw_Data!N366)</f>
        <v>0</v>
      </c>
      <c r="L363" s="12">
        <f t="shared" si="46"/>
        <v>1</v>
      </c>
      <c r="M363" s="12" t="str">
        <f>IF(Raw_Data!AK366="","",Raw_Data!AK366)</f>
        <v/>
      </c>
      <c r="N363" s="12" t="str">
        <f>IF(Raw_Data!T366="","",Raw_Data!T366)</f>
        <v/>
      </c>
      <c r="O363" s="12" t="str">
        <f>IF(Raw_Data!AB366&lt;&gt;"",Raw_Data!AB366,IF(N363="tres_insatisfait",1,IF(N363="insatisfait",2,IF(N363="neutre",3,IF(N363="satisfait",4,IF(N363="tres_satisfait",5,""))))))</f>
        <v/>
      </c>
      <c r="P363" s="12">
        <f>IF(Raw_Data!AL366&lt;&gt;"",Raw_Data!AL366,Raw_Data!R366)</f>
        <v>0</v>
      </c>
      <c r="Q363" s="12">
        <f t="shared" si="47"/>
        <v>0</v>
      </c>
      <c r="R363" s="12" t="str">
        <f>IF(Raw_Data!AM366="","",Raw_Data!AM366)</f>
        <v/>
      </c>
      <c r="S363" s="12" t="str">
        <f t="shared" si="48"/>
        <v/>
      </c>
      <c r="T363" s="12" t="str">
        <f>IF(Raw_Data!AN366="","",Raw_Data!AN366)</f>
        <v/>
      </c>
      <c r="U363" s="12" t="str">
        <f t="shared" si="49"/>
        <v/>
      </c>
      <c r="V363" s="12" t="str">
        <f>IF(Raw_Data!AP366="","",IF(Raw_Data!AP366="oui",1,0))</f>
        <v/>
      </c>
      <c r="W363" s="12" t="str">
        <f>IF(Raw_Data!AQ366="","",IF(Raw_Data!AQ366="oui",1,0))</f>
        <v/>
      </c>
      <c r="X363" s="12" t="str">
        <f>IF(Raw_Data!AR366="","",IF(Raw_Data!AR366="oui",1,0))</f>
        <v/>
      </c>
      <c r="Y363" s="12" t="str">
        <f>IF(Raw_Data!AS366="","",IF(Raw_Data!AS366="oui",1,0))</f>
        <v/>
      </c>
      <c r="Z363" s="12" t="str">
        <f>IF(Raw_Data!V366="","",IF(Raw_Data!V366="oui",1,0))</f>
        <v/>
      </c>
      <c r="AA363" s="12" t="str">
        <f>IF(Raw_Data!W366="","",IF(Raw_Data!W366="oui",1,0))</f>
        <v/>
      </c>
      <c r="AB363" s="12" t="str">
        <f>IF(Raw_Data!Q366="","",IF(Raw_Data!Q366="oui",1,0))</f>
        <v/>
      </c>
      <c r="AC363" s="12">
        <f>Raw_Data!AF366</f>
        <v>0</v>
      </c>
      <c r="AD363" s="12" t="str">
        <f t="shared" si="50"/>
        <v/>
      </c>
      <c r="AE363" s="12" t="str">
        <f t="shared" si="51"/>
        <v/>
      </c>
      <c r="AF363" s="12" t="str">
        <f t="shared" si="52"/>
        <v/>
      </c>
      <c r="AG363" s="12">
        <f t="shared" si="53"/>
        <v>0</v>
      </c>
    </row>
    <row r="364" spans="1:33" ht="15" customHeight="1" x14ac:dyDescent="0.25">
      <c r="A364" s="12" t="str">
        <f>IF(Raw_Data!B367="","",Raw_Data!B367)</f>
        <v/>
      </c>
      <c r="B364" s="12">
        <f>IF(Raw_Data!X367&lt;&gt;"",Raw_Data!X367,Raw_Data!C367)</f>
        <v>0</v>
      </c>
      <c r="C364" s="12" t="str">
        <f>IF(Raw_Data!G367="","",Raw_Data!G367)</f>
        <v/>
      </c>
      <c r="D364" s="12" t="str">
        <f>IF(Raw_Data!H367="","",Raw_Data!H367)</f>
        <v/>
      </c>
      <c r="E364" s="12" t="str">
        <f>IF(Raw_Data!I367="","",Raw_Data!I367)</f>
        <v/>
      </c>
      <c r="F364" s="12" t="str">
        <f>IF(Raw_Data!J367="","",Raw_Data!J367)</f>
        <v/>
      </c>
      <c r="G364" s="12" t="str">
        <f>IF(Raw_Data!AH367&lt;&gt;"",Raw_Data!AH367,IF(Raw_Data!K367&lt;&gt;"",Raw_Data!K367,""))</f>
        <v/>
      </c>
      <c r="H364" s="12" t="str">
        <f>IF(Raw_Data!AI367&lt;&gt;"",Raw_Data!AI367,IF(Raw_Data!L367&lt;&gt;"",Raw_Data!L367,""))</f>
        <v/>
      </c>
      <c r="I364" s="12" t="str">
        <f t="shared" si="45"/>
        <v/>
      </c>
      <c r="J364" s="12" t="str">
        <f>IF(Raw_Data!M367="","",Raw_Data!M367)</f>
        <v/>
      </c>
      <c r="K364" s="12">
        <f>IF(Raw_Data!AJ367&lt;&gt;"",Raw_Data!AJ367,Raw_Data!N367)</f>
        <v>0</v>
      </c>
      <c r="L364" s="12">
        <f t="shared" si="46"/>
        <v>1</v>
      </c>
      <c r="M364" s="12" t="str">
        <f>IF(Raw_Data!AK367="","",Raw_Data!AK367)</f>
        <v/>
      </c>
      <c r="N364" s="12" t="str">
        <f>IF(Raw_Data!T367="","",Raw_Data!T367)</f>
        <v/>
      </c>
      <c r="O364" s="12" t="str">
        <f>IF(Raw_Data!AB367&lt;&gt;"",Raw_Data!AB367,IF(N364="tres_insatisfait",1,IF(N364="insatisfait",2,IF(N364="neutre",3,IF(N364="satisfait",4,IF(N364="tres_satisfait",5,""))))))</f>
        <v/>
      </c>
      <c r="P364" s="12">
        <f>IF(Raw_Data!AL367&lt;&gt;"",Raw_Data!AL367,Raw_Data!R367)</f>
        <v>0</v>
      </c>
      <c r="Q364" s="12">
        <f t="shared" si="47"/>
        <v>0</v>
      </c>
      <c r="R364" s="12" t="str">
        <f>IF(Raw_Data!AM367="","",Raw_Data!AM367)</f>
        <v/>
      </c>
      <c r="S364" s="12" t="str">
        <f t="shared" si="48"/>
        <v/>
      </c>
      <c r="T364" s="12" t="str">
        <f>IF(Raw_Data!AN367="","",Raw_Data!AN367)</f>
        <v/>
      </c>
      <c r="U364" s="12" t="str">
        <f t="shared" si="49"/>
        <v/>
      </c>
      <c r="V364" s="12" t="str">
        <f>IF(Raw_Data!AP367="","",IF(Raw_Data!AP367="oui",1,0))</f>
        <v/>
      </c>
      <c r="W364" s="12" t="str">
        <f>IF(Raw_Data!AQ367="","",IF(Raw_Data!AQ367="oui",1,0))</f>
        <v/>
      </c>
      <c r="X364" s="12" t="str">
        <f>IF(Raw_Data!AR367="","",IF(Raw_Data!AR367="oui",1,0))</f>
        <v/>
      </c>
      <c r="Y364" s="12" t="str">
        <f>IF(Raw_Data!AS367="","",IF(Raw_Data!AS367="oui",1,0))</f>
        <v/>
      </c>
      <c r="Z364" s="12" t="str">
        <f>IF(Raw_Data!V367="","",IF(Raw_Data!V367="oui",1,0))</f>
        <v/>
      </c>
      <c r="AA364" s="12" t="str">
        <f>IF(Raw_Data!W367="","",IF(Raw_Data!W367="oui",1,0))</f>
        <v/>
      </c>
      <c r="AB364" s="12" t="str">
        <f>IF(Raw_Data!Q367="","",IF(Raw_Data!Q367="oui",1,0))</f>
        <v/>
      </c>
      <c r="AC364" s="12">
        <f>Raw_Data!AF367</f>
        <v>0</v>
      </c>
      <c r="AD364" s="12" t="str">
        <f t="shared" si="50"/>
        <v/>
      </c>
      <c r="AE364" s="12" t="str">
        <f t="shared" si="51"/>
        <v/>
      </c>
      <c r="AF364" s="12" t="str">
        <f t="shared" si="52"/>
        <v/>
      </c>
      <c r="AG364" s="12">
        <f t="shared" si="53"/>
        <v>0</v>
      </c>
    </row>
    <row r="365" spans="1:33" ht="15" customHeight="1" x14ac:dyDescent="0.25">
      <c r="A365" s="12" t="str">
        <f>IF(Raw_Data!B368="","",Raw_Data!B368)</f>
        <v/>
      </c>
      <c r="B365" s="12">
        <f>IF(Raw_Data!X368&lt;&gt;"",Raw_Data!X368,Raw_Data!C368)</f>
        <v>0</v>
      </c>
      <c r="C365" s="12" t="str">
        <f>IF(Raw_Data!G368="","",Raw_Data!G368)</f>
        <v/>
      </c>
      <c r="D365" s="12" t="str">
        <f>IF(Raw_Data!H368="","",Raw_Data!H368)</f>
        <v/>
      </c>
      <c r="E365" s="12" t="str">
        <f>IF(Raw_Data!I368="","",Raw_Data!I368)</f>
        <v/>
      </c>
      <c r="F365" s="12" t="str">
        <f>IF(Raw_Data!J368="","",Raw_Data!J368)</f>
        <v/>
      </c>
      <c r="G365" s="12" t="str">
        <f>IF(Raw_Data!AH368&lt;&gt;"",Raw_Data!AH368,IF(Raw_Data!K368&lt;&gt;"",Raw_Data!K368,""))</f>
        <v/>
      </c>
      <c r="H365" s="12" t="str">
        <f>IF(Raw_Data!AI368&lt;&gt;"",Raw_Data!AI368,IF(Raw_Data!L368&lt;&gt;"",Raw_Data!L368,""))</f>
        <v/>
      </c>
      <c r="I365" s="12" t="str">
        <f t="shared" si="45"/>
        <v/>
      </c>
      <c r="J365" s="12" t="str">
        <f>IF(Raw_Data!M368="","",Raw_Data!M368)</f>
        <v/>
      </c>
      <c r="K365" s="12">
        <f>IF(Raw_Data!AJ368&lt;&gt;"",Raw_Data!AJ368,Raw_Data!N368)</f>
        <v>0</v>
      </c>
      <c r="L365" s="12">
        <f t="shared" si="46"/>
        <v>1</v>
      </c>
      <c r="M365" s="12" t="str">
        <f>IF(Raw_Data!AK368="","",Raw_Data!AK368)</f>
        <v/>
      </c>
      <c r="N365" s="12" t="str">
        <f>IF(Raw_Data!T368="","",Raw_Data!T368)</f>
        <v/>
      </c>
      <c r="O365" s="12" t="str">
        <f>IF(Raw_Data!AB368&lt;&gt;"",Raw_Data!AB368,IF(N365="tres_insatisfait",1,IF(N365="insatisfait",2,IF(N365="neutre",3,IF(N365="satisfait",4,IF(N365="tres_satisfait",5,""))))))</f>
        <v/>
      </c>
      <c r="P365" s="12">
        <f>IF(Raw_Data!AL368&lt;&gt;"",Raw_Data!AL368,Raw_Data!R368)</f>
        <v>0</v>
      </c>
      <c r="Q365" s="12">
        <f t="shared" si="47"/>
        <v>0</v>
      </c>
      <c r="R365" s="12" t="str">
        <f>IF(Raw_Data!AM368="","",Raw_Data!AM368)</f>
        <v/>
      </c>
      <c r="S365" s="12" t="str">
        <f t="shared" si="48"/>
        <v/>
      </c>
      <c r="T365" s="12" t="str">
        <f>IF(Raw_Data!AN368="","",Raw_Data!AN368)</f>
        <v/>
      </c>
      <c r="U365" s="12" t="str">
        <f t="shared" si="49"/>
        <v/>
      </c>
      <c r="V365" s="12" t="str">
        <f>IF(Raw_Data!AP368="","",IF(Raw_Data!AP368="oui",1,0))</f>
        <v/>
      </c>
      <c r="W365" s="12" t="str">
        <f>IF(Raw_Data!AQ368="","",IF(Raw_Data!AQ368="oui",1,0))</f>
        <v/>
      </c>
      <c r="X365" s="12" t="str">
        <f>IF(Raw_Data!AR368="","",IF(Raw_Data!AR368="oui",1,0))</f>
        <v/>
      </c>
      <c r="Y365" s="12" t="str">
        <f>IF(Raw_Data!AS368="","",IF(Raw_Data!AS368="oui",1,0))</f>
        <v/>
      </c>
      <c r="Z365" s="12" t="str">
        <f>IF(Raw_Data!V368="","",IF(Raw_Data!V368="oui",1,0))</f>
        <v/>
      </c>
      <c r="AA365" s="12" t="str">
        <f>IF(Raw_Data!W368="","",IF(Raw_Data!W368="oui",1,0))</f>
        <v/>
      </c>
      <c r="AB365" s="12" t="str">
        <f>IF(Raw_Data!Q368="","",IF(Raw_Data!Q368="oui",1,0))</f>
        <v/>
      </c>
      <c r="AC365" s="12">
        <f>Raw_Data!AF368</f>
        <v>0</v>
      </c>
      <c r="AD365" s="12" t="str">
        <f t="shared" si="50"/>
        <v/>
      </c>
      <c r="AE365" s="12" t="str">
        <f t="shared" si="51"/>
        <v/>
      </c>
      <c r="AF365" s="12" t="str">
        <f t="shared" si="52"/>
        <v/>
      </c>
      <c r="AG365" s="12">
        <f t="shared" si="53"/>
        <v>0</v>
      </c>
    </row>
    <row r="366" spans="1:33" ht="15" customHeight="1" x14ac:dyDescent="0.25">
      <c r="A366" s="12" t="str">
        <f>IF(Raw_Data!B369="","",Raw_Data!B369)</f>
        <v/>
      </c>
      <c r="B366" s="12">
        <f>IF(Raw_Data!X369&lt;&gt;"",Raw_Data!X369,Raw_Data!C369)</f>
        <v>0</v>
      </c>
      <c r="C366" s="12" t="str">
        <f>IF(Raw_Data!G369="","",Raw_Data!G369)</f>
        <v/>
      </c>
      <c r="D366" s="12" t="str">
        <f>IF(Raw_Data!H369="","",Raw_Data!H369)</f>
        <v/>
      </c>
      <c r="E366" s="12" t="str">
        <f>IF(Raw_Data!I369="","",Raw_Data!I369)</f>
        <v/>
      </c>
      <c r="F366" s="12" t="str">
        <f>IF(Raw_Data!J369="","",Raw_Data!J369)</f>
        <v/>
      </c>
      <c r="G366" s="12" t="str">
        <f>IF(Raw_Data!AH369&lt;&gt;"",Raw_Data!AH369,IF(Raw_Data!K369&lt;&gt;"",Raw_Data!K369,""))</f>
        <v/>
      </c>
      <c r="H366" s="12" t="str">
        <f>IF(Raw_Data!AI369&lt;&gt;"",Raw_Data!AI369,IF(Raw_Data!L369&lt;&gt;"",Raw_Data!L369,""))</f>
        <v/>
      </c>
      <c r="I366" s="12" t="str">
        <f t="shared" si="45"/>
        <v/>
      </c>
      <c r="J366" s="12" t="str">
        <f>IF(Raw_Data!M369="","",Raw_Data!M369)</f>
        <v/>
      </c>
      <c r="K366" s="12">
        <f>IF(Raw_Data!AJ369&lt;&gt;"",Raw_Data!AJ369,Raw_Data!N369)</f>
        <v>0</v>
      </c>
      <c r="L366" s="12">
        <f t="shared" si="46"/>
        <v>1</v>
      </c>
      <c r="M366" s="12" t="str">
        <f>IF(Raw_Data!AK369="","",Raw_Data!AK369)</f>
        <v/>
      </c>
      <c r="N366" s="12" t="str">
        <f>IF(Raw_Data!T369="","",Raw_Data!T369)</f>
        <v/>
      </c>
      <c r="O366" s="12" t="str">
        <f>IF(Raw_Data!AB369&lt;&gt;"",Raw_Data!AB369,IF(N366="tres_insatisfait",1,IF(N366="insatisfait",2,IF(N366="neutre",3,IF(N366="satisfait",4,IF(N366="tres_satisfait",5,""))))))</f>
        <v/>
      </c>
      <c r="P366" s="12">
        <f>IF(Raw_Data!AL369&lt;&gt;"",Raw_Data!AL369,Raw_Data!R369)</f>
        <v>0</v>
      </c>
      <c r="Q366" s="12">
        <f t="shared" si="47"/>
        <v>0</v>
      </c>
      <c r="R366" s="12" t="str">
        <f>IF(Raw_Data!AM369="","",Raw_Data!AM369)</f>
        <v/>
      </c>
      <c r="S366" s="12" t="str">
        <f t="shared" si="48"/>
        <v/>
      </c>
      <c r="T366" s="12" t="str">
        <f>IF(Raw_Data!AN369="","",Raw_Data!AN369)</f>
        <v/>
      </c>
      <c r="U366" s="12" t="str">
        <f t="shared" si="49"/>
        <v/>
      </c>
      <c r="V366" s="12" t="str">
        <f>IF(Raw_Data!AP369="","",IF(Raw_Data!AP369="oui",1,0))</f>
        <v/>
      </c>
      <c r="W366" s="12" t="str">
        <f>IF(Raw_Data!AQ369="","",IF(Raw_Data!AQ369="oui",1,0))</f>
        <v/>
      </c>
      <c r="X366" s="12" t="str">
        <f>IF(Raw_Data!AR369="","",IF(Raw_Data!AR369="oui",1,0))</f>
        <v/>
      </c>
      <c r="Y366" s="12" t="str">
        <f>IF(Raw_Data!AS369="","",IF(Raw_Data!AS369="oui",1,0))</f>
        <v/>
      </c>
      <c r="Z366" s="12" t="str">
        <f>IF(Raw_Data!V369="","",IF(Raw_Data!V369="oui",1,0))</f>
        <v/>
      </c>
      <c r="AA366" s="12" t="str">
        <f>IF(Raw_Data!W369="","",IF(Raw_Data!W369="oui",1,0))</f>
        <v/>
      </c>
      <c r="AB366" s="12" t="str">
        <f>IF(Raw_Data!Q369="","",IF(Raw_Data!Q369="oui",1,0))</f>
        <v/>
      </c>
      <c r="AC366" s="12">
        <f>Raw_Data!AF369</f>
        <v>0</v>
      </c>
      <c r="AD366" s="12" t="str">
        <f t="shared" si="50"/>
        <v/>
      </c>
      <c r="AE366" s="12" t="str">
        <f t="shared" si="51"/>
        <v/>
      </c>
      <c r="AF366" s="12" t="str">
        <f t="shared" si="52"/>
        <v/>
      </c>
      <c r="AG366" s="12">
        <f t="shared" si="53"/>
        <v>0</v>
      </c>
    </row>
    <row r="367" spans="1:33" ht="15" customHeight="1" x14ac:dyDescent="0.25">
      <c r="A367" s="12" t="str">
        <f>IF(Raw_Data!B370="","",Raw_Data!B370)</f>
        <v/>
      </c>
      <c r="B367" s="12">
        <f>IF(Raw_Data!X370&lt;&gt;"",Raw_Data!X370,Raw_Data!C370)</f>
        <v>0</v>
      </c>
      <c r="C367" s="12" t="str">
        <f>IF(Raw_Data!G370="","",Raw_Data!G370)</f>
        <v/>
      </c>
      <c r="D367" s="12" t="str">
        <f>IF(Raw_Data!H370="","",Raw_Data!H370)</f>
        <v/>
      </c>
      <c r="E367" s="12" t="str">
        <f>IF(Raw_Data!I370="","",Raw_Data!I370)</f>
        <v/>
      </c>
      <c r="F367" s="12" t="str">
        <f>IF(Raw_Data!J370="","",Raw_Data!J370)</f>
        <v/>
      </c>
      <c r="G367" s="12" t="str">
        <f>IF(Raw_Data!AH370&lt;&gt;"",Raw_Data!AH370,IF(Raw_Data!K370&lt;&gt;"",Raw_Data!K370,""))</f>
        <v/>
      </c>
      <c r="H367" s="12" t="str">
        <f>IF(Raw_Data!AI370&lt;&gt;"",Raw_Data!AI370,IF(Raw_Data!L370&lt;&gt;"",Raw_Data!L370,""))</f>
        <v/>
      </c>
      <c r="I367" s="12" t="str">
        <f t="shared" si="45"/>
        <v/>
      </c>
      <c r="J367" s="12" t="str">
        <f>IF(Raw_Data!M370="","",Raw_Data!M370)</f>
        <v/>
      </c>
      <c r="K367" s="12">
        <f>IF(Raw_Data!AJ370&lt;&gt;"",Raw_Data!AJ370,Raw_Data!N370)</f>
        <v>0</v>
      </c>
      <c r="L367" s="12">
        <f t="shared" si="46"/>
        <v>1</v>
      </c>
      <c r="M367" s="12" t="str">
        <f>IF(Raw_Data!AK370="","",Raw_Data!AK370)</f>
        <v/>
      </c>
      <c r="N367" s="12" t="str">
        <f>IF(Raw_Data!T370="","",Raw_Data!T370)</f>
        <v/>
      </c>
      <c r="O367" s="12" t="str">
        <f>IF(Raw_Data!AB370&lt;&gt;"",Raw_Data!AB370,IF(N367="tres_insatisfait",1,IF(N367="insatisfait",2,IF(N367="neutre",3,IF(N367="satisfait",4,IF(N367="tres_satisfait",5,""))))))</f>
        <v/>
      </c>
      <c r="P367" s="12">
        <f>IF(Raw_Data!AL370&lt;&gt;"",Raw_Data!AL370,Raw_Data!R370)</f>
        <v>0</v>
      </c>
      <c r="Q367" s="12">
        <f t="shared" si="47"/>
        <v>0</v>
      </c>
      <c r="R367" s="12" t="str">
        <f>IF(Raw_Data!AM370="","",Raw_Data!AM370)</f>
        <v/>
      </c>
      <c r="S367" s="12" t="str">
        <f t="shared" si="48"/>
        <v/>
      </c>
      <c r="T367" s="12" t="str">
        <f>IF(Raw_Data!AN370="","",Raw_Data!AN370)</f>
        <v/>
      </c>
      <c r="U367" s="12" t="str">
        <f t="shared" si="49"/>
        <v/>
      </c>
      <c r="V367" s="12" t="str">
        <f>IF(Raw_Data!AP370="","",IF(Raw_Data!AP370="oui",1,0))</f>
        <v/>
      </c>
      <c r="W367" s="12" t="str">
        <f>IF(Raw_Data!AQ370="","",IF(Raw_Data!AQ370="oui",1,0))</f>
        <v/>
      </c>
      <c r="X367" s="12" t="str">
        <f>IF(Raw_Data!AR370="","",IF(Raw_Data!AR370="oui",1,0))</f>
        <v/>
      </c>
      <c r="Y367" s="12" t="str">
        <f>IF(Raw_Data!AS370="","",IF(Raw_Data!AS370="oui",1,0))</f>
        <v/>
      </c>
      <c r="Z367" s="12" t="str">
        <f>IF(Raw_Data!V370="","",IF(Raw_Data!V370="oui",1,0))</f>
        <v/>
      </c>
      <c r="AA367" s="12" t="str">
        <f>IF(Raw_Data!W370="","",IF(Raw_Data!W370="oui",1,0))</f>
        <v/>
      </c>
      <c r="AB367" s="12" t="str">
        <f>IF(Raw_Data!Q370="","",IF(Raw_Data!Q370="oui",1,0))</f>
        <v/>
      </c>
      <c r="AC367" s="12">
        <f>Raw_Data!AF370</f>
        <v>0</v>
      </c>
      <c r="AD367" s="12" t="str">
        <f t="shared" si="50"/>
        <v/>
      </c>
      <c r="AE367" s="12" t="str">
        <f t="shared" si="51"/>
        <v/>
      </c>
      <c r="AF367" s="12" t="str">
        <f t="shared" si="52"/>
        <v/>
      </c>
      <c r="AG367" s="12">
        <f t="shared" si="53"/>
        <v>0</v>
      </c>
    </row>
    <row r="368" spans="1:33" ht="15" customHeight="1" x14ac:dyDescent="0.25">
      <c r="A368" s="12" t="str">
        <f>IF(Raw_Data!B371="","",Raw_Data!B371)</f>
        <v/>
      </c>
      <c r="B368" s="12">
        <f>IF(Raw_Data!X371&lt;&gt;"",Raw_Data!X371,Raw_Data!C371)</f>
        <v>0</v>
      </c>
      <c r="C368" s="12" t="str">
        <f>IF(Raw_Data!G371="","",Raw_Data!G371)</f>
        <v/>
      </c>
      <c r="D368" s="12" t="str">
        <f>IF(Raw_Data!H371="","",Raw_Data!H371)</f>
        <v/>
      </c>
      <c r="E368" s="12" t="str">
        <f>IF(Raw_Data!I371="","",Raw_Data!I371)</f>
        <v/>
      </c>
      <c r="F368" s="12" t="str">
        <f>IF(Raw_Data!J371="","",Raw_Data!J371)</f>
        <v/>
      </c>
      <c r="G368" s="12" t="str">
        <f>IF(Raw_Data!AH371&lt;&gt;"",Raw_Data!AH371,IF(Raw_Data!K371&lt;&gt;"",Raw_Data!K371,""))</f>
        <v/>
      </c>
      <c r="H368" s="12" t="str">
        <f>IF(Raw_Data!AI371&lt;&gt;"",Raw_Data!AI371,IF(Raw_Data!L371&lt;&gt;"",Raw_Data!L371,""))</f>
        <v/>
      </c>
      <c r="I368" s="12" t="str">
        <f t="shared" si="45"/>
        <v/>
      </c>
      <c r="J368" s="12" t="str">
        <f>IF(Raw_Data!M371="","",Raw_Data!M371)</f>
        <v/>
      </c>
      <c r="K368" s="12">
        <f>IF(Raw_Data!AJ371&lt;&gt;"",Raw_Data!AJ371,Raw_Data!N371)</f>
        <v>0</v>
      </c>
      <c r="L368" s="12">
        <f t="shared" si="46"/>
        <v>1</v>
      </c>
      <c r="M368" s="12" t="str">
        <f>IF(Raw_Data!AK371="","",Raw_Data!AK371)</f>
        <v/>
      </c>
      <c r="N368" s="12" t="str">
        <f>IF(Raw_Data!T371="","",Raw_Data!T371)</f>
        <v/>
      </c>
      <c r="O368" s="12" t="str">
        <f>IF(Raw_Data!AB371&lt;&gt;"",Raw_Data!AB371,IF(N368="tres_insatisfait",1,IF(N368="insatisfait",2,IF(N368="neutre",3,IF(N368="satisfait",4,IF(N368="tres_satisfait",5,""))))))</f>
        <v/>
      </c>
      <c r="P368" s="12">
        <f>IF(Raw_Data!AL371&lt;&gt;"",Raw_Data!AL371,Raw_Data!R371)</f>
        <v>0</v>
      </c>
      <c r="Q368" s="12">
        <f t="shared" si="47"/>
        <v>0</v>
      </c>
      <c r="R368" s="12" t="str">
        <f>IF(Raw_Data!AM371="","",Raw_Data!AM371)</f>
        <v/>
      </c>
      <c r="S368" s="12" t="str">
        <f t="shared" si="48"/>
        <v/>
      </c>
      <c r="T368" s="12" t="str">
        <f>IF(Raw_Data!AN371="","",Raw_Data!AN371)</f>
        <v/>
      </c>
      <c r="U368" s="12" t="str">
        <f t="shared" si="49"/>
        <v/>
      </c>
      <c r="V368" s="12" t="str">
        <f>IF(Raw_Data!AP371="","",IF(Raw_Data!AP371="oui",1,0))</f>
        <v/>
      </c>
      <c r="W368" s="12" t="str">
        <f>IF(Raw_Data!AQ371="","",IF(Raw_Data!AQ371="oui",1,0))</f>
        <v/>
      </c>
      <c r="X368" s="12" t="str">
        <f>IF(Raw_Data!AR371="","",IF(Raw_Data!AR371="oui",1,0))</f>
        <v/>
      </c>
      <c r="Y368" s="12" t="str">
        <f>IF(Raw_Data!AS371="","",IF(Raw_Data!AS371="oui",1,0))</f>
        <v/>
      </c>
      <c r="Z368" s="12" t="str">
        <f>IF(Raw_Data!V371="","",IF(Raw_Data!V371="oui",1,0))</f>
        <v/>
      </c>
      <c r="AA368" s="12" t="str">
        <f>IF(Raw_Data!W371="","",IF(Raw_Data!W371="oui",1,0))</f>
        <v/>
      </c>
      <c r="AB368" s="12" t="str">
        <f>IF(Raw_Data!Q371="","",IF(Raw_Data!Q371="oui",1,0))</f>
        <v/>
      </c>
      <c r="AC368" s="12">
        <f>Raw_Data!AF371</f>
        <v>0</v>
      </c>
      <c r="AD368" s="12" t="str">
        <f t="shared" si="50"/>
        <v/>
      </c>
      <c r="AE368" s="12" t="str">
        <f t="shared" si="51"/>
        <v/>
      </c>
      <c r="AF368" s="12" t="str">
        <f t="shared" si="52"/>
        <v/>
      </c>
      <c r="AG368" s="12">
        <f t="shared" si="53"/>
        <v>0</v>
      </c>
    </row>
    <row r="369" spans="1:33" ht="15" customHeight="1" x14ac:dyDescent="0.25">
      <c r="A369" s="12" t="str">
        <f>IF(Raw_Data!B372="","",Raw_Data!B372)</f>
        <v/>
      </c>
      <c r="B369" s="12">
        <f>IF(Raw_Data!X372&lt;&gt;"",Raw_Data!X372,Raw_Data!C372)</f>
        <v>0</v>
      </c>
      <c r="C369" s="12" t="str">
        <f>IF(Raw_Data!G372="","",Raw_Data!G372)</f>
        <v/>
      </c>
      <c r="D369" s="12" t="str">
        <f>IF(Raw_Data!H372="","",Raw_Data!H372)</f>
        <v/>
      </c>
      <c r="E369" s="12" t="str">
        <f>IF(Raw_Data!I372="","",Raw_Data!I372)</f>
        <v/>
      </c>
      <c r="F369" s="12" t="str">
        <f>IF(Raw_Data!J372="","",Raw_Data!J372)</f>
        <v/>
      </c>
      <c r="G369" s="12" t="str">
        <f>IF(Raw_Data!AH372&lt;&gt;"",Raw_Data!AH372,IF(Raw_Data!K372&lt;&gt;"",Raw_Data!K372,""))</f>
        <v/>
      </c>
      <c r="H369" s="12" t="str">
        <f>IF(Raw_Data!AI372&lt;&gt;"",Raw_Data!AI372,IF(Raw_Data!L372&lt;&gt;"",Raw_Data!L372,""))</f>
        <v/>
      </c>
      <c r="I369" s="12" t="str">
        <f t="shared" si="45"/>
        <v/>
      </c>
      <c r="J369" s="12" t="str">
        <f>IF(Raw_Data!M372="","",Raw_Data!M372)</f>
        <v/>
      </c>
      <c r="K369" s="12">
        <f>IF(Raw_Data!AJ372&lt;&gt;"",Raw_Data!AJ372,Raw_Data!N372)</f>
        <v>0</v>
      </c>
      <c r="L369" s="12">
        <f t="shared" si="46"/>
        <v>1</v>
      </c>
      <c r="M369" s="12" t="str">
        <f>IF(Raw_Data!AK372="","",Raw_Data!AK372)</f>
        <v/>
      </c>
      <c r="N369" s="12" t="str">
        <f>IF(Raw_Data!T372="","",Raw_Data!T372)</f>
        <v/>
      </c>
      <c r="O369" s="12" t="str">
        <f>IF(Raw_Data!AB372&lt;&gt;"",Raw_Data!AB372,IF(N369="tres_insatisfait",1,IF(N369="insatisfait",2,IF(N369="neutre",3,IF(N369="satisfait",4,IF(N369="tres_satisfait",5,""))))))</f>
        <v/>
      </c>
      <c r="P369" s="12">
        <f>IF(Raw_Data!AL372&lt;&gt;"",Raw_Data!AL372,Raw_Data!R372)</f>
        <v>0</v>
      </c>
      <c r="Q369" s="12">
        <f t="shared" si="47"/>
        <v>0</v>
      </c>
      <c r="R369" s="12" t="str">
        <f>IF(Raw_Data!AM372="","",Raw_Data!AM372)</f>
        <v/>
      </c>
      <c r="S369" s="12" t="str">
        <f t="shared" si="48"/>
        <v/>
      </c>
      <c r="T369" s="12" t="str">
        <f>IF(Raw_Data!AN372="","",Raw_Data!AN372)</f>
        <v/>
      </c>
      <c r="U369" s="12" t="str">
        <f t="shared" si="49"/>
        <v/>
      </c>
      <c r="V369" s="12" t="str">
        <f>IF(Raw_Data!AP372="","",IF(Raw_Data!AP372="oui",1,0))</f>
        <v/>
      </c>
      <c r="W369" s="12" t="str">
        <f>IF(Raw_Data!AQ372="","",IF(Raw_Data!AQ372="oui",1,0))</f>
        <v/>
      </c>
      <c r="X369" s="12" t="str">
        <f>IF(Raw_Data!AR372="","",IF(Raw_Data!AR372="oui",1,0))</f>
        <v/>
      </c>
      <c r="Y369" s="12" t="str">
        <f>IF(Raw_Data!AS372="","",IF(Raw_Data!AS372="oui",1,0))</f>
        <v/>
      </c>
      <c r="Z369" s="12" t="str">
        <f>IF(Raw_Data!V372="","",IF(Raw_Data!V372="oui",1,0))</f>
        <v/>
      </c>
      <c r="AA369" s="12" t="str">
        <f>IF(Raw_Data!W372="","",IF(Raw_Data!W372="oui",1,0))</f>
        <v/>
      </c>
      <c r="AB369" s="12" t="str">
        <f>IF(Raw_Data!Q372="","",IF(Raw_Data!Q372="oui",1,0))</f>
        <v/>
      </c>
      <c r="AC369" s="12">
        <f>Raw_Data!AF372</f>
        <v>0</v>
      </c>
      <c r="AD369" s="12" t="str">
        <f t="shared" si="50"/>
        <v/>
      </c>
      <c r="AE369" s="12" t="str">
        <f t="shared" si="51"/>
        <v/>
      </c>
      <c r="AF369" s="12" t="str">
        <f t="shared" si="52"/>
        <v/>
      </c>
      <c r="AG369" s="12">
        <f t="shared" si="53"/>
        <v>0</v>
      </c>
    </row>
    <row r="370" spans="1:33" ht="15" customHeight="1" x14ac:dyDescent="0.25">
      <c r="A370" s="12" t="str">
        <f>IF(Raw_Data!B373="","",Raw_Data!B373)</f>
        <v/>
      </c>
      <c r="B370" s="12">
        <f>IF(Raw_Data!X373&lt;&gt;"",Raw_Data!X373,Raw_Data!C373)</f>
        <v>0</v>
      </c>
      <c r="C370" s="12" t="str">
        <f>IF(Raw_Data!G373="","",Raw_Data!G373)</f>
        <v/>
      </c>
      <c r="D370" s="12" t="str">
        <f>IF(Raw_Data!H373="","",Raw_Data!H373)</f>
        <v/>
      </c>
      <c r="E370" s="12" t="str">
        <f>IF(Raw_Data!I373="","",Raw_Data!I373)</f>
        <v/>
      </c>
      <c r="F370" s="12" t="str">
        <f>IF(Raw_Data!J373="","",Raw_Data!J373)</f>
        <v/>
      </c>
      <c r="G370" s="12" t="str">
        <f>IF(Raw_Data!AH373&lt;&gt;"",Raw_Data!AH373,IF(Raw_Data!K373&lt;&gt;"",Raw_Data!K373,""))</f>
        <v/>
      </c>
      <c r="H370" s="12" t="str">
        <f>IF(Raw_Data!AI373&lt;&gt;"",Raw_Data!AI373,IF(Raw_Data!L373&lt;&gt;"",Raw_Data!L373,""))</f>
        <v/>
      </c>
      <c r="I370" s="12" t="str">
        <f t="shared" si="45"/>
        <v/>
      </c>
      <c r="J370" s="12" t="str">
        <f>IF(Raw_Data!M373="","",Raw_Data!M373)</f>
        <v/>
      </c>
      <c r="K370" s="12">
        <f>IF(Raw_Data!AJ373&lt;&gt;"",Raw_Data!AJ373,Raw_Data!N373)</f>
        <v>0</v>
      </c>
      <c r="L370" s="12">
        <f t="shared" si="46"/>
        <v>1</v>
      </c>
      <c r="M370" s="12" t="str">
        <f>IF(Raw_Data!AK373="","",Raw_Data!AK373)</f>
        <v/>
      </c>
      <c r="N370" s="12" t="str">
        <f>IF(Raw_Data!T373="","",Raw_Data!T373)</f>
        <v/>
      </c>
      <c r="O370" s="12" t="str">
        <f>IF(Raw_Data!AB373&lt;&gt;"",Raw_Data!AB373,IF(N370="tres_insatisfait",1,IF(N370="insatisfait",2,IF(N370="neutre",3,IF(N370="satisfait",4,IF(N370="tres_satisfait",5,""))))))</f>
        <v/>
      </c>
      <c r="P370" s="12">
        <f>IF(Raw_Data!AL373&lt;&gt;"",Raw_Data!AL373,Raw_Data!R373)</f>
        <v>0</v>
      </c>
      <c r="Q370" s="12">
        <f t="shared" si="47"/>
        <v>0</v>
      </c>
      <c r="R370" s="12" t="str">
        <f>IF(Raw_Data!AM373="","",Raw_Data!AM373)</f>
        <v/>
      </c>
      <c r="S370" s="12" t="str">
        <f t="shared" si="48"/>
        <v/>
      </c>
      <c r="T370" s="12" t="str">
        <f>IF(Raw_Data!AN373="","",Raw_Data!AN373)</f>
        <v/>
      </c>
      <c r="U370" s="12" t="str">
        <f t="shared" si="49"/>
        <v/>
      </c>
      <c r="V370" s="12" t="str">
        <f>IF(Raw_Data!AP373="","",IF(Raw_Data!AP373="oui",1,0))</f>
        <v/>
      </c>
      <c r="W370" s="12" t="str">
        <f>IF(Raw_Data!AQ373="","",IF(Raw_Data!AQ373="oui",1,0))</f>
        <v/>
      </c>
      <c r="X370" s="12" t="str">
        <f>IF(Raw_Data!AR373="","",IF(Raw_Data!AR373="oui",1,0))</f>
        <v/>
      </c>
      <c r="Y370" s="12" t="str">
        <f>IF(Raw_Data!AS373="","",IF(Raw_Data!AS373="oui",1,0))</f>
        <v/>
      </c>
      <c r="Z370" s="12" t="str">
        <f>IF(Raw_Data!V373="","",IF(Raw_Data!V373="oui",1,0))</f>
        <v/>
      </c>
      <c r="AA370" s="12" t="str">
        <f>IF(Raw_Data!W373="","",IF(Raw_Data!W373="oui",1,0))</f>
        <v/>
      </c>
      <c r="AB370" s="12" t="str">
        <f>IF(Raw_Data!Q373="","",IF(Raw_Data!Q373="oui",1,0))</f>
        <v/>
      </c>
      <c r="AC370" s="12">
        <f>Raw_Data!AF373</f>
        <v>0</v>
      </c>
      <c r="AD370" s="12" t="str">
        <f t="shared" si="50"/>
        <v/>
      </c>
      <c r="AE370" s="12" t="str">
        <f t="shared" si="51"/>
        <v/>
      </c>
      <c r="AF370" s="12" t="str">
        <f t="shared" si="52"/>
        <v/>
      </c>
      <c r="AG370" s="12">
        <f t="shared" si="53"/>
        <v>0</v>
      </c>
    </row>
    <row r="371" spans="1:33" ht="15" customHeight="1" x14ac:dyDescent="0.25">
      <c r="A371" s="12" t="str">
        <f>IF(Raw_Data!B374="","",Raw_Data!B374)</f>
        <v/>
      </c>
      <c r="B371" s="12">
        <f>IF(Raw_Data!X374&lt;&gt;"",Raw_Data!X374,Raw_Data!C374)</f>
        <v>0</v>
      </c>
      <c r="C371" s="12" t="str">
        <f>IF(Raw_Data!G374="","",Raw_Data!G374)</f>
        <v/>
      </c>
      <c r="D371" s="12" t="str">
        <f>IF(Raw_Data!H374="","",Raw_Data!H374)</f>
        <v/>
      </c>
      <c r="E371" s="12" t="str">
        <f>IF(Raw_Data!I374="","",Raw_Data!I374)</f>
        <v/>
      </c>
      <c r="F371" s="12" t="str">
        <f>IF(Raw_Data!J374="","",Raw_Data!J374)</f>
        <v/>
      </c>
      <c r="G371" s="12" t="str">
        <f>IF(Raw_Data!AH374&lt;&gt;"",Raw_Data!AH374,IF(Raw_Data!K374&lt;&gt;"",Raw_Data!K374,""))</f>
        <v/>
      </c>
      <c r="H371" s="12" t="str">
        <f>IF(Raw_Data!AI374&lt;&gt;"",Raw_Data!AI374,IF(Raw_Data!L374&lt;&gt;"",Raw_Data!L374,""))</f>
        <v/>
      </c>
      <c r="I371" s="12" t="str">
        <f t="shared" si="45"/>
        <v/>
      </c>
      <c r="J371" s="12" t="str">
        <f>IF(Raw_Data!M374="","",Raw_Data!M374)</f>
        <v/>
      </c>
      <c r="K371" s="12">
        <f>IF(Raw_Data!AJ374&lt;&gt;"",Raw_Data!AJ374,Raw_Data!N374)</f>
        <v>0</v>
      </c>
      <c r="L371" s="12">
        <f t="shared" si="46"/>
        <v>1</v>
      </c>
      <c r="M371" s="12" t="str">
        <f>IF(Raw_Data!AK374="","",Raw_Data!AK374)</f>
        <v/>
      </c>
      <c r="N371" s="12" t="str">
        <f>IF(Raw_Data!T374="","",Raw_Data!T374)</f>
        <v/>
      </c>
      <c r="O371" s="12" t="str">
        <f>IF(Raw_Data!AB374&lt;&gt;"",Raw_Data!AB374,IF(N371="tres_insatisfait",1,IF(N371="insatisfait",2,IF(N371="neutre",3,IF(N371="satisfait",4,IF(N371="tres_satisfait",5,""))))))</f>
        <v/>
      </c>
      <c r="P371" s="12">
        <f>IF(Raw_Data!AL374&lt;&gt;"",Raw_Data!AL374,Raw_Data!R374)</f>
        <v>0</v>
      </c>
      <c r="Q371" s="12">
        <f t="shared" si="47"/>
        <v>0</v>
      </c>
      <c r="R371" s="12" t="str">
        <f>IF(Raw_Data!AM374="","",Raw_Data!AM374)</f>
        <v/>
      </c>
      <c r="S371" s="12" t="str">
        <f t="shared" si="48"/>
        <v/>
      </c>
      <c r="T371" s="12" t="str">
        <f>IF(Raw_Data!AN374="","",Raw_Data!AN374)</f>
        <v/>
      </c>
      <c r="U371" s="12" t="str">
        <f t="shared" si="49"/>
        <v/>
      </c>
      <c r="V371" s="12" t="str">
        <f>IF(Raw_Data!AP374="","",IF(Raw_Data!AP374="oui",1,0))</f>
        <v/>
      </c>
      <c r="W371" s="12" t="str">
        <f>IF(Raw_Data!AQ374="","",IF(Raw_Data!AQ374="oui",1,0))</f>
        <v/>
      </c>
      <c r="X371" s="12" t="str">
        <f>IF(Raw_Data!AR374="","",IF(Raw_Data!AR374="oui",1,0))</f>
        <v/>
      </c>
      <c r="Y371" s="12" t="str">
        <f>IF(Raw_Data!AS374="","",IF(Raw_Data!AS374="oui",1,0))</f>
        <v/>
      </c>
      <c r="Z371" s="12" t="str">
        <f>IF(Raw_Data!V374="","",IF(Raw_Data!V374="oui",1,0))</f>
        <v/>
      </c>
      <c r="AA371" s="12" t="str">
        <f>IF(Raw_Data!W374="","",IF(Raw_Data!W374="oui",1,0))</f>
        <v/>
      </c>
      <c r="AB371" s="12" t="str">
        <f>IF(Raw_Data!Q374="","",IF(Raw_Data!Q374="oui",1,0))</f>
        <v/>
      </c>
      <c r="AC371" s="12">
        <f>Raw_Data!AF374</f>
        <v>0</v>
      </c>
      <c r="AD371" s="12" t="str">
        <f t="shared" si="50"/>
        <v/>
      </c>
      <c r="AE371" s="12" t="str">
        <f t="shared" si="51"/>
        <v/>
      </c>
      <c r="AF371" s="12" t="str">
        <f t="shared" si="52"/>
        <v/>
      </c>
      <c r="AG371" s="12">
        <f t="shared" si="53"/>
        <v>0</v>
      </c>
    </row>
    <row r="372" spans="1:33" ht="15" customHeight="1" x14ac:dyDescent="0.25">
      <c r="A372" s="12" t="str">
        <f>IF(Raw_Data!B375="","",Raw_Data!B375)</f>
        <v/>
      </c>
      <c r="B372" s="12">
        <f>IF(Raw_Data!X375&lt;&gt;"",Raw_Data!X375,Raw_Data!C375)</f>
        <v>0</v>
      </c>
      <c r="C372" s="12" t="str">
        <f>IF(Raw_Data!G375="","",Raw_Data!G375)</f>
        <v/>
      </c>
      <c r="D372" s="12" t="str">
        <f>IF(Raw_Data!H375="","",Raw_Data!H375)</f>
        <v/>
      </c>
      <c r="E372" s="12" t="str">
        <f>IF(Raw_Data!I375="","",Raw_Data!I375)</f>
        <v/>
      </c>
      <c r="F372" s="12" t="str">
        <f>IF(Raw_Data!J375="","",Raw_Data!J375)</f>
        <v/>
      </c>
      <c r="G372" s="12" t="str">
        <f>IF(Raw_Data!AH375&lt;&gt;"",Raw_Data!AH375,IF(Raw_Data!K375&lt;&gt;"",Raw_Data!K375,""))</f>
        <v/>
      </c>
      <c r="H372" s="12" t="str">
        <f>IF(Raw_Data!AI375&lt;&gt;"",Raw_Data!AI375,IF(Raw_Data!L375&lt;&gt;"",Raw_Data!L375,""))</f>
        <v/>
      </c>
      <c r="I372" s="12" t="str">
        <f t="shared" si="45"/>
        <v/>
      </c>
      <c r="J372" s="12" t="str">
        <f>IF(Raw_Data!M375="","",Raw_Data!M375)</f>
        <v/>
      </c>
      <c r="K372" s="12">
        <f>IF(Raw_Data!AJ375&lt;&gt;"",Raw_Data!AJ375,Raw_Data!N375)</f>
        <v>0</v>
      </c>
      <c r="L372" s="12">
        <f t="shared" si="46"/>
        <v>1</v>
      </c>
      <c r="M372" s="12" t="str">
        <f>IF(Raw_Data!AK375="","",Raw_Data!AK375)</f>
        <v/>
      </c>
      <c r="N372" s="12" t="str">
        <f>IF(Raw_Data!T375="","",Raw_Data!T375)</f>
        <v/>
      </c>
      <c r="O372" s="12" t="str">
        <f>IF(Raw_Data!AB375&lt;&gt;"",Raw_Data!AB375,IF(N372="tres_insatisfait",1,IF(N372="insatisfait",2,IF(N372="neutre",3,IF(N372="satisfait",4,IF(N372="tres_satisfait",5,""))))))</f>
        <v/>
      </c>
      <c r="P372" s="12">
        <f>IF(Raw_Data!AL375&lt;&gt;"",Raw_Data!AL375,Raw_Data!R375)</f>
        <v>0</v>
      </c>
      <c r="Q372" s="12">
        <f t="shared" si="47"/>
        <v>0</v>
      </c>
      <c r="R372" s="12" t="str">
        <f>IF(Raw_Data!AM375="","",Raw_Data!AM375)</f>
        <v/>
      </c>
      <c r="S372" s="12" t="str">
        <f t="shared" si="48"/>
        <v/>
      </c>
      <c r="T372" s="12" t="str">
        <f>IF(Raw_Data!AN375="","",Raw_Data!AN375)</f>
        <v/>
      </c>
      <c r="U372" s="12" t="str">
        <f t="shared" si="49"/>
        <v/>
      </c>
      <c r="V372" s="12" t="str">
        <f>IF(Raw_Data!AP375="","",IF(Raw_Data!AP375="oui",1,0))</f>
        <v/>
      </c>
      <c r="W372" s="12" t="str">
        <f>IF(Raw_Data!AQ375="","",IF(Raw_Data!AQ375="oui",1,0))</f>
        <v/>
      </c>
      <c r="X372" s="12" t="str">
        <f>IF(Raw_Data!AR375="","",IF(Raw_Data!AR375="oui",1,0))</f>
        <v/>
      </c>
      <c r="Y372" s="12" t="str">
        <f>IF(Raw_Data!AS375="","",IF(Raw_Data!AS375="oui",1,0))</f>
        <v/>
      </c>
      <c r="Z372" s="12" t="str">
        <f>IF(Raw_Data!V375="","",IF(Raw_Data!V375="oui",1,0))</f>
        <v/>
      </c>
      <c r="AA372" s="12" t="str">
        <f>IF(Raw_Data!W375="","",IF(Raw_Data!W375="oui",1,0))</f>
        <v/>
      </c>
      <c r="AB372" s="12" t="str">
        <f>IF(Raw_Data!Q375="","",IF(Raw_Data!Q375="oui",1,0))</f>
        <v/>
      </c>
      <c r="AC372" s="12">
        <f>Raw_Data!AF375</f>
        <v>0</v>
      </c>
      <c r="AD372" s="12" t="str">
        <f t="shared" si="50"/>
        <v/>
      </c>
      <c r="AE372" s="12" t="str">
        <f t="shared" si="51"/>
        <v/>
      </c>
      <c r="AF372" s="12" t="str">
        <f t="shared" si="52"/>
        <v/>
      </c>
      <c r="AG372" s="12">
        <f t="shared" si="53"/>
        <v>0</v>
      </c>
    </row>
    <row r="373" spans="1:33" ht="15" customHeight="1" x14ac:dyDescent="0.25">
      <c r="A373" s="12" t="str">
        <f>IF(Raw_Data!B376="","",Raw_Data!B376)</f>
        <v/>
      </c>
      <c r="B373" s="12">
        <f>IF(Raw_Data!X376&lt;&gt;"",Raw_Data!X376,Raw_Data!C376)</f>
        <v>0</v>
      </c>
      <c r="C373" s="12" t="str">
        <f>IF(Raw_Data!G376="","",Raw_Data!G376)</f>
        <v/>
      </c>
      <c r="D373" s="12" t="str">
        <f>IF(Raw_Data!H376="","",Raw_Data!H376)</f>
        <v/>
      </c>
      <c r="E373" s="12" t="str">
        <f>IF(Raw_Data!I376="","",Raw_Data!I376)</f>
        <v/>
      </c>
      <c r="F373" s="12" t="str">
        <f>IF(Raw_Data!J376="","",Raw_Data!J376)</f>
        <v/>
      </c>
      <c r="G373" s="12" t="str">
        <f>IF(Raw_Data!AH376&lt;&gt;"",Raw_Data!AH376,IF(Raw_Data!K376&lt;&gt;"",Raw_Data!K376,""))</f>
        <v/>
      </c>
      <c r="H373" s="12" t="str">
        <f>IF(Raw_Data!AI376&lt;&gt;"",Raw_Data!AI376,IF(Raw_Data!L376&lt;&gt;"",Raw_Data!L376,""))</f>
        <v/>
      </c>
      <c r="I373" s="12" t="str">
        <f t="shared" si="45"/>
        <v/>
      </c>
      <c r="J373" s="12" t="str">
        <f>IF(Raw_Data!M376="","",Raw_Data!M376)</f>
        <v/>
      </c>
      <c r="K373" s="12">
        <f>IF(Raw_Data!AJ376&lt;&gt;"",Raw_Data!AJ376,Raw_Data!N376)</f>
        <v>0</v>
      </c>
      <c r="L373" s="12">
        <f t="shared" si="46"/>
        <v>1</v>
      </c>
      <c r="M373" s="12" t="str">
        <f>IF(Raw_Data!AK376="","",Raw_Data!AK376)</f>
        <v/>
      </c>
      <c r="N373" s="12" t="str">
        <f>IF(Raw_Data!T376="","",Raw_Data!T376)</f>
        <v/>
      </c>
      <c r="O373" s="12" t="str">
        <f>IF(Raw_Data!AB376&lt;&gt;"",Raw_Data!AB376,IF(N373="tres_insatisfait",1,IF(N373="insatisfait",2,IF(N373="neutre",3,IF(N373="satisfait",4,IF(N373="tres_satisfait",5,""))))))</f>
        <v/>
      </c>
      <c r="P373" s="12">
        <f>IF(Raw_Data!AL376&lt;&gt;"",Raw_Data!AL376,Raw_Data!R376)</f>
        <v>0</v>
      </c>
      <c r="Q373" s="12">
        <f t="shared" si="47"/>
        <v>0</v>
      </c>
      <c r="R373" s="12" t="str">
        <f>IF(Raw_Data!AM376="","",Raw_Data!AM376)</f>
        <v/>
      </c>
      <c r="S373" s="12" t="str">
        <f t="shared" si="48"/>
        <v/>
      </c>
      <c r="T373" s="12" t="str">
        <f>IF(Raw_Data!AN376="","",Raw_Data!AN376)</f>
        <v/>
      </c>
      <c r="U373" s="12" t="str">
        <f t="shared" si="49"/>
        <v/>
      </c>
      <c r="V373" s="12" t="str">
        <f>IF(Raw_Data!AP376="","",IF(Raw_Data!AP376="oui",1,0))</f>
        <v/>
      </c>
      <c r="W373" s="12" t="str">
        <f>IF(Raw_Data!AQ376="","",IF(Raw_Data!AQ376="oui",1,0))</f>
        <v/>
      </c>
      <c r="X373" s="12" t="str">
        <f>IF(Raw_Data!AR376="","",IF(Raw_Data!AR376="oui",1,0))</f>
        <v/>
      </c>
      <c r="Y373" s="12" t="str">
        <f>IF(Raw_Data!AS376="","",IF(Raw_Data!AS376="oui",1,0))</f>
        <v/>
      </c>
      <c r="Z373" s="12" t="str">
        <f>IF(Raw_Data!V376="","",IF(Raw_Data!V376="oui",1,0))</f>
        <v/>
      </c>
      <c r="AA373" s="12" t="str">
        <f>IF(Raw_Data!W376="","",IF(Raw_Data!W376="oui",1,0))</f>
        <v/>
      </c>
      <c r="AB373" s="12" t="str">
        <f>IF(Raw_Data!Q376="","",IF(Raw_Data!Q376="oui",1,0))</f>
        <v/>
      </c>
      <c r="AC373" s="12">
        <f>Raw_Data!AF376</f>
        <v>0</v>
      </c>
      <c r="AD373" s="12" t="str">
        <f t="shared" si="50"/>
        <v/>
      </c>
      <c r="AE373" s="12" t="str">
        <f t="shared" si="51"/>
        <v/>
      </c>
      <c r="AF373" s="12" t="str">
        <f t="shared" si="52"/>
        <v/>
      </c>
      <c r="AG373" s="12">
        <f t="shared" si="53"/>
        <v>0</v>
      </c>
    </row>
    <row r="374" spans="1:33" ht="15" customHeight="1" x14ac:dyDescent="0.25">
      <c r="A374" s="12" t="str">
        <f>IF(Raw_Data!B377="","",Raw_Data!B377)</f>
        <v/>
      </c>
      <c r="B374" s="12">
        <f>IF(Raw_Data!X377&lt;&gt;"",Raw_Data!X377,Raw_Data!C377)</f>
        <v>0</v>
      </c>
      <c r="C374" s="12" t="str">
        <f>IF(Raw_Data!G377="","",Raw_Data!G377)</f>
        <v/>
      </c>
      <c r="D374" s="12" t="str">
        <f>IF(Raw_Data!H377="","",Raw_Data!H377)</f>
        <v/>
      </c>
      <c r="E374" s="12" t="str">
        <f>IF(Raw_Data!I377="","",Raw_Data!I377)</f>
        <v/>
      </c>
      <c r="F374" s="12" t="str">
        <f>IF(Raw_Data!J377="","",Raw_Data!J377)</f>
        <v/>
      </c>
      <c r="G374" s="12" t="str">
        <f>IF(Raw_Data!AH377&lt;&gt;"",Raw_Data!AH377,IF(Raw_Data!K377&lt;&gt;"",Raw_Data!K377,""))</f>
        <v/>
      </c>
      <c r="H374" s="12" t="str">
        <f>IF(Raw_Data!AI377&lt;&gt;"",Raw_Data!AI377,IF(Raw_Data!L377&lt;&gt;"",Raw_Data!L377,""))</f>
        <v/>
      </c>
      <c r="I374" s="12" t="str">
        <f t="shared" si="45"/>
        <v/>
      </c>
      <c r="J374" s="12" t="str">
        <f>IF(Raw_Data!M377="","",Raw_Data!M377)</f>
        <v/>
      </c>
      <c r="K374" s="12">
        <f>IF(Raw_Data!AJ377&lt;&gt;"",Raw_Data!AJ377,Raw_Data!N377)</f>
        <v>0</v>
      </c>
      <c r="L374" s="12">
        <f t="shared" si="46"/>
        <v>1</v>
      </c>
      <c r="M374" s="12" t="str">
        <f>IF(Raw_Data!AK377="","",Raw_Data!AK377)</f>
        <v/>
      </c>
      <c r="N374" s="12" t="str">
        <f>IF(Raw_Data!T377="","",Raw_Data!T377)</f>
        <v/>
      </c>
      <c r="O374" s="12" t="str">
        <f>IF(Raw_Data!AB377&lt;&gt;"",Raw_Data!AB377,IF(N374="tres_insatisfait",1,IF(N374="insatisfait",2,IF(N374="neutre",3,IF(N374="satisfait",4,IF(N374="tres_satisfait",5,""))))))</f>
        <v/>
      </c>
      <c r="P374" s="12">
        <f>IF(Raw_Data!AL377&lt;&gt;"",Raw_Data!AL377,Raw_Data!R377)</f>
        <v>0</v>
      </c>
      <c r="Q374" s="12">
        <f t="shared" si="47"/>
        <v>0</v>
      </c>
      <c r="R374" s="12" t="str">
        <f>IF(Raw_Data!AM377="","",Raw_Data!AM377)</f>
        <v/>
      </c>
      <c r="S374" s="12" t="str">
        <f t="shared" si="48"/>
        <v/>
      </c>
      <c r="T374" s="12" t="str">
        <f>IF(Raw_Data!AN377="","",Raw_Data!AN377)</f>
        <v/>
      </c>
      <c r="U374" s="12" t="str">
        <f t="shared" si="49"/>
        <v/>
      </c>
      <c r="V374" s="12" t="str">
        <f>IF(Raw_Data!AP377="","",IF(Raw_Data!AP377="oui",1,0))</f>
        <v/>
      </c>
      <c r="W374" s="12" t="str">
        <f>IF(Raw_Data!AQ377="","",IF(Raw_Data!AQ377="oui",1,0))</f>
        <v/>
      </c>
      <c r="X374" s="12" t="str">
        <f>IF(Raw_Data!AR377="","",IF(Raw_Data!AR377="oui",1,0))</f>
        <v/>
      </c>
      <c r="Y374" s="12" t="str">
        <f>IF(Raw_Data!AS377="","",IF(Raw_Data!AS377="oui",1,0))</f>
        <v/>
      </c>
      <c r="Z374" s="12" t="str">
        <f>IF(Raw_Data!V377="","",IF(Raw_Data!V377="oui",1,0))</f>
        <v/>
      </c>
      <c r="AA374" s="12" t="str">
        <f>IF(Raw_Data!W377="","",IF(Raw_Data!W377="oui",1,0))</f>
        <v/>
      </c>
      <c r="AB374" s="12" t="str">
        <f>IF(Raw_Data!Q377="","",IF(Raw_Data!Q377="oui",1,0))</f>
        <v/>
      </c>
      <c r="AC374" s="12">
        <f>Raw_Data!AF377</f>
        <v>0</v>
      </c>
      <c r="AD374" s="12" t="str">
        <f t="shared" si="50"/>
        <v/>
      </c>
      <c r="AE374" s="12" t="str">
        <f t="shared" si="51"/>
        <v/>
      </c>
      <c r="AF374" s="12" t="str">
        <f t="shared" si="52"/>
        <v/>
      </c>
      <c r="AG374" s="12">
        <f t="shared" si="53"/>
        <v>0</v>
      </c>
    </row>
    <row r="375" spans="1:33" ht="15" customHeight="1" x14ac:dyDescent="0.25">
      <c r="A375" s="12" t="str">
        <f>IF(Raw_Data!B378="","",Raw_Data!B378)</f>
        <v/>
      </c>
      <c r="B375" s="12">
        <f>IF(Raw_Data!X378&lt;&gt;"",Raw_Data!X378,Raw_Data!C378)</f>
        <v>0</v>
      </c>
      <c r="C375" s="12" t="str">
        <f>IF(Raw_Data!G378="","",Raw_Data!G378)</f>
        <v/>
      </c>
      <c r="D375" s="12" t="str">
        <f>IF(Raw_Data!H378="","",Raw_Data!H378)</f>
        <v/>
      </c>
      <c r="E375" s="12" t="str">
        <f>IF(Raw_Data!I378="","",Raw_Data!I378)</f>
        <v/>
      </c>
      <c r="F375" s="12" t="str">
        <f>IF(Raw_Data!J378="","",Raw_Data!J378)</f>
        <v/>
      </c>
      <c r="G375" s="12" t="str">
        <f>IF(Raw_Data!AH378&lt;&gt;"",Raw_Data!AH378,IF(Raw_Data!K378&lt;&gt;"",Raw_Data!K378,""))</f>
        <v/>
      </c>
      <c r="H375" s="12" t="str">
        <f>IF(Raw_Data!AI378&lt;&gt;"",Raw_Data!AI378,IF(Raw_Data!L378&lt;&gt;"",Raw_Data!L378,""))</f>
        <v/>
      </c>
      <c r="I375" s="12" t="str">
        <f t="shared" si="45"/>
        <v/>
      </c>
      <c r="J375" s="12" t="str">
        <f>IF(Raw_Data!M378="","",Raw_Data!M378)</f>
        <v/>
      </c>
      <c r="K375" s="12">
        <f>IF(Raw_Data!AJ378&lt;&gt;"",Raw_Data!AJ378,Raw_Data!N378)</f>
        <v>0</v>
      </c>
      <c r="L375" s="12">
        <f t="shared" si="46"/>
        <v>1</v>
      </c>
      <c r="M375" s="12" t="str">
        <f>IF(Raw_Data!AK378="","",Raw_Data!AK378)</f>
        <v/>
      </c>
      <c r="N375" s="12" t="str">
        <f>IF(Raw_Data!T378="","",Raw_Data!T378)</f>
        <v/>
      </c>
      <c r="O375" s="12" t="str">
        <f>IF(Raw_Data!AB378&lt;&gt;"",Raw_Data!AB378,IF(N375="tres_insatisfait",1,IF(N375="insatisfait",2,IF(N375="neutre",3,IF(N375="satisfait",4,IF(N375="tres_satisfait",5,""))))))</f>
        <v/>
      </c>
      <c r="P375" s="12">
        <f>IF(Raw_Data!AL378&lt;&gt;"",Raw_Data!AL378,Raw_Data!R378)</f>
        <v>0</v>
      </c>
      <c r="Q375" s="12">
        <f t="shared" si="47"/>
        <v>0</v>
      </c>
      <c r="R375" s="12" t="str">
        <f>IF(Raw_Data!AM378="","",Raw_Data!AM378)</f>
        <v/>
      </c>
      <c r="S375" s="12" t="str">
        <f t="shared" si="48"/>
        <v/>
      </c>
      <c r="T375" s="12" t="str">
        <f>IF(Raw_Data!AN378="","",Raw_Data!AN378)</f>
        <v/>
      </c>
      <c r="U375" s="12" t="str">
        <f t="shared" si="49"/>
        <v/>
      </c>
      <c r="V375" s="12" t="str">
        <f>IF(Raw_Data!AP378="","",IF(Raw_Data!AP378="oui",1,0))</f>
        <v/>
      </c>
      <c r="W375" s="12" t="str">
        <f>IF(Raw_Data!AQ378="","",IF(Raw_Data!AQ378="oui",1,0))</f>
        <v/>
      </c>
      <c r="X375" s="12" t="str">
        <f>IF(Raw_Data!AR378="","",IF(Raw_Data!AR378="oui",1,0))</f>
        <v/>
      </c>
      <c r="Y375" s="12" t="str">
        <f>IF(Raw_Data!AS378="","",IF(Raw_Data!AS378="oui",1,0))</f>
        <v/>
      </c>
      <c r="Z375" s="12" t="str">
        <f>IF(Raw_Data!V378="","",IF(Raw_Data!V378="oui",1,0))</f>
        <v/>
      </c>
      <c r="AA375" s="12" t="str">
        <f>IF(Raw_Data!W378="","",IF(Raw_Data!W378="oui",1,0))</f>
        <v/>
      </c>
      <c r="AB375" s="12" t="str">
        <f>IF(Raw_Data!Q378="","",IF(Raw_Data!Q378="oui",1,0))</f>
        <v/>
      </c>
      <c r="AC375" s="12">
        <f>Raw_Data!AF378</f>
        <v>0</v>
      </c>
      <c r="AD375" s="12" t="str">
        <f t="shared" si="50"/>
        <v/>
      </c>
      <c r="AE375" s="12" t="str">
        <f t="shared" si="51"/>
        <v/>
      </c>
      <c r="AF375" s="12" t="str">
        <f t="shared" si="52"/>
        <v/>
      </c>
      <c r="AG375" s="12">
        <f t="shared" si="53"/>
        <v>0</v>
      </c>
    </row>
    <row r="376" spans="1:33" ht="15" customHeight="1" x14ac:dyDescent="0.25">
      <c r="A376" s="12" t="str">
        <f>IF(Raw_Data!B379="","",Raw_Data!B379)</f>
        <v/>
      </c>
      <c r="B376" s="12">
        <f>IF(Raw_Data!X379&lt;&gt;"",Raw_Data!X379,Raw_Data!C379)</f>
        <v>0</v>
      </c>
      <c r="C376" s="12" t="str">
        <f>IF(Raw_Data!G379="","",Raw_Data!G379)</f>
        <v/>
      </c>
      <c r="D376" s="12" t="str">
        <f>IF(Raw_Data!H379="","",Raw_Data!H379)</f>
        <v/>
      </c>
      <c r="E376" s="12" t="str">
        <f>IF(Raw_Data!I379="","",Raw_Data!I379)</f>
        <v/>
      </c>
      <c r="F376" s="12" t="str">
        <f>IF(Raw_Data!J379="","",Raw_Data!J379)</f>
        <v/>
      </c>
      <c r="G376" s="12" t="str">
        <f>IF(Raw_Data!AH379&lt;&gt;"",Raw_Data!AH379,IF(Raw_Data!K379&lt;&gt;"",Raw_Data!K379,""))</f>
        <v/>
      </c>
      <c r="H376" s="12" t="str">
        <f>IF(Raw_Data!AI379&lt;&gt;"",Raw_Data!AI379,IF(Raw_Data!L379&lt;&gt;"",Raw_Data!L379,""))</f>
        <v/>
      </c>
      <c r="I376" s="12" t="str">
        <f t="shared" si="45"/>
        <v/>
      </c>
      <c r="J376" s="12" t="str">
        <f>IF(Raw_Data!M379="","",Raw_Data!M379)</f>
        <v/>
      </c>
      <c r="K376" s="12">
        <f>IF(Raw_Data!AJ379&lt;&gt;"",Raw_Data!AJ379,Raw_Data!N379)</f>
        <v>0</v>
      </c>
      <c r="L376" s="12">
        <f t="shared" si="46"/>
        <v>1</v>
      </c>
      <c r="M376" s="12" t="str">
        <f>IF(Raw_Data!AK379="","",Raw_Data!AK379)</f>
        <v/>
      </c>
      <c r="N376" s="12" t="str">
        <f>IF(Raw_Data!T379="","",Raw_Data!T379)</f>
        <v/>
      </c>
      <c r="O376" s="12" t="str">
        <f>IF(Raw_Data!AB379&lt;&gt;"",Raw_Data!AB379,IF(N376="tres_insatisfait",1,IF(N376="insatisfait",2,IF(N376="neutre",3,IF(N376="satisfait",4,IF(N376="tres_satisfait",5,""))))))</f>
        <v/>
      </c>
      <c r="P376" s="12">
        <f>IF(Raw_Data!AL379&lt;&gt;"",Raw_Data!AL379,Raw_Data!R379)</f>
        <v>0</v>
      </c>
      <c r="Q376" s="12">
        <f t="shared" si="47"/>
        <v>0</v>
      </c>
      <c r="R376" s="12" t="str">
        <f>IF(Raw_Data!AM379="","",Raw_Data!AM379)</f>
        <v/>
      </c>
      <c r="S376" s="12" t="str">
        <f t="shared" si="48"/>
        <v/>
      </c>
      <c r="T376" s="12" t="str">
        <f>IF(Raw_Data!AN379="","",Raw_Data!AN379)</f>
        <v/>
      </c>
      <c r="U376" s="12" t="str">
        <f t="shared" si="49"/>
        <v/>
      </c>
      <c r="V376" s="12" t="str">
        <f>IF(Raw_Data!AP379="","",IF(Raw_Data!AP379="oui",1,0))</f>
        <v/>
      </c>
      <c r="W376" s="12" t="str">
        <f>IF(Raw_Data!AQ379="","",IF(Raw_Data!AQ379="oui",1,0))</f>
        <v/>
      </c>
      <c r="X376" s="12" t="str">
        <f>IF(Raw_Data!AR379="","",IF(Raw_Data!AR379="oui",1,0))</f>
        <v/>
      </c>
      <c r="Y376" s="12" t="str">
        <f>IF(Raw_Data!AS379="","",IF(Raw_Data!AS379="oui",1,0))</f>
        <v/>
      </c>
      <c r="Z376" s="12" t="str">
        <f>IF(Raw_Data!V379="","",IF(Raw_Data!V379="oui",1,0))</f>
        <v/>
      </c>
      <c r="AA376" s="12" t="str">
        <f>IF(Raw_Data!W379="","",IF(Raw_Data!W379="oui",1,0))</f>
        <v/>
      </c>
      <c r="AB376" s="12" t="str">
        <f>IF(Raw_Data!Q379="","",IF(Raw_Data!Q379="oui",1,0))</f>
        <v/>
      </c>
      <c r="AC376" s="12">
        <f>Raw_Data!AF379</f>
        <v>0</v>
      </c>
      <c r="AD376" s="12" t="str">
        <f t="shared" si="50"/>
        <v/>
      </c>
      <c r="AE376" s="12" t="str">
        <f t="shared" si="51"/>
        <v/>
      </c>
      <c r="AF376" s="12" t="str">
        <f t="shared" si="52"/>
        <v/>
      </c>
      <c r="AG376" s="12">
        <f t="shared" si="53"/>
        <v>0</v>
      </c>
    </row>
    <row r="377" spans="1:33" ht="15" customHeight="1" x14ac:dyDescent="0.25">
      <c r="A377" s="12" t="str">
        <f>IF(Raw_Data!B380="","",Raw_Data!B380)</f>
        <v/>
      </c>
      <c r="B377" s="12">
        <f>IF(Raw_Data!X380&lt;&gt;"",Raw_Data!X380,Raw_Data!C380)</f>
        <v>0</v>
      </c>
      <c r="C377" s="12" t="str">
        <f>IF(Raw_Data!G380="","",Raw_Data!G380)</f>
        <v/>
      </c>
      <c r="D377" s="12" t="str">
        <f>IF(Raw_Data!H380="","",Raw_Data!H380)</f>
        <v/>
      </c>
      <c r="E377" s="12" t="str">
        <f>IF(Raw_Data!I380="","",Raw_Data!I380)</f>
        <v/>
      </c>
      <c r="F377" s="12" t="str">
        <f>IF(Raw_Data!J380="","",Raw_Data!J380)</f>
        <v/>
      </c>
      <c r="G377" s="12" t="str">
        <f>IF(Raw_Data!AH380&lt;&gt;"",Raw_Data!AH380,IF(Raw_Data!K380&lt;&gt;"",Raw_Data!K380,""))</f>
        <v/>
      </c>
      <c r="H377" s="12" t="str">
        <f>IF(Raw_Data!AI380&lt;&gt;"",Raw_Data!AI380,IF(Raw_Data!L380&lt;&gt;"",Raw_Data!L380,""))</f>
        <v/>
      </c>
      <c r="I377" s="12" t="str">
        <f t="shared" si="45"/>
        <v/>
      </c>
      <c r="J377" s="12" t="str">
        <f>IF(Raw_Data!M380="","",Raw_Data!M380)</f>
        <v/>
      </c>
      <c r="K377" s="12">
        <f>IF(Raw_Data!AJ380&lt;&gt;"",Raw_Data!AJ380,Raw_Data!N380)</f>
        <v>0</v>
      </c>
      <c r="L377" s="12">
        <f t="shared" si="46"/>
        <v>1</v>
      </c>
      <c r="M377" s="12" t="str">
        <f>IF(Raw_Data!AK380="","",Raw_Data!AK380)</f>
        <v/>
      </c>
      <c r="N377" s="12" t="str">
        <f>IF(Raw_Data!T380="","",Raw_Data!T380)</f>
        <v/>
      </c>
      <c r="O377" s="12" t="str">
        <f>IF(Raw_Data!AB380&lt;&gt;"",Raw_Data!AB380,IF(N377="tres_insatisfait",1,IF(N377="insatisfait",2,IF(N377="neutre",3,IF(N377="satisfait",4,IF(N377="tres_satisfait",5,""))))))</f>
        <v/>
      </c>
      <c r="P377" s="12">
        <f>IF(Raw_Data!AL380&lt;&gt;"",Raw_Data!AL380,Raw_Data!R380)</f>
        <v>0</v>
      </c>
      <c r="Q377" s="12">
        <f t="shared" si="47"/>
        <v>0</v>
      </c>
      <c r="R377" s="12" t="str">
        <f>IF(Raw_Data!AM380="","",Raw_Data!AM380)</f>
        <v/>
      </c>
      <c r="S377" s="12" t="str">
        <f t="shared" si="48"/>
        <v/>
      </c>
      <c r="T377" s="12" t="str">
        <f>IF(Raw_Data!AN380="","",Raw_Data!AN380)</f>
        <v/>
      </c>
      <c r="U377" s="12" t="str">
        <f t="shared" si="49"/>
        <v/>
      </c>
      <c r="V377" s="12" t="str">
        <f>IF(Raw_Data!AP380="","",IF(Raw_Data!AP380="oui",1,0))</f>
        <v/>
      </c>
      <c r="W377" s="12" t="str">
        <f>IF(Raw_Data!AQ380="","",IF(Raw_Data!AQ380="oui",1,0))</f>
        <v/>
      </c>
      <c r="X377" s="12" t="str">
        <f>IF(Raw_Data!AR380="","",IF(Raw_Data!AR380="oui",1,0))</f>
        <v/>
      </c>
      <c r="Y377" s="12" t="str">
        <f>IF(Raw_Data!AS380="","",IF(Raw_Data!AS380="oui",1,0))</f>
        <v/>
      </c>
      <c r="Z377" s="12" t="str">
        <f>IF(Raw_Data!V380="","",IF(Raw_Data!V380="oui",1,0))</f>
        <v/>
      </c>
      <c r="AA377" s="12" t="str">
        <f>IF(Raw_Data!W380="","",IF(Raw_Data!W380="oui",1,0))</f>
        <v/>
      </c>
      <c r="AB377" s="12" t="str">
        <f>IF(Raw_Data!Q380="","",IF(Raw_Data!Q380="oui",1,0))</f>
        <v/>
      </c>
      <c r="AC377" s="12">
        <f>Raw_Data!AF380</f>
        <v>0</v>
      </c>
      <c r="AD377" s="12" t="str">
        <f t="shared" si="50"/>
        <v/>
      </c>
      <c r="AE377" s="12" t="str">
        <f t="shared" si="51"/>
        <v/>
      </c>
      <c r="AF377" s="12" t="str">
        <f t="shared" si="52"/>
        <v/>
      </c>
      <c r="AG377" s="12">
        <f t="shared" si="53"/>
        <v>0</v>
      </c>
    </row>
    <row r="378" spans="1:33" ht="15" customHeight="1" x14ac:dyDescent="0.25">
      <c r="A378" s="12" t="str">
        <f>IF(Raw_Data!B381="","",Raw_Data!B381)</f>
        <v/>
      </c>
      <c r="B378" s="12">
        <f>IF(Raw_Data!X381&lt;&gt;"",Raw_Data!X381,Raw_Data!C381)</f>
        <v>0</v>
      </c>
      <c r="C378" s="12" t="str">
        <f>IF(Raw_Data!G381="","",Raw_Data!G381)</f>
        <v/>
      </c>
      <c r="D378" s="12" t="str">
        <f>IF(Raw_Data!H381="","",Raw_Data!H381)</f>
        <v/>
      </c>
      <c r="E378" s="12" t="str">
        <f>IF(Raw_Data!I381="","",Raw_Data!I381)</f>
        <v/>
      </c>
      <c r="F378" s="12" t="str">
        <f>IF(Raw_Data!J381="","",Raw_Data!J381)</f>
        <v/>
      </c>
      <c r="G378" s="12" t="str">
        <f>IF(Raw_Data!AH381&lt;&gt;"",Raw_Data!AH381,IF(Raw_Data!K381&lt;&gt;"",Raw_Data!K381,""))</f>
        <v/>
      </c>
      <c r="H378" s="12" t="str">
        <f>IF(Raw_Data!AI381&lt;&gt;"",Raw_Data!AI381,IF(Raw_Data!L381&lt;&gt;"",Raw_Data!L381,""))</f>
        <v/>
      </c>
      <c r="I378" s="12" t="str">
        <f t="shared" si="45"/>
        <v/>
      </c>
      <c r="J378" s="12" t="str">
        <f>IF(Raw_Data!M381="","",Raw_Data!M381)</f>
        <v/>
      </c>
      <c r="K378" s="12">
        <f>IF(Raw_Data!AJ381&lt;&gt;"",Raw_Data!AJ381,Raw_Data!N381)</f>
        <v>0</v>
      </c>
      <c r="L378" s="12">
        <f t="shared" si="46"/>
        <v>1</v>
      </c>
      <c r="M378" s="12" t="str">
        <f>IF(Raw_Data!AK381="","",Raw_Data!AK381)</f>
        <v/>
      </c>
      <c r="N378" s="12" t="str">
        <f>IF(Raw_Data!T381="","",Raw_Data!T381)</f>
        <v/>
      </c>
      <c r="O378" s="12" t="str">
        <f>IF(Raw_Data!AB381&lt;&gt;"",Raw_Data!AB381,IF(N378="tres_insatisfait",1,IF(N378="insatisfait",2,IF(N378="neutre",3,IF(N378="satisfait",4,IF(N378="tres_satisfait",5,""))))))</f>
        <v/>
      </c>
      <c r="P378" s="12">
        <f>IF(Raw_Data!AL381&lt;&gt;"",Raw_Data!AL381,Raw_Data!R381)</f>
        <v>0</v>
      </c>
      <c r="Q378" s="12">
        <f t="shared" si="47"/>
        <v>0</v>
      </c>
      <c r="R378" s="12" t="str">
        <f>IF(Raw_Data!AM381="","",Raw_Data!AM381)</f>
        <v/>
      </c>
      <c r="S378" s="12" t="str">
        <f t="shared" si="48"/>
        <v/>
      </c>
      <c r="T378" s="12" t="str">
        <f>IF(Raw_Data!AN381="","",Raw_Data!AN381)</f>
        <v/>
      </c>
      <c r="U378" s="12" t="str">
        <f t="shared" si="49"/>
        <v/>
      </c>
      <c r="V378" s="12" t="str">
        <f>IF(Raw_Data!AP381="","",IF(Raw_Data!AP381="oui",1,0))</f>
        <v/>
      </c>
      <c r="W378" s="12" t="str">
        <f>IF(Raw_Data!AQ381="","",IF(Raw_Data!AQ381="oui",1,0))</f>
        <v/>
      </c>
      <c r="X378" s="12" t="str">
        <f>IF(Raw_Data!AR381="","",IF(Raw_Data!AR381="oui",1,0))</f>
        <v/>
      </c>
      <c r="Y378" s="12" t="str">
        <f>IF(Raw_Data!AS381="","",IF(Raw_Data!AS381="oui",1,0))</f>
        <v/>
      </c>
      <c r="Z378" s="12" t="str">
        <f>IF(Raw_Data!V381="","",IF(Raw_Data!V381="oui",1,0))</f>
        <v/>
      </c>
      <c r="AA378" s="12" t="str">
        <f>IF(Raw_Data!W381="","",IF(Raw_Data!W381="oui",1,0))</f>
        <v/>
      </c>
      <c r="AB378" s="12" t="str">
        <f>IF(Raw_Data!Q381="","",IF(Raw_Data!Q381="oui",1,0))</f>
        <v/>
      </c>
      <c r="AC378" s="12">
        <f>Raw_Data!AF381</f>
        <v>0</v>
      </c>
      <c r="AD378" s="12" t="str">
        <f t="shared" si="50"/>
        <v/>
      </c>
      <c r="AE378" s="12" t="str">
        <f t="shared" si="51"/>
        <v/>
      </c>
      <c r="AF378" s="12" t="str">
        <f t="shared" si="52"/>
        <v/>
      </c>
      <c r="AG378" s="12">
        <f t="shared" si="53"/>
        <v>0</v>
      </c>
    </row>
    <row r="379" spans="1:33" ht="15" customHeight="1" x14ac:dyDescent="0.25">
      <c r="A379" s="12" t="str">
        <f>IF(Raw_Data!B382="","",Raw_Data!B382)</f>
        <v/>
      </c>
      <c r="B379" s="12">
        <f>IF(Raw_Data!X382&lt;&gt;"",Raw_Data!X382,Raw_Data!C382)</f>
        <v>0</v>
      </c>
      <c r="C379" s="12" t="str">
        <f>IF(Raw_Data!G382="","",Raw_Data!G382)</f>
        <v/>
      </c>
      <c r="D379" s="12" t="str">
        <f>IF(Raw_Data!H382="","",Raw_Data!H382)</f>
        <v/>
      </c>
      <c r="E379" s="12" t="str">
        <f>IF(Raw_Data!I382="","",Raw_Data!I382)</f>
        <v/>
      </c>
      <c r="F379" s="12" t="str">
        <f>IF(Raw_Data!J382="","",Raw_Data!J382)</f>
        <v/>
      </c>
      <c r="G379" s="12" t="str">
        <f>IF(Raw_Data!AH382&lt;&gt;"",Raw_Data!AH382,IF(Raw_Data!K382&lt;&gt;"",Raw_Data!K382,""))</f>
        <v/>
      </c>
      <c r="H379" s="12" t="str">
        <f>IF(Raw_Data!AI382&lt;&gt;"",Raw_Data!AI382,IF(Raw_Data!L382&lt;&gt;"",Raw_Data!L382,""))</f>
        <v/>
      </c>
      <c r="I379" s="12" t="str">
        <f t="shared" si="45"/>
        <v/>
      </c>
      <c r="J379" s="12" t="str">
        <f>IF(Raw_Data!M382="","",Raw_Data!M382)</f>
        <v/>
      </c>
      <c r="K379" s="12">
        <f>IF(Raw_Data!AJ382&lt;&gt;"",Raw_Data!AJ382,Raw_Data!N382)</f>
        <v>0</v>
      </c>
      <c r="L379" s="12">
        <f t="shared" si="46"/>
        <v>1</v>
      </c>
      <c r="M379" s="12" t="str">
        <f>IF(Raw_Data!AK382="","",Raw_Data!AK382)</f>
        <v/>
      </c>
      <c r="N379" s="12" t="str">
        <f>IF(Raw_Data!T382="","",Raw_Data!T382)</f>
        <v/>
      </c>
      <c r="O379" s="12" t="str">
        <f>IF(Raw_Data!AB382&lt;&gt;"",Raw_Data!AB382,IF(N379="tres_insatisfait",1,IF(N379="insatisfait",2,IF(N379="neutre",3,IF(N379="satisfait",4,IF(N379="tres_satisfait",5,""))))))</f>
        <v/>
      </c>
      <c r="P379" s="12">
        <f>IF(Raw_Data!AL382&lt;&gt;"",Raw_Data!AL382,Raw_Data!R382)</f>
        <v>0</v>
      </c>
      <c r="Q379" s="12">
        <f t="shared" si="47"/>
        <v>0</v>
      </c>
      <c r="R379" s="12" t="str">
        <f>IF(Raw_Data!AM382="","",Raw_Data!AM382)</f>
        <v/>
      </c>
      <c r="S379" s="12" t="str">
        <f t="shared" si="48"/>
        <v/>
      </c>
      <c r="T379" s="12" t="str">
        <f>IF(Raw_Data!AN382="","",Raw_Data!AN382)</f>
        <v/>
      </c>
      <c r="U379" s="12" t="str">
        <f t="shared" si="49"/>
        <v/>
      </c>
      <c r="V379" s="12" t="str">
        <f>IF(Raw_Data!AP382="","",IF(Raw_Data!AP382="oui",1,0))</f>
        <v/>
      </c>
      <c r="W379" s="12" t="str">
        <f>IF(Raw_Data!AQ382="","",IF(Raw_Data!AQ382="oui",1,0))</f>
        <v/>
      </c>
      <c r="X379" s="12" t="str">
        <f>IF(Raw_Data!AR382="","",IF(Raw_Data!AR382="oui",1,0))</f>
        <v/>
      </c>
      <c r="Y379" s="12" t="str">
        <f>IF(Raw_Data!AS382="","",IF(Raw_Data!AS382="oui",1,0))</f>
        <v/>
      </c>
      <c r="Z379" s="12" t="str">
        <f>IF(Raw_Data!V382="","",IF(Raw_Data!V382="oui",1,0))</f>
        <v/>
      </c>
      <c r="AA379" s="12" t="str">
        <f>IF(Raw_Data!W382="","",IF(Raw_Data!W382="oui",1,0))</f>
        <v/>
      </c>
      <c r="AB379" s="12" t="str">
        <f>IF(Raw_Data!Q382="","",IF(Raw_Data!Q382="oui",1,0))</f>
        <v/>
      </c>
      <c r="AC379" s="12">
        <f>Raw_Data!AF382</f>
        <v>0</v>
      </c>
      <c r="AD379" s="12" t="str">
        <f t="shared" si="50"/>
        <v/>
      </c>
      <c r="AE379" s="12" t="str">
        <f t="shared" si="51"/>
        <v/>
      </c>
      <c r="AF379" s="12" t="str">
        <f t="shared" si="52"/>
        <v/>
      </c>
      <c r="AG379" s="12">
        <f t="shared" si="53"/>
        <v>0</v>
      </c>
    </row>
    <row r="380" spans="1:33" ht="15" customHeight="1" x14ac:dyDescent="0.25">
      <c r="A380" s="12" t="str">
        <f>IF(Raw_Data!B383="","",Raw_Data!B383)</f>
        <v/>
      </c>
      <c r="B380" s="12">
        <f>IF(Raw_Data!X383&lt;&gt;"",Raw_Data!X383,Raw_Data!C383)</f>
        <v>0</v>
      </c>
      <c r="C380" s="12" t="str">
        <f>IF(Raw_Data!G383="","",Raw_Data!G383)</f>
        <v/>
      </c>
      <c r="D380" s="12" t="str">
        <f>IF(Raw_Data!H383="","",Raw_Data!H383)</f>
        <v/>
      </c>
      <c r="E380" s="12" t="str">
        <f>IF(Raw_Data!I383="","",Raw_Data!I383)</f>
        <v/>
      </c>
      <c r="F380" s="12" t="str">
        <f>IF(Raw_Data!J383="","",Raw_Data!J383)</f>
        <v/>
      </c>
      <c r="G380" s="12" t="str">
        <f>IF(Raw_Data!AH383&lt;&gt;"",Raw_Data!AH383,IF(Raw_Data!K383&lt;&gt;"",Raw_Data!K383,""))</f>
        <v/>
      </c>
      <c r="H380" s="12" t="str">
        <f>IF(Raw_Data!AI383&lt;&gt;"",Raw_Data!AI383,IF(Raw_Data!L383&lt;&gt;"",Raw_Data!L383,""))</f>
        <v/>
      </c>
      <c r="I380" s="12" t="str">
        <f t="shared" si="45"/>
        <v/>
      </c>
      <c r="J380" s="12" t="str">
        <f>IF(Raw_Data!M383="","",Raw_Data!M383)</f>
        <v/>
      </c>
      <c r="K380" s="12">
        <f>IF(Raw_Data!AJ383&lt;&gt;"",Raw_Data!AJ383,Raw_Data!N383)</f>
        <v>0</v>
      </c>
      <c r="L380" s="12">
        <f t="shared" si="46"/>
        <v>1</v>
      </c>
      <c r="M380" s="12" t="str">
        <f>IF(Raw_Data!AK383="","",Raw_Data!AK383)</f>
        <v/>
      </c>
      <c r="N380" s="12" t="str">
        <f>IF(Raw_Data!T383="","",Raw_Data!T383)</f>
        <v/>
      </c>
      <c r="O380" s="12" t="str">
        <f>IF(Raw_Data!AB383&lt;&gt;"",Raw_Data!AB383,IF(N380="tres_insatisfait",1,IF(N380="insatisfait",2,IF(N380="neutre",3,IF(N380="satisfait",4,IF(N380="tres_satisfait",5,""))))))</f>
        <v/>
      </c>
      <c r="P380" s="12">
        <f>IF(Raw_Data!AL383&lt;&gt;"",Raw_Data!AL383,Raw_Data!R383)</f>
        <v>0</v>
      </c>
      <c r="Q380" s="12">
        <f t="shared" si="47"/>
        <v>0</v>
      </c>
      <c r="R380" s="12" t="str">
        <f>IF(Raw_Data!AM383="","",Raw_Data!AM383)</f>
        <v/>
      </c>
      <c r="S380" s="12" t="str">
        <f t="shared" si="48"/>
        <v/>
      </c>
      <c r="T380" s="12" t="str">
        <f>IF(Raw_Data!AN383="","",Raw_Data!AN383)</f>
        <v/>
      </c>
      <c r="U380" s="12" t="str">
        <f t="shared" si="49"/>
        <v/>
      </c>
      <c r="V380" s="12" t="str">
        <f>IF(Raw_Data!AP383="","",IF(Raw_Data!AP383="oui",1,0))</f>
        <v/>
      </c>
      <c r="W380" s="12" t="str">
        <f>IF(Raw_Data!AQ383="","",IF(Raw_Data!AQ383="oui",1,0))</f>
        <v/>
      </c>
      <c r="X380" s="12" t="str">
        <f>IF(Raw_Data!AR383="","",IF(Raw_Data!AR383="oui",1,0))</f>
        <v/>
      </c>
      <c r="Y380" s="12" t="str">
        <f>IF(Raw_Data!AS383="","",IF(Raw_Data!AS383="oui",1,0))</f>
        <v/>
      </c>
      <c r="Z380" s="12" t="str">
        <f>IF(Raw_Data!V383="","",IF(Raw_Data!V383="oui",1,0))</f>
        <v/>
      </c>
      <c r="AA380" s="12" t="str">
        <f>IF(Raw_Data!W383="","",IF(Raw_Data!W383="oui",1,0))</f>
        <v/>
      </c>
      <c r="AB380" s="12" t="str">
        <f>IF(Raw_Data!Q383="","",IF(Raw_Data!Q383="oui",1,0))</f>
        <v/>
      </c>
      <c r="AC380" s="12">
        <f>Raw_Data!AF383</f>
        <v>0</v>
      </c>
      <c r="AD380" s="12" t="str">
        <f t="shared" si="50"/>
        <v/>
      </c>
      <c r="AE380" s="12" t="str">
        <f t="shared" si="51"/>
        <v/>
      </c>
      <c r="AF380" s="12" t="str">
        <f t="shared" si="52"/>
        <v/>
      </c>
      <c r="AG380" s="12">
        <f t="shared" si="53"/>
        <v>0</v>
      </c>
    </row>
    <row r="381" spans="1:33" ht="15" customHeight="1" x14ac:dyDescent="0.25">
      <c r="A381" s="12" t="str">
        <f>IF(Raw_Data!B384="","",Raw_Data!B384)</f>
        <v/>
      </c>
      <c r="B381" s="12">
        <f>IF(Raw_Data!X384&lt;&gt;"",Raw_Data!X384,Raw_Data!C384)</f>
        <v>0</v>
      </c>
      <c r="C381" s="12" t="str">
        <f>IF(Raw_Data!G384="","",Raw_Data!G384)</f>
        <v/>
      </c>
      <c r="D381" s="12" t="str">
        <f>IF(Raw_Data!H384="","",Raw_Data!H384)</f>
        <v/>
      </c>
      <c r="E381" s="12" t="str">
        <f>IF(Raw_Data!I384="","",Raw_Data!I384)</f>
        <v/>
      </c>
      <c r="F381" s="12" t="str">
        <f>IF(Raw_Data!J384="","",Raw_Data!J384)</f>
        <v/>
      </c>
      <c r="G381" s="12" t="str">
        <f>IF(Raw_Data!AH384&lt;&gt;"",Raw_Data!AH384,IF(Raw_Data!K384&lt;&gt;"",Raw_Data!K384,""))</f>
        <v/>
      </c>
      <c r="H381" s="12" t="str">
        <f>IF(Raw_Data!AI384&lt;&gt;"",Raw_Data!AI384,IF(Raw_Data!L384&lt;&gt;"",Raw_Data!L384,""))</f>
        <v/>
      </c>
      <c r="I381" s="12" t="str">
        <f t="shared" si="45"/>
        <v/>
      </c>
      <c r="J381" s="12" t="str">
        <f>IF(Raw_Data!M384="","",Raw_Data!M384)</f>
        <v/>
      </c>
      <c r="K381" s="12">
        <f>IF(Raw_Data!AJ384&lt;&gt;"",Raw_Data!AJ384,Raw_Data!N384)</f>
        <v>0</v>
      </c>
      <c r="L381" s="12">
        <f t="shared" si="46"/>
        <v>1</v>
      </c>
      <c r="M381" s="12" t="str">
        <f>IF(Raw_Data!AK384="","",Raw_Data!AK384)</f>
        <v/>
      </c>
      <c r="N381" s="12" t="str">
        <f>IF(Raw_Data!T384="","",Raw_Data!T384)</f>
        <v/>
      </c>
      <c r="O381" s="12" t="str">
        <f>IF(Raw_Data!AB384&lt;&gt;"",Raw_Data!AB384,IF(N381="tres_insatisfait",1,IF(N381="insatisfait",2,IF(N381="neutre",3,IF(N381="satisfait",4,IF(N381="tres_satisfait",5,""))))))</f>
        <v/>
      </c>
      <c r="P381" s="12">
        <f>IF(Raw_Data!AL384&lt;&gt;"",Raw_Data!AL384,Raw_Data!R384)</f>
        <v>0</v>
      </c>
      <c r="Q381" s="12">
        <f t="shared" si="47"/>
        <v>0</v>
      </c>
      <c r="R381" s="12" t="str">
        <f>IF(Raw_Data!AM384="","",Raw_Data!AM384)</f>
        <v/>
      </c>
      <c r="S381" s="12" t="str">
        <f t="shared" si="48"/>
        <v/>
      </c>
      <c r="T381" s="12" t="str">
        <f>IF(Raw_Data!AN384="","",Raw_Data!AN384)</f>
        <v/>
      </c>
      <c r="U381" s="12" t="str">
        <f t="shared" si="49"/>
        <v/>
      </c>
      <c r="V381" s="12" t="str">
        <f>IF(Raw_Data!AP384="","",IF(Raw_Data!AP384="oui",1,0))</f>
        <v/>
      </c>
      <c r="W381" s="12" t="str">
        <f>IF(Raw_Data!AQ384="","",IF(Raw_Data!AQ384="oui",1,0))</f>
        <v/>
      </c>
      <c r="X381" s="12" t="str">
        <f>IF(Raw_Data!AR384="","",IF(Raw_Data!AR384="oui",1,0))</f>
        <v/>
      </c>
      <c r="Y381" s="12" t="str">
        <f>IF(Raw_Data!AS384="","",IF(Raw_Data!AS384="oui",1,0))</f>
        <v/>
      </c>
      <c r="Z381" s="12" t="str">
        <f>IF(Raw_Data!V384="","",IF(Raw_Data!V384="oui",1,0))</f>
        <v/>
      </c>
      <c r="AA381" s="12" t="str">
        <f>IF(Raw_Data!W384="","",IF(Raw_Data!W384="oui",1,0))</f>
        <v/>
      </c>
      <c r="AB381" s="12" t="str">
        <f>IF(Raw_Data!Q384="","",IF(Raw_Data!Q384="oui",1,0))</f>
        <v/>
      </c>
      <c r="AC381" s="12">
        <f>Raw_Data!AF384</f>
        <v>0</v>
      </c>
      <c r="AD381" s="12" t="str">
        <f t="shared" si="50"/>
        <v/>
      </c>
      <c r="AE381" s="12" t="str">
        <f t="shared" si="51"/>
        <v/>
      </c>
      <c r="AF381" s="12" t="str">
        <f t="shared" si="52"/>
        <v/>
      </c>
      <c r="AG381" s="12">
        <f t="shared" si="53"/>
        <v>0</v>
      </c>
    </row>
    <row r="382" spans="1:33" ht="15" customHeight="1" x14ac:dyDescent="0.25">
      <c r="A382" s="12" t="str">
        <f>IF(Raw_Data!B385="","",Raw_Data!B385)</f>
        <v/>
      </c>
      <c r="B382" s="12">
        <f>IF(Raw_Data!X385&lt;&gt;"",Raw_Data!X385,Raw_Data!C385)</f>
        <v>0</v>
      </c>
      <c r="C382" s="12" t="str">
        <f>IF(Raw_Data!G385="","",Raw_Data!G385)</f>
        <v/>
      </c>
      <c r="D382" s="12" t="str">
        <f>IF(Raw_Data!H385="","",Raw_Data!H385)</f>
        <v/>
      </c>
      <c r="E382" s="12" t="str">
        <f>IF(Raw_Data!I385="","",Raw_Data!I385)</f>
        <v/>
      </c>
      <c r="F382" s="12" t="str">
        <f>IF(Raw_Data!J385="","",Raw_Data!J385)</f>
        <v/>
      </c>
      <c r="G382" s="12" t="str">
        <f>IF(Raw_Data!AH385&lt;&gt;"",Raw_Data!AH385,IF(Raw_Data!K385&lt;&gt;"",Raw_Data!K385,""))</f>
        <v/>
      </c>
      <c r="H382" s="12" t="str">
        <f>IF(Raw_Data!AI385&lt;&gt;"",Raw_Data!AI385,IF(Raw_Data!L385&lt;&gt;"",Raw_Data!L385,""))</f>
        <v/>
      </c>
      <c r="I382" s="12" t="str">
        <f t="shared" si="45"/>
        <v/>
      </c>
      <c r="J382" s="12" t="str">
        <f>IF(Raw_Data!M385="","",Raw_Data!M385)</f>
        <v/>
      </c>
      <c r="K382" s="12">
        <f>IF(Raw_Data!AJ385&lt;&gt;"",Raw_Data!AJ385,Raw_Data!N385)</f>
        <v>0</v>
      </c>
      <c r="L382" s="12">
        <f t="shared" si="46"/>
        <v>1</v>
      </c>
      <c r="M382" s="12" t="str">
        <f>IF(Raw_Data!AK385="","",Raw_Data!AK385)</f>
        <v/>
      </c>
      <c r="N382" s="12" t="str">
        <f>IF(Raw_Data!T385="","",Raw_Data!T385)</f>
        <v/>
      </c>
      <c r="O382" s="12" t="str">
        <f>IF(Raw_Data!AB385&lt;&gt;"",Raw_Data!AB385,IF(N382="tres_insatisfait",1,IF(N382="insatisfait",2,IF(N382="neutre",3,IF(N382="satisfait",4,IF(N382="tres_satisfait",5,""))))))</f>
        <v/>
      </c>
      <c r="P382" s="12">
        <f>IF(Raw_Data!AL385&lt;&gt;"",Raw_Data!AL385,Raw_Data!R385)</f>
        <v>0</v>
      </c>
      <c r="Q382" s="12">
        <f t="shared" si="47"/>
        <v>0</v>
      </c>
      <c r="R382" s="12" t="str">
        <f>IF(Raw_Data!AM385="","",Raw_Data!AM385)</f>
        <v/>
      </c>
      <c r="S382" s="12" t="str">
        <f t="shared" si="48"/>
        <v/>
      </c>
      <c r="T382" s="12" t="str">
        <f>IF(Raw_Data!AN385="","",Raw_Data!AN385)</f>
        <v/>
      </c>
      <c r="U382" s="12" t="str">
        <f t="shared" si="49"/>
        <v/>
      </c>
      <c r="V382" s="12" t="str">
        <f>IF(Raw_Data!AP385="","",IF(Raw_Data!AP385="oui",1,0))</f>
        <v/>
      </c>
      <c r="W382" s="12" t="str">
        <f>IF(Raw_Data!AQ385="","",IF(Raw_Data!AQ385="oui",1,0))</f>
        <v/>
      </c>
      <c r="X382" s="12" t="str">
        <f>IF(Raw_Data!AR385="","",IF(Raw_Data!AR385="oui",1,0))</f>
        <v/>
      </c>
      <c r="Y382" s="12" t="str">
        <f>IF(Raw_Data!AS385="","",IF(Raw_Data!AS385="oui",1,0))</f>
        <v/>
      </c>
      <c r="Z382" s="12" t="str">
        <f>IF(Raw_Data!V385="","",IF(Raw_Data!V385="oui",1,0))</f>
        <v/>
      </c>
      <c r="AA382" s="12" t="str">
        <f>IF(Raw_Data!W385="","",IF(Raw_Data!W385="oui",1,0))</f>
        <v/>
      </c>
      <c r="AB382" s="12" t="str">
        <f>IF(Raw_Data!Q385="","",IF(Raw_Data!Q385="oui",1,0))</f>
        <v/>
      </c>
      <c r="AC382" s="12">
        <f>Raw_Data!AF385</f>
        <v>0</v>
      </c>
      <c r="AD382" s="12" t="str">
        <f t="shared" si="50"/>
        <v/>
      </c>
      <c r="AE382" s="12" t="str">
        <f t="shared" si="51"/>
        <v/>
      </c>
      <c r="AF382" s="12" t="str">
        <f t="shared" si="52"/>
        <v/>
      </c>
      <c r="AG382" s="12">
        <f t="shared" si="53"/>
        <v>0</v>
      </c>
    </row>
    <row r="383" spans="1:33" ht="15" customHeight="1" x14ac:dyDescent="0.25">
      <c r="A383" s="12" t="str">
        <f>IF(Raw_Data!B386="","",Raw_Data!B386)</f>
        <v/>
      </c>
      <c r="B383" s="12">
        <f>IF(Raw_Data!X386&lt;&gt;"",Raw_Data!X386,Raw_Data!C386)</f>
        <v>0</v>
      </c>
      <c r="C383" s="12" t="str">
        <f>IF(Raw_Data!G386="","",Raw_Data!G386)</f>
        <v/>
      </c>
      <c r="D383" s="12" t="str">
        <f>IF(Raw_Data!H386="","",Raw_Data!H386)</f>
        <v/>
      </c>
      <c r="E383" s="12" t="str">
        <f>IF(Raw_Data!I386="","",Raw_Data!I386)</f>
        <v/>
      </c>
      <c r="F383" s="12" t="str">
        <f>IF(Raw_Data!J386="","",Raw_Data!J386)</f>
        <v/>
      </c>
      <c r="G383" s="12" t="str">
        <f>IF(Raw_Data!AH386&lt;&gt;"",Raw_Data!AH386,IF(Raw_Data!K386&lt;&gt;"",Raw_Data!K386,""))</f>
        <v/>
      </c>
      <c r="H383" s="12" t="str">
        <f>IF(Raw_Data!AI386&lt;&gt;"",Raw_Data!AI386,IF(Raw_Data!L386&lt;&gt;"",Raw_Data!L386,""))</f>
        <v/>
      </c>
      <c r="I383" s="12" t="str">
        <f t="shared" si="45"/>
        <v/>
      </c>
      <c r="J383" s="12" t="str">
        <f>IF(Raw_Data!M386="","",Raw_Data!M386)</f>
        <v/>
      </c>
      <c r="K383" s="12">
        <f>IF(Raw_Data!AJ386&lt;&gt;"",Raw_Data!AJ386,Raw_Data!N386)</f>
        <v>0</v>
      </c>
      <c r="L383" s="12">
        <f t="shared" si="46"/>
        <v>1</v>
      </c>
      <c r="M383" s="12" t="str">
        <f>IF(Raw_Data!AK386="","",Raw_Data!AK386)</f>
        <v/>
      </c>
      <c r="N383" s="12" t="str">
        <f>IF(Raw_Data!T386="","",Raw_Data!T386)</f>
        <v/>
      </c>
      <c r="O383" s="12" t="str">
        <f>IF(Raw_Data!AB386&lt;&gt;"",Raw_Data!AB386,IF(N383="tres_insatisfait",1,IF(N383="insatisfait",2,IF(N383="neutre",3,IF(N383="satisfait",4,IF(N383="tres_satisfait",5,""))))))</f>
        <v/>
      </c>
      <c r="P383" s="12">
        <f>IF(Raw_Data!AL386&lt;&gt;"",Raw_Data!AL386,Raw_Data!R386)</f>
        <v>0</v>
      </c>
      <c r="Q383" s="12">
        <f t="shared" si="47"/>
        <v>0</v>
      </c>
      <c r="R383" s="12" t="str">
        <f>IF(Raw_Data!AM386="","",Raw_Data!AM386)</f>
        <v/>
      </c>
      <c r="S383" s="12" t="str">
        <f t="shared" si="48"/>
        <v/>
      </c>
      <c r="T383" s="12" t="str">
        <f>IF(Raw_Data!AN386="","",Raw_Data!AN386)</f>
        <v/>
      </c>
      <c r="U383" s="12" t="str">
        <f t="shared" si="49"/>
        <v/>
      </c>
      <c r="V383" s="12" t="str">
        <f>IF(Raw_Data!AP386="","",IF(Raw_Data!AP386="oui",1,0))</f>
        <v/>
      </c>
      <c r="W383" s="12" t="str">
        <f>IF(Raw_Data!AQ386="","",IF(Raw_Data!AQ386="oui",1,0))</f>
        <v/>
      </c>
      <c r="X383" s="12" t="str">
        <f>IF(Raw_Data!AR386="","",IF(Raw_Data!AR386="oui",1,0))</f>
        <v/>
      </c>
      <c r="Y383" s="12" t="str">
        <f>IF(Raw_Data!AS386="","",IF(Raw_Data!AS386="oui",1,0))</f>
        <v/>
      </c>
      <c r="Z383" s="12" t="str">
        <f>IF(Raw_Data!V386="","",IF(Raw_Data!V386="oui",1,0))</f>
        <v/>
      </c>
      <c r="AA383" s="12" t="str">
        <f>IF(Raw_Data!W386="","",IF(Raw_Data!W386="oui",1,0))</f>
        <v/>
      </c>
      <c r="AB383" s="12" t="str">
        <f>IF(Raw_Data!Q386="","",IF(Raw_Data!Q386="oui",1,0))</f>
        <v/>
      </c>
      <c r="AC383" s="12">
        <f>Raw_Data!AF386</f>
        <v>0</v>
      </c>
      <c r="AD383" s="12" t="str">
        <f t="shared" si="50"/>
        <v/>
      </c>
      <c r="AE383" s="12" t="str">
        <f t="shared" si="51"/>
        <v/>
      </c>
      <c r="AF383" s="12" t="str">
        <f t="shared" si="52"/>
        <v/>
      </c>
      <c r="AG383" s="12">
        <f t="shared" si="53"/>
        <v>0</v>
      </c>
    </row>
    <row r="384" spans="1:33" ht="15" customHeight="1" x14ac:dyDescent="0.25">
      <c r="A384" s="12" t="str">
        <f>IF(Raw_Data!B387="","",Raw_Data!B387)</f>
        <v/>
      </c>
      <c r="B384" s="12">
        <f>IF(Raw_Data!X387&lt;&gt;"",Raw_Data!X387,Raw_Data!C387)</f>
        <v>0</v>
      </c>
      <c r="C384" s="12" t="str">
        <f>IF(Raw_Data!G387="","",Raw_Data!G387)</f>
        <v/>
      </c>
      <c r="D384" s="12" t="str">
        <f>IF(Raw_Data!H387="","",Raw_Data!H387)</f>
        <v/>
      </c>
      <c r="E384" s="12" t="str">
        <f>IF(Raw_Data!I387="","",Raw_Data!I387)</f>
        <v/>
      </c>
      <c r="F384" s="12" t="str">
        <f>IF(Raw_Data!J387="","",Raw_Data!J387)</f>
        <v/>
      </c>
      <c r="G384" s="12" t="str">
        <f>IF(Raw_Data!AH387&lt;&gt;"",Raw_Data!AH387,IF(Raw_Data!K387&lt;&gt;"",Raw_Data!K387,""))</f>
        <v/>
      </c>
      <c r="H384" s="12" t="str">
        <f>IF(Raw_Data!AI387&lt;&gt;"",Raw_Data!AI387,IF(Raw_Data!L387&lt;&gt;"",Raw_Data!L387,""))</f>
        <v/>
      </c>
      <c r="I384" s="12" t="str">
        <f t="shared" si="45"/>
        <v/>
      </c>
      <c r="J384" s="12" t="str">
        <f>IF(Raw_Data!M387="","",Raw_Data!M387)</f>
        <v/>
      </c>
      <c r="K384" s="12">
        <f>IF(Raw_Data!AJ387&lt;&gt;"",Raw_Data!AJ387,Raw_Data!N387)</f>
        <v>0</v>
      </c>
      <c r="L384" s="12">
        <f t="shared" si="46"/>
        <v>1</v>
      </c>
      <c r="M384" s="12" t="str">
        <f>IF(Raw_Data!AK387="","",Raw_Data!AK387)</f>
        <v/>
      </c>
      <c r="N384" s="12" t="str">
        <f>IF(Raw_Data!T387="","",Raw_Data!T387)</f>
        <v/>
      </c>
      <c r="O384" s="12" t="str">
        <f>IF(Raw_Data!AB387&lt;&gt;"",Raw_Data!AB387,IF(N384="tres_insatisfait",1,IF(N384="insatisfait",2,IF(N384="neutre",3,IF(N384="satisfait",4,IF(N384="tres_satisfait",5,""))))))</f>
        <v/>
      </c>
      <c r="P384" s="12">
        <f>IF(Raw_Data!AL387&lt;&gt;"",Raw_Data!AL387,Raw_Data!R387)</f>
        <v>0</v>
      </c>
      <c r="Q384" s="12">
        <f t="shared" si="47"/>
        <v>0</v>
      </c>
      <c r="R384" s="12" t="str">
        <f>IF(Raw_Data!AM387="","",Raw_Data!AM387)</f>
        <v/>
      </c>
      <c r="S384" s="12" t="str">
        <f t="shared" si="48"/>
        <v/>
      </c>
      <c r="T384" s="12" t="str">
        <f>IF(Raw_Data!AN387="","",Raw_Data!AN387)</f>
        <v/>
      </c>
      <c r="U384" s="12" t="str">
        <f t="shared" si="49"/>
        <v/>
      </c>
      <c r="V384" s="12" t="str">
        <f>IF(Raw_Data!AP387="","",IF(Raw_Data!AP387="oui",1,0))</f>
        <v/>
      </c>
      <c r="W384" s="12" t="str">
        <f>IF(Raw_Data!AQ387="","",IF(Raw_Data!AQ387="oui",1,0))</f>
        <v/>
      </c>
      <c r="X384" s="12" t="str">
        <f>IF(Raw_Data!AR387="","",IF(Raw_Data!AR387="oui",1,0))</f>
        <v/>
      </c>
      <c r="Y384" s="12" t="str">
        <f>IF(Raw_Data!AS387="","",IF(Raw_Data!AS387="oui",1,0))</f>
        <v/>
      </c>
      <c r="Z384" s="12" t="str">
        <f>IF(Raw_Data!V387="","",IF(Raw_Data!V387="oui",1,0))</f>
        <v/>
      </c>
      <c r="AA384" s="12" t="str">
        <f>IF(Raw_Data!W387="","",IF(Raw_Data!W387="oui",1,0))</f>
        <v/>
      </c>
      <c r="AB384" s="12" t="str">
        <f>IF(Raw_Data!Q387="","",IF(Raw_Data!Q387="oui",1,0))</f>
        <v/>
      </c>
      <c r="AC384" s="12">
        <f>Raw_Data!AF387</f>
        <v>0</v>
      </c>
      <c r="AD384" s="12" t="str">
        <f t="shared" si="50"/>
        <v/>
      </c>
      <c r="AE384" s="12" t="str">
        <f t="shared" si="51"/>
        <v/>
      </c>
      <c r="AF384" s="12" t="str">
        <f t="shared" si="52"/>
        <v/>
      </c>
      <c r="AG384" s="12">
        <f t="shared" si="53"/>
        <v>0</v>
      </c>
    </row>
    <row r="385" spans="1:33" ht="15" customHeight="1" x14ac:dyDescent="0.25">
      <c r="A385" s="12" t="str">
        <f>IF(Raw_Data!B388="","",Raw_Data!B388)</f>
        <v/>
      </c>
      <c r="B385" s="12">
        <f>IF(Raw_Data!X388&lt;&gt;"",Raw_Data!X388,Raw_Data!C388)</f>
        <v>0</v>
      </c>
      <c r="C385" s="12" t="str">
        <f>IF(Raw_Data!G388="","",Raw_Data!G388)</f>
        <v/>
      </c>
      <c r="D385" s="12" t="str">
        <f>IF(Raw_Data!H388="","",Raw_Data!H388)</f>
        <v/>
      </c>
      <c r="E385" s="12" t="str">
        <f>IF(Raw_Data!I388="","",Raw_Data!I388)</f>
        <v/>
      </c>
      <c r="F385" s="12" t="str">
        <f>IF(Raw_Data!J388="","",Raw_Data!J388)</f>
        <v/>
      </c>
      <c r="G385" s="12" t="str">
        <f>IF(Raw_Data!AH388&lt;&gt;"",Raw_Data!AH388,IF(Raw_Data!K388&lt;&gt;"",Raw_Data!K388,""))</f>
        <v/>
      </c>
      <c r="H385" s="12" t="str">
        <f>IF(Raw_Data!AI388&lt;&gt;"",Raw_Data!AI388,IF(Raw_Data!L388&lt;&gt;"",Raw_Data!L388,""))</f>
        <v/>
      </c>
      <c r="I385" s="12" t="str">
        <f t="shared" si="45"/>
        <v/>
      </c>
      <c r="J385" s="12" t="str">
        <f>IF(Raw_Data!M388="","",Raw_Data!M388)</f>
        <v/>
      </c>
      <c r="K385" s="12">
        <f>IF(Raw_Data!AJ388&lt;&gt;"",Raw_Data!AJ388,Raw_Data!N388)</f>
        <v>0</v>
      </c>
      <c r="L385" s="12">
        <f t="shared" si="46"/>
        <v>1</v>
      </c>
      <c r="M385" s="12" t="str">
        <f>IF(Raw_Data!AK388="","",Raw_Data!AK388)</f>
        <v/>
      </c>
      <c r="N385" s="12" t="str">
        <f>IF(Raw_Data!T388="","",Raw_Data!T388)</f>
        <v/>
      </c>
      <c r="O385" s="12" t="str">
        <f>IF(Raw_Data!AB388&lt;&gt;"",Raw_Data!AB388,IF(N385="tres_insatisfait",1,IF(N385="insatisfait",2,IF(N385="neutre",3,IF(N385="satisfait",4,IF(N385="tres_satisfait",5,""))))))</f>
        <v/>
      </c>
      <c r="P385" s="12">
        <f>IF(Raw_Data!AL388&lt;&gt;"",Raw_Data!AL388,Raw_Data!R388)</f>
        <v>0</v>
      </c>
      <c r="Q385" s="12">
        <f t="shared" si="47"/>
        <v>0</v>
      </c>
      <c r="R385" s="12" t="str">
        <f>IF(Raw_Data!AM388="","",Raw_Data!AM388)</f>
        <v/>
      </c>
      <c r="S385" s="12" t="str">
        <f t="shared" si="48"/>
        <v/>
      </c>
      <c r="T385" s="12" t="str">
        <f>IF(Raw_Data!AN388="","",Raw_Data!AN388)</f>
        <v/>
      </c>
      <c r="U385" s="12" t="str">
        <f t="shared" si="49"/>
        <v/>
      </c>
      <c r="V385" s="12" t="str">
        <f>IF(Raw_Data!AP388="","",IF(Raw_Data!AP388="oui",1,0))</f>
        <v/>
      </c>
      <c r="W385" s="12" t="str">
        <f>IF(Raw_Data!AQ388="","",IF(Raw_Data!AQ388="oui",1,0))</f>
        <v/>
      </c>
      <c r="X385" s="12" t="str">
        <f>IF(Raw_Data!AR388="","",IF(Raw_Data!AR388="oui",1,0))</f>
        <v/>
      </c>
      <c r="Y385" s="12" t="str">
        <f>IF(Raw_Data!AS388="","",IF(Raw_Data!AS388="oui",1,0))</f>
        <v/>
      </c>
      <c r="Z385" s="12" t="str">
        <f>IF(Raw_Data!V388="","",IF(Raw_Data!V388="oui",1,0))</f>
        <v/>
      </c>
      <c r="AA385" s="12" t="str">
        <f>IF(Raw_Data!W388="","",IF(Raw_Data!W388="oui",1,0))</f>
        <v/>
      </c>
      <c r="AB385" s="12" t="str">
        <f>IF(Raw_Data!Q388="","",IF(Raw_Data!Q388="oui",1,0))</f>
        <v/>
      </c>
      <c r="AC385" s="12">
        <f>Raw_Data!AF388</f>
        <v>0</v>
      </c>
      <c r="AD385" s="12" t="str">
        <f t="shared" si="50"/>
        <v/>
      </c>
      <c r="AE385" s="12" t="str">
        <f t="shared" si="51"/>
        <v/>
      </c>
      <c r="AF385" s="12" t="str">
        <f t="shared" si="52"/>
        <v/>
      </c>
      <c r="AG385" s="12">
        <f t="shared" si="53"/>
        <v>0</v>
      </c>
    </row>
    <row r="386" spans="1:33" ht="15" customHeight="1" x14ac:dyDescent="0.25">
      <c r="A386" s="12" t="str">
        <f>IF(Raw_Data!B389="","",Raw_Data!B389)</f>
        <v/>
      </c>
      <c r="B386" s="12">
        <f>IF(Raw_Data!X389&lt;&gt;"",Raw_Data!X389,Raw_Data!C389)</f>
        <v>0</v>
      </c>
      <c r="C386" s="12" t="str">
        <f>IF(Raw_Data!G389="","",Raw_Data!G389)</f>
        <v/>
      </c>
      <c r="D386" s="12" t="str">
        <f>IF(Raw_Data!H389="","",Raw_Data!H389)</f>
        <v/>
      </c>
      <c r="E386" s="12" t="str">
        <f>IF(Raw_Data!I389="","",Raw_Data!I389)</f>
        <v/>
      </c>
      <c r="F386" s="12" t="str">
        <f>IF(Raw_Data!J389="","",Raw_Data!J389)</f>
        <v/>
      </c>
      <c r="G386" s="12" t="str">
        <f>IF(Raw_Data!AH389&lt;&gt;"",Raw_Data!AH389,IF(Raw_Data!K389&lt;&gt;"",Raw_Data!K389,""))</f>
        <v/>
      </c>
      <c r="H386" s="12" t="str">
        <f>IF(Raw_Data!AI389&lt;&gt;"",Raw_Data!AI389,IF(Raw_Data!L389&lt;&gt;"",Raw_Data!L389,""))</f>
        <v/>
      </c>
      <c r="I386" s="12" t="str">
        <f t="shared" ref="I386:I449" si="54">IF(H386="","",IF(H386&lt;18,"&lt;18 ans",IF(H386&lt;60,"18-59 ans","60 ans et +")))</f>
        <v/>
      </c>
      <c r="J386" s="12" t="str">
        <f>IF(Raw_Data!M389="","",Raw_Data!M389)</f>
        <v/>
      </c>
      <c r="K386" s="12">
        <f>IF(Raw_Data!AJ389&lt;&gt;"",Raw_Data!AJ389,Raw_Data!N389)</f>
        <v>0</v>
      </c>
      <c r="L386" s="12">
        <f t="shared" ref="L386:L449" si="55">IF(K386="",0,1)</f>
        <v>1</v>
      </c>
      <c r="M386" s="12" t="str">
        <f>IF(Raw_Data!AK389="","",Raw_Data!AK389)</f>
        <v/>
      </c>
      <c r="N386" s="12" t="str">
        <f>IF(Raw_Data!T389="","",Raw_Data!T389)</f>
        <v/>
      </c>
      <c r="O386" s="12" t="str">
        <f>IF(Raw_Data!AB389&lt;&gt;"",Raw_Data!AB389,IF(N386="tres_insatisfait",1,IF(N386="insatisfait",2,IF(N386="neutre",3,IF(N386="satisfait",4,IF(N386="tres_satisfait",5,""))))))</f>
        <v/>
      </c>
      <c r="P386" s="12">
        <f>IF(Raw_Data!AL389&lt;&gt;"",Raw_Data!AL389,Raw_Data!R389)</f>
        <v>0</v>
      </c>
      <c r="Q386" s="12">
        <f t="shared" ref="Q386:Q449" si="56">IF(P386="","",IF(P386="oui",1,0))</f>
        <v>0</v>
      </c>
      <c r="R386" s="12" t="str">
        <f>IF(Raw_Data!AM389="","",Raw_Data!AM389)</f>
        <v/>
      </c>
      <c r="S386" s="12" t="str">
        <f t="shared" ref="S386:S449" si="57">IF(R386="","",IF(R386="oui",1,0))</f>
        <v/>
      </c>
      <c r="T386" s="12" t="str">
        <f>IF(Raw_Data!AN389="","",Raw_Data!AN389)</f>
        <v/>
      </c>
      <c r="U386" s="12" t="str">
        <f t="shared" ref="U386:U449" si="58">IF(T386="","",IF(T386="oui",1,0))</f>
        <v/>
      </c>
      <c r="V386" s="12" t="str">
        <f>IF(Raw_Data!AP389="","",IF(Raw_Data!AP389="oui",1,0))</f>
        <v/>
      </c>
      <c r="W386" s="12" t="str">
        <f>IF(Raw_Data!AQ389="","",IF(Raw_Data!AQ389="oui",1,0))</f>
        <v/>
      </c>
      <c r="X386" s="12" t="str">
        <f>IF(Raw_Data!AR389="","",IF(Raw_Data!AR389="oui",1,0))</f>
        <v/>
      </c>
      <c r="Y386" s="12" t="str">
        <f>IF(Raw_Data!AS389="","",IF(Raw_Data!AS389="oui",1,0))</f>
        <v/>
      </c>
      <c r="Z386" s="12" t="str">
        <f>IF(Raw_Data!V389="","",IF(Raw_Data!V389="oui",1,0))</f>
        <v/>
      </c>
      <c r="AA386" s="12" t="str">
        <f>IF(Raw_Data!W389="","",IF(Raw_Data!W389="oui",1,0))</f>
        <v/>
      </c>
      <c r="AB386" s="12" t="str">
        <f>IF(Raw_Data!Q389="","",IF(Raw_Data!Q389="oui",1,0))</f>
        <v/>
      </c>
      <c r="AC386" s="12">
        <f>Raw_Data!AF389</f>
        <v>0</v>
      </c>
      <c r="AD386" s="12" t="str">
        <f t="shared" ref="AD386:AD449" si="59">IF(A386="","",F386&amp;"|"&amp;E386&amp;"|"&amp;TEXT(B386,"YYYY-MM-DD"))</f>
        <v/>
      </c>
      <c r="AE386" s="12" t="str">
        <f t="shared" ref="AE386:AE449" si="60">IF(AD386="","",IF(COUNTIF($AD$2:$AD$1000,AD386)&gt;1,1,0))</f>
        <v/>
      </c>
      <c r="AF386" s="12" t="str">
        <f t="shared" ref="AF386:AF449" si="61">IF(A386="","",IF(OR(C386="",D386="",G386="",H386="",N386=""),1,0))</f>
        <v/>
      </c>
      <c r="AG386" s="12">
        <f t="shared" ref="AG386:AG449" si="62">IF(A386="",0,1)</f>
        <v>0</v>
      </c>
    </row>
    <row r="387" spans="1:33" ht="15" customHeight="1" x14ac:dyDescent="0.25">
      <c r="A387" s="12" t="str">
        <f>IF(Raw_Data!B390="","",Raw_Data!B390)</f>
        <v/>
      </c>
      <c r="B387" s="12">
        <f>IF(Raw_Data!X390&lt;&gt;"",Raw_Data!X390,Raw_Data!C390)</f>
        <v>0</v>
      </c>
      <c r="C387" s="12" t="str">
        <f>IF(Raw_Data!G390="","",Raw_Data!G390)</f>
        <v/>
      </c>
      <c r="D387" s="12" t="str">
        <f>IF(Raw_Data!H390="","",Raw_Data!H390)</f>
        <v/>
      </c>
      <c r="E387" s="12" t="str">
        <f>IF(Raw_Data!I390="","",Raw_Data!I390)</f>
        <v/>
      </c>
      <c r="F387" s="12" t="str">
        <f>IF(Raw_Data!J390="","",Raw_Data!J390)</f>
        <v/>
      </c>
      <c r="G387" s="12" t="str">
        <f>IF(Raw_Data!AH390&lt;&gt;"",Raw_Data!AH390,IF(Raw_Data!K390&lt;&gt;"",Raw_Data!K390,""))</f>
        <v/>
      </c>
      <c r="H387" s="12" t="str">
        <f>IF(Raw_Data!AI390&lt;&gt;"",Raw_Data!AI390,IF(Raw_Data!L390&lt;&gt;"",Raw_Data!L390,""))</f>
        <v/>
      </c>
      <c r="I387" s="12" t="str">
        <f t="shared" si="54"/>
        <v/>
      </c>
      <c r="J387" s="12" t="str">
        <f>IF(Raw_Data!M390="","",Raw_Data!M390)</f>
        <v/>
      </c>
      <c r="K387" s="12">
        <f>IF(Raw_Data!AJ390&lt;&gt;"",Raw_Data!AJ390,Raw_Data!N390)</f>
        <v>0</v>
      </c>
      <c r="L387" s="12">
        <f t="shared" si="55"/>
        <v>1</v>
      </c>
      <c r="M387" s="12" t="str">
        <f>IF(Raw_Data!AK390="","",Raw_Data!AK390)</f>
        <v/>
      </c>
      <c r="N387" s="12" t="str">
        <f>IF(Raw_Data!T390="","",Raw_Data!T390)</f>
        <v/>
      </c>
      <c r="O387" s="12" t="str">
        <f>IF(Raw_Data!AB390&lt;&gt;"",Raw_Data!AB390,IF(N387="tres_insatisfait",1,IF(N387="insatisfait",2,IF(N387="neutre",3,IF(N387="satisfait",4,IF(N387="tres_satisfait",5,""))))))</f>
        <v/>
      </c>
      <c r="P387" s="12">
        <f>IF(Raw_Data!AL390&lt;&gt;"",Raw_Data!AL390,Raw_Data!R390)</f>
        <v>0</v>
      </c>
      <c r="Q387" s="12">
        <f t="shared" si="56"/>
        <v>0</v>
      </c>
      <c r="R387" s="12" t="str">
        <f>IF(Raw_Data!AM390="","",Raw_Data!AM390)</f>
        <v/>
      </c>
      <c r="S387" s="12" t="str">
        <f t="shared" si="57"/>
        <v/>
      </c>
      <c r="T387" s="12" t="str">
        <f>IF(Raw_Data!AN390="","",Raw_Data!AN390)</f>
        <v/>
      </c>
      <c r="U387" s="12" t="str">
        <f t="shared" si="58"/>
        <v/>
      </c>
      <c r="V387" s="12" t="str">
        <f>IF(Raw_Data!AP390="","",IF(Raw_Data!AP390="oui",1,0))</f>
        <v/>
      </c>
      <c r="W387" s="12" t="str">
        <f>IF(Raw_Data!AQ390="","",IF(Raw_Data!AQ390="oui",1,0))</f>
        <v/>
      </c>
      <c r="X387" s="12" t="str">
        <f>IF(Raw_Data!AR390="","",IF(Raw_Data!AR390="oui",1,0))</f>
        <v/>
      </c>
      <c r="Y387" s="12" t="str">
        <f>IF(Raw_Data!AS390="","",IF(Raw_Data!AS390="oui",1,0))</f>
        <v/>
      </c>
      <c r="Z387" s="12" t="str">
        <f>IF(Raw_Data!V390="","",IF(Raw_Data!V390="oui",1,0))</f>
        <v/>
      </c>
      <c r="AA387" s="12" t="str">
        <f>IF(Raw_Data!W390="","",IF(Raw_Data!W390="oui",1,0))</f>
        <v/>
      </c>
      <c r="AB387" s="12" t="str">
        <f>IF(Raw_Data!Q390="","",IF(Raw_Data!Q390="oui",1,0))</f>
        <v/>
      </c>
      <c r="AC387" s="12">
        <f>Raw_Data!AF390</f>
        <v>0</v>
      </c>
      <c r="AD387" s="12" t="str">
        <f t="shared" si="59"/>
        <v/>
      </c>
      <c r="AE387" s="12" t="str">
        <f t="shared" si="60"/>
        <v/>
      </c>
      <c r="AF387" s="12" t="str">
        <f t="shared" si="61"/>
        <v/>
      </c>
      <c r="AG387" s="12">
        <f t="shared" si="62"/>
        <v>0</v>
      </c>
    </row>
    <row r="388" spans="1:33" ht="15" customHeight="1" x14ac:dyDescent="0.25">
      <c r="A388" s="12" t="str">
        <f>IF(Raw_Data!B391="","",Raw_Data!B391)</f>
        <v/>
      </c>
      <c r="B388" s="12">
        <f>IF(Raw_Data!X391&lt;&gt;"",Raw_Data!X391,Raw_Data!C391)</f>
        <v>0</v>
      </c>
      <c r="C388" s="12" t="str">
        <f>IF(Raw_Data!G391="","",Raw_Data!G391)</f>
        <v/>
      </c>
      <c r="D388" s="12" t="str">
        <f>IF(Raw_Data!H391="","",Raw_Data!H391)</f>
        <v/>
      </c>
      <c r="E388" s="12" t="str">
        <f>IF(Raw_Data!I391="","",Raw_Data!I391)</f>
        <v/>
      </c>
      <c r="F388" s="12" t="str">
        <f>IF(Raw_Data!J391="","",Raw_Data!J391)</f>
        <v/>
      </c>
      <c r="G388" s="12" t="str">
        <f>IF(Raw_Data!AH391&lt;&gt;"",Raw_Data!AH391,IF(Raw_Data!K391&lt;&gt;"",Raw_Data!K391,""))</f>
        <v/>
      </c>
      <c r="H388" s="12" t="str">
        <f>IF(Raw_Data!AI391&lt;&gt;"",Raw_Data!AI391,IF(Raw_Data!L391&lt;&gt;"",Raw_Data!L391,""))</f>
        <v/>
      </c>
      <c r="I388" s="12" t="str">
        <f t="shared" si="54"/>
        <v/>
      </c>
      <c r="J388" s="12" t="str">
        <f>IF(Raw_Data!M391="","",Raw_Data!M391)</f>
        <v/>
      </c>
      <c r="K388" s="12">
        <f>IF(Raw_Data!AJ391&lt;&gt;"",Raw_Data!AJ391,Raw_Data!N391)</f>
        <v>0</v>
      </c>
      <c r="L388" s="12">
        <f t="shared" si="55"/>
        <v>1</v>
      </c>
      <c r="M388" s="12" t="str">
        <f>IF(Raw_Data!AK391="","",Raw_Data!AK391)</f>
        <v/>
      </c>
      <c r="N388" s="12" t="str">
        <f>IF(Raw_Data!T391="","",Raw_Data!T391)</f>
        <v/>
      </c>
      <c r="O388" s="12" t="str">
        <f>IF(Raw_Data!AB391&lt;&gt;"",Raw_Data!AB391,IF(N388="tres_insatisfait",1,IF(N388="insatisfait",2,IF(N388="neutre",3,IF(N388="satisfait",4,IF(N388="tres_satisfait",5,""))))))</f>
        <v/>
      </c>
      <c r="P388" s="12">
        <f>IF(Raw_Data!AL391&lt;&gt;"",Raw_Data!AL391,Raw_Data!R391)</f>
        <v>0</v>
      </c>
      <c r="Q388" s="12">
        <f t="shared" si="56"/>
        <v>0</v>
      </c>
      <c r="R388" s="12" t="str">
        <f>IF(Raw_Data!AM391="","",Raw_Data!AM391)</f>
        <v/>
      </c>
      <c r="S388" s="12" t="str">
        <f t="shared" si="57"/>
        <v/>
      </c>
      <c r="T388" s="12" t="str">
        <f>IF(Raw_Data!AN391="","",Raw_Data!AN391)</f>
        <v/>
      </c>
      <c r="U388" s="12" t="str">
        <f t="shared" si="58"/>
        <v/>
      </c>
      <c r="V388" s="12" t="str">
        <f>IF(Raw_Data!AP391="","",IF(Raw_Data!AP391="oui",1,0))</f>
        <v/>
      </c>
      <c r="W388" s="12" t="str">
        <f>IF(Raw_Data!AQ391="","",IF(Raw_Data!AQ391="oui",1,0))</f>
        <v/>
      </c>
      <c r="X388" s="12" t="str">
        <f>IF(Raw_Data!AR391="","",IF(Raw_Data!AR391="oui",1,0))</f>
        <v/>
      </c>
      <c r="Y388" s="12" t="str">
        <f>IF(Raw_Data!AS391="","",IF(Raw_Data!AS391="oui",1,0))</f>
        <v/>
      </c>
      <c r="Z388" s="12" t="str">
        <f>IF(Raw_Data!V391="","",IF(Raw_Data!V391="oui",1,0))</f>
        <v/>
      </c>
      <c r="AA388" s="12" t="str">
        <f>IF(Raw_Data!W391="","",IF(Raw_Data!W391="oui",1,0))</f>
        <v/>
      </c>
      <c r="AB388" s="12" t="str">
        <f>IF(Raw_Data!Q391="","",IF(Raw_Data!Q391="oui",1,0))</f>
        <v/>
      </c>
      <c r="AC388" s="12">
        <f>Raw_Data!AF391</f>
        <v>0</v>
      </c>
      <c r="AD388" s="12" t="str">
        <f t="shared" si="59"/>
        <v/>
      </c>
      <c r="AE388" s="12" t="str">
        <f t="shared" si="60"/>
        <v/>
      </c>
      <c r="AF388" s="12" t="str">
        <f t="shared" si="61"/>
        <v/>
      </c>
      <c r="AG388" s="12">
        <f t="shared" si="62"/>
        <v>0</v>
      </c>
    </row>
    <row r="389" spans="1:33" ht="15" customHeight="1" x14ac:dyDescent="0.25">
      <c r="A389" s="12" t="str">
        <f>IF(Raw_Data!B392="","",Raw_Data!B392)</f>
        <v/>
      </c>
      <c r="B389" s="12">
        <f>IF(Raw_Data!X392&lt;&gt;"",Raw_Data!X392,Raw_Data!C392)</f>
        <v>0</v>
      </c>
      <c r="C389" s="12" t="str">
        <f>IF(Raw_Data!G392="","",Raw_Data!G392)</f>
        <v/>
      </c>
      <c r="D389" s="12" t="str">
        <f>IF(Raw_Data!H392="","",Raw_Data!H392)</f>
        <v/>
      </c>
      <c r="E389" s="12" t="str">
        <f>IF(Raw_Data!I392="","",Raw_Data!I392)</f>
        <v/>
      </c>
      <c r="F389" s="12" t="str">
        <f>IF(Raw_Data!J392="","",Raw_Data!J392)</f>
        <v/>
      </c>
      <c r="G389" s="12" t="str">
        <f>IF(Raw_Data!AH392&lt;&gt;"",Raw_Data!AH392,IF(Raw_Data!K392&lt;&gt;"",Raw_Data!K392,""))</f>
        <v/>
      </c>
      <c r="H389" s="12" t="str">
        <f>IF(Raw_Data!AI392&lt;&gt;"",Raw_Data!AI392,IF(Raw_Data!L392&lt;&gt;"",Raw_Data!L392,""))</f>
        <v/>
      </c>
      <c r="I389" s="12" t="str">
        <f t="shared" si="54"/>
        <v/>
      </c>
      <c r="J389" s="12" t="str">
        <f>IF(Raw_Data!M392="","",Raw_Data!M392)</f>
        <v/>
      </c>
      <c r="K389" s="12">
        <f>IF(Raw_Data!AJ392&lt;&gt;"",Raw_Data!AJ392,Raw_Data!N392)</f>
        <v>0</v>
      </c>
      <c r="L389" s="12">
        <f t="shared" si="55"/>
        <v>1</v>
      </c>
      <c r="M389" s="12" t="str">
        <f>IF(Raw_Data!AK392="","",Raw_Data!AK392)</f>
        <v/>
      </c>
      <c r="N389" s="12" t="str">
        <f>IF(Raw_Data!T392="","",Raw_Data!T392)</f>
        <v/>
      </c>
      <c r="O389" s="12" t="str">
        <f>IF(Raw_Data!AB392&lt;&gt;"",Raw_Data!AB392,IF(N389="tres_insatisfait",1,IF(N389="insatisfait",2,IF(N389="neutre",3,IF(N389="satisfait",4,IF(N389="tres_satisfait",5,""))))))</f>
        <v/>
      </c>
      <c r="P389" s="12">
        <f>IF(Raw_Data!AL392&lt;&gt;"",Raw_Data!AL392,Raw_Data!R392)</f>
        <v>0</v>
      </c>
      <c r="Q389" s="12">
        <f t="shared" si="56"/>
        <v>0</v>
      </c>
      <c r="R389" s="12" t="str">
        <f>IF(Raw_Data!AM392="","",Raw_Data!AM392)</f>
        <v/>
      </c>
      <c r="S389" s="12" t="str">
        <f t="shared" si="57"/>
        <v/>
      </c>
      <c r="T389" s="12" t="str">
        <f>IF(Raw_Data!AN392="","",Raw_Data!AN392)</f>
        <v/>
      </c>
      <c r="U389" s="12" t="str">
        <f t="shared" si="58"/>
        <v/>
      </c>
      <c r="V389" s="12" t="str">
        <f>IF(Raw_Data!AP392="","",IF(Raw_Data!AP392="oui",1,0))</f>
        <v/>
      </c>
      <c r="W389" s="12" t="str">
        <f>IF(Raw_Data!AQ392="","",IF(Raw_Data!AQ392="oui",1,0))</f>
        <v/>
      </c>
      <c r="X389" s="12" t="str">
        <f>IF(Raw_Data!AR392="","",IF(Raw_Data!AR392="oui",1,0))</f>
        <v/>
      </c>
      <c r="Y389" s="12" t="str">
        <f>IF(Raw_Data!AS392="","",IF(Raw_Data!AS392="oui",1,0))</f>
        <v/>
      </c>
      <c r="Z389" s="12" t="str">
        <f>IF(Raw_Data!V392="","",IF(Raw_Data!V392="oui",1,0))</f>
        <v/>
      </c>
      <c r="AA389" s="12" t="str">
        <f>IF(Raw_Data!W392="","",IF(Raw_Data!W392="oui",1,0))</f>
        <v/>
      </c>
      <c r="AB389" s="12" t="str">
        <f>IF(Raw_Data!Q392="","",IF(Raw_Data!Q392="oui",1,0))</f>
        <v/>
      </c>
      <c r="AC389" s="12">
        <f>Raw_Data!AF392</f>
        <v>0</v>
      </c>
      <c r="AD389" s="12" t="str">
        <f t="shared" si="59"/>
        <v/>
      </c>
      <c r="AE389" s="12" t="str">
        <f t="shared" si="60"/>
        <v/>
      </c>
      <c r="AF389" s="12" t="str">
        <f t="shared" si="61"/>
        <v/>
      </c>
      <c r="AG389" s="12">
        <f t="shared" si="62"/>
        <v>0</v>
      </c>
    </row>
    <row r="390" spans="1:33" ht="15" customHeight="1" x14ac:dyDescent="0.25">
      <c r="A390" s="12" t="str">
        <f>IF(Raw_Data!B393="","",Raw_Data!B393)</f>
        <v/>
      </c>
      <c r="B390" s="12">
        <f>IF(Raw_Data!X393&lt;&gt;"",Raw_Data!X393,Raw_Data!C393)</f>
        <v>0</v>
      </c>
      <c r="C390" s="12" t="str">
        <f>IF(Raw_Data!G393="","",Raw_Data!G393)</f>
        <v/>
      </c>
      <c r="D390" s="12" t="str">
        <f>IF(Raw_Data!H393="","",Raw_Data!H393)</f>
        <v/>
      </c>
      <c r="E390" s="12" t="str">
        <f>IF(Raw_Data!I393="","",Raw_Data!I393)</f>
        <v/>
      </c>
      <c r="F390" s="12" t="str">
        <f>IF(Raw_Data!J393="","",Raw_Data!J393)</f>
        <v/>
      </c>
      <c r="G390" s="12" t="str">
        <f>IF(Raw_Data!AH393&lt;&gt;"",Raw_Data!AH393,IF(Raw_Data!K393&lt;&gt;"",Raw_Data!K393,""))</f>
        <v/>
      </c>
      <c r="H390" s="12" t="str">
        <f>IF(Raw_Data!AI393&lt;&gt;"",Raw_Data!AI393,IF(Raw_Data!L393&lt;&gt;"",Raw_Data!L393,""))</f>
        <v/>
      </c>
      <c r="I390" s="12" t="str">
        <f t="shared" si="54"/>
        <v/>
      </c>
      <c r="J390" s="12" t="str">
        <f>IF(Raw_Data!M393="","",Raw_Data!M393)</f>
        <v/>
      </c>
      <c r="K390" s="12">
        <f>IF(Raw_Data!AJ393&lt;&gt;"",Raw_Data!AJ393,Raw_Data!N393)</f>
        <v>0</v>
      </c>
      <c r="L390" s="12">
        <f t="shared" si="55"/>
        <v>1</v>
      </c>
      <c r="M390" s="12" t="str">
        <f>IF(Raw_Data!AK393="","",Raw_Data!AK393)</f>
        <v/>
      </c>
      <c r="N390" s="12" t="str">
        <f>IF(Raw_Data!T393="","",Raw_Data!T393)</f>
        <v/>
      </c>
      <c r="O390" s="12" t="str">
        <f>IF(Raw_Data!AB393&lt;&gt;"",Raw_Data!AB393,IF(N390="tres_insatisfait",1,IF(N390="insatisfait",2,IF(N390="neutre",3,IF(N390="satisfait",4,IF(N390="tres_satisfait",5,""))))))</f>
        <v/>
      </c>
      <c r="P390" s="12">
        <f>IF(Raw_Data!AL393&lt;&gt;"",Raw_Data!AL393,Raw_Data!R393)</f>
        <v>0</v>
      </c>
      <c r="Q390" s="12">
        <f t="shared" si="56"/>
        <v>0</v>
      </c>
      <c r="R390" s="12" t="str">
        <f>IF(Raw_Data!AM393="","",Raw_Data!AM393)</f>
        <v/>
      </c>
      <c r="S390" s="12" t="str">
        <f t="shared" si="57"/>
        <v/>
      </c>
      <c r="T390" s="12" t="str">
        <f>IF(Raw_Data!AN393="","",Raw_Data!AN393)</f>
        <v/>
      </c>
      <c r="U390" s="12" t="str">
        <f t="shared" si="58"/>
        <v/>
      </c>
      <c r="V390" s="12" t="str">
        <f>IF(Raw_Data!AP393="","",IF(Raw_Data!AP393="oui",1,0))</f>
        <v/>
      </c>
      <c r="W390" s="12" t="str">
        <f>IF(Raw_Data!AQ393="","",IF(Raw_Data!AQ393="oui",1,0))</f>
        <v/>
      </c>
      <c r="X390" s="12" t="str">
        <f>IF(Raw_Data!AR393="","",IF(Raw_Data!AR393="oui",1,0))</f>
        <v/>
      </c>
      <c r="Y390" s="12" t="str">
        <f>IF(Raw_Data!AS393="","",IF(Raw_Data!AS393="oui",1,0))</f>
        <v/>
      </c>
      <c r="Z390" s="12" t="str">
        <f>IF(Raw_Data!V393="","",IF(Raw_Data!V393="oui",1,0))</f>
        <v/>
      </c>
      <c r="AA390" s="12" t="str">
        <f>IF(Raw_Data!W393="","",IF(Raw_Data!W393="oui",1,0))</f>
        <v/>
      </c>
      <c r="AB390" s="12" t="str">
        <f>IF(Raw_Data!Q393="","",IF(Raw_Data!Q393="oui",1,0))</f>
        <v/>
      </c>
      <c r="AC390" s="12">
        <f>Raw_Data!AF393</f>
        <v>0</v>
      </c>
      <c r="AD390" s="12" t="str">
        <f t="shared" si="59"/>
        <v/>
      </c>
      <c r="AE390" s="12" t="str">
        <f t="shared" si="60"/>
        <v/>
      </c>
      <c r="AF390" s="12" t="str">
        <f t="shared" si="61"/>
        <v/>
      </c>
      <c r="AG390" s="12">
        <f t="shared" si="62"/>
        <v>0</v>
      </c>
    </row>
    <row r="391" spans="1:33" ht="15" customHeight="1" x14ac:dyDescent="0.25">
      <c r="A391" s="12" t="str">
        <f>IF(Raw_Data!B394="","",Raw_Data!B394)</f>
        <v/>
      </c>
      <c r="B391" s="12">
        <f>IF(Raw_Data!X394&lt;&gt;"",Raw_Data!X394,Raw_Data!C394)</f>
        <v>0</v>
      </c>
      <c r="C391" s="12" t="str">
        <f>IF(Raw_Data!G394="","",Raw_Data!G394)</f>
        <v/>
      </c>
      <c r="D391" s="12" t="str">
        <f>IF(Raw_Data!H394="","",Raw_Data!H394)</f>
        <v/>
      </c>
      <c r="E391" s="12" t="str">
        <f>IF(Raw_Data!I394="","",Raw_Data!I394)</f>
        <v/>
      </c>
      <c r="F391" s="12" t="str">
        <f>IF(Raw_Data!J394="","",Raw_Data!J394)</f>
        <v/>
      </c>
      <c r="G391" s="12" t="str">
        <f>IF(Raw_Data!AH394&lt;&gt;"",Raw_Data!AH394,IF(Raw_Data!K394&lt;&gt;"",Raw_Data!K394,""))</f>
        <v/>
      </c>
      <c r="H391" s="12" t="str">
        <f>IF(Raw_Data!AI394&lt;&gt;"",Raw_Data!AI394,IF(Raw_Data!L394&lt;&gt;"",Raw_Data!L394,""))</f>
        <v/>
      </c>
      <c r="I391" s="12" t="str">
        <f t="shared" si="54"/>
        <v/>
      </c>
      <c r="J391" s="12" t="str">
        <f>IF(Raw_Data!M394="","",Raw_Data!M394)</f>
        <v/>
      </c>
      <c r="K391" s="12">
        <f>IF(Raw_Data!AJ394&lt;&gt;"",Raw_Data!AJ394,Raw_Data!N394)</f>
        <v>0</v>
      </c>
      <c r="L391" s="12">
        <f t="shared" si="55"/>
        <v>1</v>
      </c>
      <c r="M391" s="12" t="str">
        <f>IF(Raw_Data!AK394="","",Raw_Data!AK394)</f>
        <v/>
      </c>
      <c r="N391" s="12" t="str">
        <f>IF(Raw_Data!T394="","",Raw_Data!T394)</f>
        <v/>
      </c>
      <c r="O391" s="12" t="str">
        <f>IF(Raw_Data!AB394&lt;&gt;"",Raw_Data!AB394,IF(N391="tres_insatisfait",1,IF(N391="insatisfait",2,IF(N391="neutre",3,IF(N391="satisfait",4,IF(N391="tres_satisfait",5,""))))))</f>
        <v/>
      </c>
      <c r="P391" s="12">
        <f>IF(Raw_Data!AL394&lt;&gt;"",Raw_Data!AL394,Raw_Data!R394)</f>
        <v>0</v>
      </c>
      <c r="Q391" s="12">
        <f t="shared" si="56"/>
        <v>0</v>
      </c>
      <c r="R391" s="12" t="str">
        <f>IF(Raw_Data!AM394="","",Raw_Data!AM394)</f>
        <v/>
      </c>
      <c r="S391" s="12" t="str">
        <f t="shared" si="57"/>
        <v/>
      </c>
      <c r="T391" s="12" t="str">
        <f>IF(Raw_Data!AN394="","",Raw_Data!AN394)</f>
        <v/>
      </c>
      <c r="U391" s="12" t="str">
        <f t="shared" si="58"/>
        <v/>
      </c>
      <c r="V391" s="12" t="str">
        <f>IF(Raw_Data!AP394="","",IF(Raw_Data!AP394="oui",1,0))</f>
        <v/>
      </c>
      <c r="W391" s="12" t="str">
        <f>IF(Raw_Data!AQ394="","",IF(Raw_Data!AQ394="oui",1,0))</f>
        <v/>
      </c>
      <c r="X391" s="12" t="str">
        <f>IF(Raw_Data!AR394="","",IF(Raw_Data!AR394="oui",1,0))</f>
        <v/>
      </c>
      <c r="Y391" s="12" t="str">
        <f>IF(Raw_Data!AS394="","",IF(Raw_Data!AS394="oui",1,0))</f>
        <v/>
      </c>
      <c r="Z391" s="12" t="str">
        <f>IF(Raw_Data!V394="","",IF(Raw_Data!V394="oui",1,0))</f>
        <v/>
      </c>
      <c r="AA391" s="12" t="str">
        <f>IF(Raw_Data!W394="","",IF(Raw_Data!W394="oui",1,0))</f>
        <v/>
      </c>
      <c r="AB391" s="12" t="str">
        <f>IF(Raw_Data!Q394="","",IF(Raw_Data!Q394="oui",1,0))</f>
        <v/>
      </c>
      <c r="AC391" s="12">
        <f>Raw_Data!AF394</f>
        <v>0</v>
      </c>
      <c r="AD391" s="12" t="str">
        <f t="shared" si="59"/>
        <v/>
      </c>
      <c r="AE391" s="12" t="str">
        <f t="shared" si="60"/>
        <v/>
      </c>
      <c r="AF391" s="12" t="str">
        <f t="shared" si="61"/>
        <v/>
      </c>
      <c r="AG391" s="12">
        <f t="shared" si="62"/>
        <v>0</v>
      </c>
    </row>
    <row r="392" spans="1:33" ht="15" customHeight="1" x14ac:dyDescent="0.25">
      <c r="A392" s="12" t="str">
        <f>IF(Raw_Data!B395="","",Raw_Data!B395)</f>
        <v/>
      </c>
      <c r="B392" s="12">
        <f>IF(Raw_Data!X395&lt;&gt;"",Raw_Data!X395,Raw_Data!C395)</f>
        <v>0</v>
      </c>
      <c r="C392" s="12" t="str">
        <f>IF(Raw_Data!G395="","",Raw_Data!G395)</f>
        <v/>
      </c>
      <c r="D392" s="12" t="str">
        <f>IF(Raw_Data!H395="","",Raw_Data!H395)</f>
        <v/>
      </c>
      <c r="E392" s="12" t="str">
        <f>IF(Raw_Data!I395="","",Raw_Data!I395)</f>
        <v/>
      </c>
      <c r="F392" s="12" t="str">
        <f>IF(Raw_Data!J395="","",Raw_Data!J395)</f>
        <v/>
      </c>
      <c r="G392" s="12" t="str">
        <f>IF(Raw_Data!AH395&lt;&gt;"",Raw_Data!AH395,IF(Raw_Data!K395&lt;&gt;"",Raw_Data!K395,""))</f>
        <v/>
      </c>
      <c r="H392" s="12" t="str">
        <f>IF(Raw_Data!AI395&lt;&gt;"",Raw_Data!AI395,IF(Raw_Data!L395&lt;&gt;"",Raw_Data!L395,""))</f>
        <v/>
      </c>
      <c r="I392" s="12" t="str">
        <f t="shared" si="54"/>
        <v/>
      </c>
      <c r="J392" s="12" t="str">
        <f>IF(Raw_Data!M395="","",Raw_Data!M395)</f>
        <v/>
      </c>
      <c r="K392" s="12">
        <f>IF(Raw_Data!AJ395&lt;&gt;"",Raw_Data!AJ395,Raw_Data!N395)</f>
        <v>0</v>
      </c>
      <c r="L392" s="12">
        <f t="shared" si="55"/>
        <v>1</v>
      </c>
      <c r="M392" s="12" t="str">
        <f>IF(Raw_Data!AK395="","",Raw_Data!AK395)</f>
        <v/>
      </c>
      <c r="N392" s="12" t="str">
        <f>IF(Raw_Data!T395="","",Raw_Data!T395)</f>
        <v/>
      </c>
      <c r="O392" s="12" t="str">
        <f>IF(Raw_Data!AB395&lt;&gt;"",Raw_Data!AB395,IF(N392="tres_insatisfait",1,IF(N392="insatisfait",2,IF(N392="neutre",3,IF(N392="satisfait",4,IF(N392="tres_satisfait",5,""))))))</f>
        <v/>
      </c>
      <c r="P392" s="12">
        <f>IF(Raw_Data!AL395&lt;&gt;"",Raw_Data!AL395,Raw_Data!R395)</f>
        <v>0</v>
      </c>
      <c r="Q392" s="12">
        <f t="shared" si="56"/>
        <v>0</v>
      </c>
      <c r="R392" s="12" t="str">
        <f>IF(Raw_Data!AM395="","",Raw_Data!AM395)</f>
        <v/>
      </c>
      <c r="S392" s="12" t="str">
        <f t="shared" si="57"/>
        <v/>
      </c>
      <c r="T392" s="12" t="str">
        <f>IF(Raw_Data!AN395="","",Raw_Data!AN395)</f>
        <v/>
      </c>
      <c r="U392" s="12" t="str">
        <f t="shared" si="58"/>
        <v/>
      </c>
      <c r="V392" s="12" t="str">
        <f>IF(Raw_Data!AP395="","",IF(Raw_Data!AP395="oui",1,0))</f>
        <v/>
      </c>
      <c r="W392" s="12" t="str">
        <f>IF(Raw_Data!AQ395="","",IF(Raw_Data!AQ395="oui",1,0))</f>
        <v/>
      </c>
      <c r="X392" s="12" t="str">
        <f>IF(Raw_Data!AR395="","",IF(Raw_Data!AR395="oui",1,0))</f>
        <v/>
      </c>
      <c r="Y392" s="12" t="str">
        <f>IF(Raw_Data!AS395="","",IF(Raw_Data!AS395="oui",1,0))</f>
        <v/>
      </c>
      <c r="Z392" s="12" t="str">
        <f>IF(Raw_Data!V395="","",IF(Raw_Data!V395="oui",1,0))</f>
        <v/>
      </c>
      <c r="AA392" s="12" t="str">
        <f>IF(Raw_Data!W395="","",IF(Raw_Data!W395="oui",1,0))</f>
        <v/>
      </c>
      <c r="AB392" s="12" t="str">
        <f>IF(Raw_Data!Q395="","",IF(Raw_Data!Q395="oui",1,0))</f>
        <v/>
      </c>
      <c r="AC392" s="12">
        <f>Raw_Data!AF395</f>
        <v>0</v>
      </c>
      <c r="AD392" s="12" t="str">
        <f t="shared" si="59"/>
        <v/>
      </c>
      <c r="AE392" s="12" t="str">
        <f t="shared" si="60"/>
        <v/>
      </c>
      <c r="AF392" s="12" t="str">
        <f t="shared" si="61"/>
        <v/>
      </c>
      <c r="AG392" s="12">
        <f t="shared" si="62"/>
        <v>0</v>
      </c>
    </row>
    <row r="393" spans="1:33" ht="15" customHeight="1" x14ac:dyDescent="0.25">
      <c r="A393" s="12" t="str">
        <f>IF(Raw_Data!B396="","",Raw_Data!B396)</f>
        <v/>
      </c>
      <c r="B393" s="12">
        <f>IF(Raw_Data!X396&lt;&gt;"",Raw_Data!X396,Raw_Data!C396)</f>
        <v>0</v>
      </c>
      <c r="C393" s="12" t="str">
        <f>IF(Raw_Data!G396="","",Raw_Data!G396)</f>
        <v/>
      </c>
      <c r="D393" s="12" t="str">
        <f>IF(Raw_Data!H396="","",Raw_Data!H396)</f>
        <v/>
      </c>
      <c r="E393" s="12" t="str">
        <f>IF(Raw_Data!I396="","",Raw_Data!I396)</f>
        <v/>
      </c>
      <c r="F393" s="12" t="str">
        <f>IF(Raw_Data!J396="","",Raw_Data!J396)</f>
        <v/>
      </c>
      <c r="G393" s="12" t="str">
        <f>IF(Raw_Data!AH396&lt;&gt;"",Raw_Data!AH396,IF(Raw_Data!K396&lt;&gt;"",Raw_Data!K396,""))</f>
        <v/>
      </c>
      <c r="H393" s="12" t="str">
        <f>IF(Raw_Data!AI396&lt;&gt;"",Raw_Data!AI396,IF(Raw_Data!L396&lt;&gt;"",Raw_Data!L396,""))</f>
        <v/>
      </c>
      <c r="I393" s="12" t="str">
        <f t="shared" si="54"/>
        <v/>
      </c>
      <c r="J393" s="12" t="str">
        <f>IF(Raw_Data!M396="","",Raw_Data!M396)</f>
        <v/>
      </c>
      <c r="K393" s="12">
        <f>IF(Raw_Data!AJ396&lt;&gt;"",Raw_Data!AJ396,Raw_Data!N396)</f>
        <v>0</v>
      </c>
      <c r="L393" s="12">
        <f t="shared" si="55"/>
        <v>1</v>
      </c>
      <c r="M393" s="12" t="str">
        <f>IF(Raw_Data!AK396="","",Raw_Data!AK396)</f>
        <v/>
      </c>
      <c r="N393" s="12" t="str">
        <f>IF(Raw_Data!T396="","",Raw_Data!T396)</f>
        <v/>
      </c>
      <c r="O393" s="12" t="str">
        <f>IF(Raw_Data!AB396&lt;&gt;"",Raw_Data!AB396,IF(N393="tres_insatisfait",1,IF(N393="insatisfait",2,IF(N393="neutre",3,IF(N393="satisfait",4,IF(N393="tres_satisfait",5,""))))))</f>
        <v/>
      </c>
      <c r="P393" s="12">
        <f>IF(Raw_Data!AL396&lt;&gt;"",Raw_Data!AL396,Raw_Data!R396)</f>
        <v>0</v>
      </c>
      <c r="Q393" s="12">
        <f t="shared" si="56"/>
        <v>0</v>
      </c>
      <c r="R393" s="12" t="str">
        <f>IF(Raw_Data!AM396="","",Raw_Data!AM396)</f>
        <v/>
      </c>
      <c r="S393" s="12" t="str">
        <f t="shared" si="57"/>
        <v/>
      </c>
      <c r="T393" s="12" t="str">
        <f>IF(Raw_Data!AN396="","",Raw_Data!AN396)</f>
        <v/>
      </c>
      <c r="U393" s="12" t="str">
        <f t="shared" si="58"/>
        <v/>
      </c>
      <c r="V393" s="12" t="str">
        <f>IF(Raw_Data!AP396="","",IF(Raw_Data!AP396="oui",1,0))</f>
        <v/>
      </c>
      <c r="W393" s="12" t="str">
        <f>IF(Raw_Data!AQ396="","",IF(Raw_Data!AQ396="oui",1,0))</f>
        <v/>
      </c>
      <c r="X393" s="12" t="str">
        <f>IF(Raw_Data!AR396="","",IF(Raw_Data!AR396="oui",1,0))</f>
        <v/>
      </c>
      <c r="Y393" s="12" t="str">
        <f>IF(Raw_Data!AS396="","",IF(Raw_Data!AS396="oui",1,0))</f>
        <v/>
      </c>
      <c r="Z393" s="12" t="str">
        <f>IF(Raw_Data!V396="","",IF(Raw_Data!V396="oui",1,0))</f>
        <v/>
      </c>
      <c r="AA393" s="12" t="str">
        <f>IF(Raw_Data!W396="","",IF(Raw_Data!W396="oui",1,0))</f>
        <v/>
      </c>
      <c r="AB393" s="12" t="str">
        <f>IF(Raw_Data!Q396="","",IF(Raw_Data!Q396="oui",1,0))</f>
        <v/>
      </c>
      <c r="AC393" s="12">
        <f>Raw_Data!AF396</f>
        <v>0</v>
      </c>
      <c r="AD393" s="12" t="str">
        <f t="shared" si="59"/>
        <v/>
      </c>
      <c r="AE393" s="12" t="str">
        <f t="shared" si="60"/>
        <v/>
      </c>
      <c r="AF393" s="12" t="str">
        <f t="shared" si="61"/>
        <v/>
      </c>
      <c r="AG393" s="12">
        <f t="shared" si="62"/>
        <v>0</v>
      </c>
    </row>
    <row r="394" spans="1:33" ht="15" customHeight="1" x14ac:dyDescent="0.25">
      <c r="A394" s="12" t="str">
        <f>IF(Raw_Data!B397="","",Raw_Data!B397)</f>
        <v/>
      </c>
      <c r="B394" s="12">
        <f>IF(Raw_Data!X397&lt;&gt;"",Raw_Data!X397,Raw_Data!C397)</f>
        <v>0</v>
      </c>
      <c r="C394" s="12" t="str">
        <f>IF(Raw_Data!G397="","",Raw_Data!G397)</f>
        <v/>
      </c>
      <c r="D394" s="12" t="str">
        <f>IF(Raw_Data!H397="","",Raw_Data!H397)</f>
        <v/>
      </c>
      <c r="E394" s="12" t="str">
        <f>IF(Raw_Data!I397="","",Raw_Data!I397)</f>
        <v/>
      </c>
      <c r="F394" s="12" t="str">
        <f>IF(Raw_Data!J397="","",Raw_Data!J397)</f>
        <v/>
      </c>
      <c r="G394" s="12" t="str">
        <f>IF(Raw_Data!AH397&lt;&gt;"",Raw_Data!AH397,IF(Raw_Data!K397&lt;&gt;"",Raw_Data!K397,""))</f>
        <v/>
      </c>
      <c r="H394" s="12" t="str">
        <f>IF(Raw_Data!AI397&lt;&gt;"",Raw_Data!AI397,IF(Raw_Data!L397&lt;&gt;"",Raw_Data!L397,""))</f>
        <v/>
      </c>
      <c r="I394" s="12" t="str">
        <f t="shared" si="54"/>
        <v/>
      </c>
      <c r="J394" s="12" t="str">
        <f>IF(Raw_Data!M397="","",Raw_Data!M397)</f>
        <v/>
      </c>
      <c r="K394" s="12">
        <f>IF(Raw_Data!AJ397&lt;&gt;"",Raw_Data!AJ397,Raw_Data!N397)</f>
        <v>0</v>
      </c>
      <c r="L394" s="12">
        <f t="shared" si="55"/>
        <v>1</v>
      </c>
      <c r="M394" s="12" t="str">
        <f>IF(Raw_Data!AK397="","",Raw_Data!AK397)</f>
        <v/>
      </c>
      <c r="N394" s="12" t="str">
        <f>IF(Raw_Data!T397="","",Raw_Data!T397)</f>
        <v/>
      </c>
      <c r="O394" s="12" t="str">
        <f>IF(Raw_Data!AB397&lt;&gt;"",Raw_Data!AB397,IF(N394="tres_insatisfait",1,IF(N394="insatisfait",2,IF(N394="neutre",3,IF(N394="satisfait",4,IF(N394="tres_satisfait",5,""))))))</f>
        <v/>
      </c>
      <c r="P394" s="12">
        <f>IF(Raw_Data!AL397&lt;&gt;"",Raw_Data!AL397,Raw_Data!R397)</f>
        <v>0</v>
      </c>
      <c r="Q394" s="12">
        <f t="shared" si="56"/>
        <v>0</v>
      </c>
      <c r="R394" s="12" t="str">
        <f>IF(Raw_Data!AM397="","",Raw_Data!AM397)</f>
        <v/>
      </c>
      <c r="S394" s="12" t="str">
        <f t="shared" si="57"/>
        <v/>
      </c>
      <c r="T394" s="12" t="str">
        <f>IF(Raw_Data!AN397="","",Raw_Data!AN397)</f>
        <v/>
      </c>
      <c r="U394" s="12" t="str">
        <f t="shared" si="58"/>
        <v/>
      </c>
      <c r="V394" s="12" t="str">
        <f>IF(Raw_Data!AP397="","",IF(Raw_Data!AP397="oui",1,0))</f>
        <v/>
      </c>
      <c r="W394" s="12" t="str">
        <f>IF(Raw_Data!AQ397="","",IF(Raw_Data!AQ397="oui",1,0))</f>
        <v/>
      </c>
      <c r="X394" s="12" t="str">
        <f>IF(Raw_Data!AR397="","",IF(Raw_Data!AR397="oui",1,0))</f>
        <v/>
      </c>
      <c r="Y394" s="12" t="str">
        <f>IF(Raw_Data!AS397="","",IF(Raw_Data!AS397="oui",1,0))</f>
        <v/>
      </c>
      <c r="Z394" s="12" t="str">
        <f>IF(Raw_Data!V397="","",IF(Raw_Data!V397="oui",1,0))</f>
        <v/>
      </c>
      <c r="AA394" s="12" t="str">
        <f>IF(Raw_Data!W397="","",IF(Raw_Data!W397="oui",1,0))</f>
        <v/>
      </c>
      <c r="AB394" s="12" t="str">
        <f>IF(Raw_Data!Q397="","",IF(Raw_Data!Q397="oui",1,0))</f>
        <v/>
      </c>
      <c r="AC394" s="12">
        <f>Raw_Data!AF397</f>
        <v>0</v>
      </c>
      <c r="AD394" s="12" t="str">
        <f t="shared" si="59"/>
        <v/>
      </c>
      <c r="AE394" s="12" t="str">
        <f t="shared" si="60"/>
        <v/>
      </c>
      <c r="AF394" s="12" t="str">
        <f t="shared" si="61"/>
        <v/>
      </c>
      <c r="AG394" s="12">
        <f t="shared" si="62"/>
        <v>0</v>
      </c>
    </row>
    <row r="395" spans="1:33" ht="15" customHeight="1" x14ac:dyDescent="0.25">
      <c r="A395" s="12" t="str">
        <f>IF(Raw_Data!B398="","",Raw_Data!B398)</f>
        <v/>
      </c>
      <c r="B395" s="12">
        <f>IF(Raw_Data!X398&lt;&gt;"",Raw_Data!X398,Raw_Data!C398)</f>
        <v>0</v>
      </c>
      <c r="C395" s="12" t="str">
        <f>IF(Raw_Data!G398="","",Raw_Data!G398)</f>
        <v/>
      </c>
      <c r="D395" s="12" t="str">
        <f>IF(Raw_Data!H398="","",Raw_Data!H398)</f>
        <v/>
      </c>
      <c r="E395" s="12" t="str">
        <f>IF(Raw_Data!I398="","",Raw_Data!I398)</f>
        <v/>
      </c>
      <c r="F395" s="12" t="str">
        <f>IF(Raw_Data!J398="","",Raw_Data!J398)</f>
        <v/>
      </c>
      <c r="G395" s="12" t="str">
        <f>IF(Raw_Data!AH398&lt;&gt;"",Raw_Data!AH398,IF(Raw_Data!K398&lt;&gt;"",Raw_Data!K398,""))</f>
        <v/>
      </c>
      <c r="H395" s="12" t="str">
        <f>IF(Raw_Data!AI398&lt;&gt;"",Raw_Data!AI398,IF(Raw_Data!L398&lt;&gt;"",Raw_Data!L398,""))</f>
        <v/>
      </c>
      <c r="I395" s="12" t="str">
        <f t="shared" si="54"/>
        <v/>
      </c>
      <c r="J395" s="12" t="str">
        <f>IF(Raw_Data!M398="","",Raw_Data!M398)</f>
        <v/>
      </c>
      <c r="K395" s="12">
        <f>IF(Raw_Data!AJ398&lt;&gt;"",Raw_Data!AJ398,Raw_Data!N398)</f>
        <v>0</v>
      </c>
      <c r="L395" s="12">
        <f t="shared" si="55"/>
        <v>1</v>
      </c>
      <c r="M395" s="12" t="str">
        <f>IF(Raw_Data!AK398="","",Raw_Data!AK398)</f>
        <v/>
      </c>
      <c r="N395" s="12" t="str">
        <f>IF(Raw_Data!T398="","",Raw_Data!T398)</f>
        <v/>
      </c>
      <c r="O395" s="12" t="str">
        <f>IF(Raw_Data!AB398&lt;&gt;"",Raw_Data!AB398,IF(N395="tres_insatisfait",1,IF(N395="insatisfait",2,IF(N395="neutre",3,IF(N395="satisfait",4,IF(N395="tres_satisfait",5,""))))))</f>
        <v/>
      </c>
      <c r="P395" s="12">
        <f>IF(Raw_Data!AL398&lt;&gt;"",Raw_Data!AL398,Raw_Data!R398)</f>
        <v>0</v>
      </c>
      <c r="Q395" s="12">
        <f t="shared" si="56"/>
        <v>0</v>
      </c>
      <c r="R395" s="12" t="str">
        <f>IF(Raw_Data!AM398="","",Raw_Data!AM398)</f>
        <v/>
      </c>
      <c r="S395" s="12" t="str">
        <f t="shared" si="57"/>
        <v/>
      </c>
      <c r="T395" s="12" t="str">
        <f>IF(Raw_Data!AN398="","",Raw_Data!AN398)</f>
        <v/>
      </c>
      <c r="U395" s="12" t="str">
        <f t="shared" si="58"/>
        <v/>
      </c>
      <c r="V395" s="12" t="str">
        <f>IF(Raw_Data!AP398="","",IF(Raw_Data!AP398="oui",1,0))</f>
        <v/>
      </c>
      <c r="W395" s="12" t="str">
        <f>IF(Raw_Data!AQ398="","",IF(Raw_Data!AQ398="oui",1,0))</f>
        <v/>
      </c>
      <c r="X395" s="12" t="str">
        <f>IF(Raw_Data!AR398="","",IF(Raw_Data!AR398="oui",1,0))</f>
        <v/>
      </c>
      <c r="Y395" s="12" t="str">
        <f>IF(Raw_Data!AS398="","",IF(Raw_Data!AS398="oui",1,0))</f>
        <v/>
      </c>
      <c r="Z395" s="12" t="str">
        <f>IF(Raw_Data!V398="","",IF(Raw_Data!V398="oui",1,0))</f>
        <v/>
      </c>
      <c r="AA395" s="12" t="str">
        <f>IF(Raw_Data!W398="","",IF(Raw_Data!W398="oui",1,0))</f>
        <v/>
      </c>
      <c r="AB395" s="12" t="str">
        <f>IF(Raw_Data!Q398="","",IF(Raw_Data!Q398="oui",1,0))</f>
        <v/>
      </c>
      <c r="AC395" s="12">
        <f>Raw_Data!AF398</f>
        <v>0</v>
      </c>
      <c r="AD395" s="12" t="str">
        <f t="shared" si="59"/>
        <v/>
      </c>
      <c r="AE395" s="12" t="str">
        <f t="shared" si="60"/>
        <v/>
      </c>
      <c r="AF395" s="12" t="str">
        <f t="shared" si="61"/>
        <v/>
      </c>
      <c r="AG395" s="12">
        <f t="shared" si="62"/>
        <v>0</v>
      </c>
    </row>
    <row r="396" spans="1:33" ht="15" customHeight="1" x14ac:dyDescent="0.25">
      <c r="A396" s="12" t="str">
        <f>IF(Raw_Data!B399="","",Raw_Data!B399)</f>
        <v/>
      </c>
      <c r="B396" s="12">
        <f>IF(Raw_Data!X399&lt;&gt;"",Raw_Data!X399,Raw_Data!C399)</f>
        <v>0</v>
      </c>
      <c r="C396" s="12" t="str">
        <f>IF(Raw_Data!G399="","",Raw_Data!G399)</f>
        <v/>
      </c>
      <c r="D396" s="12" t="str">
        <f>IF(Raw_Data!H399="","",Raw_Data!H399)</f>
        <v/>
      </c>
      <c r="E396" s="12" t="str">
        <f>IF(Raw_Data!I399="","",Raw_Data!I399)</f>
        <v/>
      </c>
      <c r="F396" s="12" t="str">
        <f>IF(Raw_Data!J399="","",Raw_Data!J399)</f>
        <v/>
      </c>
      <c r="G396" s="12" t="str">
        <f>IF(Raw_Data!AH399&lt;&gt;"",Raw_Data!AH399,IF(Raw_Data!K399&lt;&gt;"",Raw_Data!K399,""))</f>
        <v/>
      </c>
      <c r="H396" s="12" t="str">
        <f>IF(Raw_Data!AI399&lt;&gt;"",Raw_Data!AI399,IF(Raw_Data!L399&lt;&gt;"",Raw_Data!L399,""))</f>
        <v/>
      </c>
      <c r="I396" s="12" t="str">
        <f t="shared" si="54"/>
        <v/>
      </c>
      <c r="J396" s="12" t="str">
        <f>IF(Raw_Data!M399="","",Raw_Data!M399)</f>
        <v/>
      </c>
      <c r="K396" s="12">
        <f>IF(Raw_Data!AJ399&lt;&gt;"",Raw_Data!AJ399,Raw_Data!N399)</f>
        <v>0</v>
      </c>
      <c r="L396" s="12">
        <f t="shared" si="55"/>
        <v>1</v>
      </c>
      <c r="M396" s="12" t="str">
        <f>IF(Raw_Data!AK399="","",Raw_Data!AK399)</f>
        <v/>
      </c>
      <c r="N396" s="12" t="str">
        <f>IF(Raw_Data!T399="","",Raw_Data!T399)</f>
        <v/>
      </c>
      <c r="O396" s="12" t="str">
        <f>IF(Raw_Data!AB399&lt;&gt;"",Raw_Data!AB399,IF(N396="tres_insatisfait",1,IF(N396="insatisfait",2,IF(N396="neutre",3,IF(N396="satisfait",4,IF(N396="tres_satisfait",5,""))))))</f>
        <v/>
      </c>
      <c r="P396" s="12">
        <f>IF(Raw_Data!AL399&lt;&gt;"",Raw_Data!AL399,Raw_Data!R399)</f>
        <v>0</v>
      </c>
      <c r="Q396" s="12">
        <f t="shared" si="56"/>
        <v>0</v>
      </c>
      <c r="R396" s="12" t="str">
        <f>IF(Raw_Data!AM399="","",Raw_Data!AM399)</f>
        <v/>
      </c>
      <c r="S396" s="12" t="str">
        <f t="shared" si="57"/>
        <v/>
      </c>
      <c r="T396" s="12" t="str">
        <f>IF(Raw_Data!AN399="","",Raw_Data!AN399)</f>
        <v/>
      </c>
      <c r="U396" s="12" t="str">
        <f t="shared" si="58"/>
        <v/>
      </c>
      <c r="V396" s="12" t="str">
        <f>IF(Raw_Data!AP399="","",IF(Raw_Data!AP399="oui",1,0))</f>
        <v/>
      </c>
      <c r="W396" s="12" t="str">
        <f>IF(Raw_Data!AQ399="","",IF(Raw_Data!AQ399="oui",1,0))</f>
        <v/>
      </c>
      <c r="X396" s="12" t="str">
        <f>IF(Raw_Data!AR399="","",IF(Raw_Data!AR399="oui",1,0))</f>
        <v/>
      </c>
      <c r="Y396" s="12" t="str">
        <f>IF(Raw_Data!AS399="","",IF(Raw_Data!AS399="oui",1,0))</f>
        <v/>
      </c>
      <c r="Z396" s="12" t="str">
        <f>IF(Raw_Data!V399="","",IF(Raw_Data!V399="oui",1,0))</f>
        <v/>
      </c>
      <c r="AA396" s="12" t="str">
        <f>IF(Raw_Data!W399="","",IF(Raw_Data!W399="oui",1,0))</f>
        <v/>
      </c>
      <c r="AB396" s="12" t="str">
        <f>IF(Raw_Data!Q399="","",IF(Raw_Data!Q399="oui",1,0))</f>
        <v/>
      </c>
      <c r="AC396" s="12">
        <f>Raw_Data!AF399</f>
        <v>0</v>
      </c>
      <c r="AD396" s="12" t="str">
        <f t="shared" si="59"/>
        <v/>
      </c>
      <c r="AE396" s="12" t="str">
        <f t="shared" si="60"/>
        <v/>
      </c>
      <c r="AF396" s="12" t="str">
        <f t="shared" si="61"/>
        <v/>
      </c>
      <c r="AG396" s="12">
        <f t="shared" si="62"/>
        <v>0</v>
      </c>
    </row>
    <row r="397" spans="1:33" ht="15" customHeight="1" x14ac:dyDescent="0.25">
      <c r="A397" s="12" t="str">
        <f>IF(Raw_Data!B400="","",Raw_Data!B400)</f>
        <v/>
      </c>
      <c r="B397" s="12">
        <f>IF(Raw_Data!X400&lt;&gt;"",Raw_Data!X400,Raw_Data!C400)</f>
        <v>0</v>
      </c>
      <c r="C397" s="12" t="str">
        <f>IF(Raw_Data!G400="","",Raw_Data!G400)</f>
        <v/>
      </c>
      <c r="D397" s="12" t="str">
        <f>IF(Raw_Data!H400="","",Raw_Data!H400)</f>
        <v/>
      </c>
      <c r="E397" s="12" t="str">
        <f>IF(Raw_Data!I400="","",Raw_Data!I400)</f>
        <v/>
      </c>
      <c r="F397" s="12" t="str">
        <f>IF(Raw_Data!J400="","",Raw_Data!J400)</f>
        <v/>
      </c>
      <c r="G397" s="12" t="str">
        <f>IF(Raw_Data!AH400&lt;&gt;"",Raw_Data!AH400,IF(Raw_Data!K400&lt;&gt;"",Raw_Data!K400,""))</f>
        <v/>
      </c>
      <c r="H397" s="12" t="str">
        <f>IF(Raw_Data!AI400&lt;&gt;"",Raw_Data!AI400,IF(Raw_Data!L400&lt;&gt;"",Raw_Data!L400,""))</f>
        <v/>
      </c>
      <c r="I397" s="12" t="str">
        <f t="shared" si="54"/>
        <v/>
      </c>
      <c r="J397" s="12" t="str">
        <f>IF(Raw_Data!M400="","",Raw_Data!M400)</f>
        <v/>
      </c>
      <c r="K397" s="12">
        <f>IF(Raw_Data!AJ400&lt;&gt;"",Raw_Data!AJ400,Raw_Data!N400)</f>
        <v>0</v>
      </c>
      <c r="L397" s="12">
        <f t="shared" si="55"/>
        <v>1</v>
      </c>
      <c r="M397" s="12" t="str">
        <f>IF(Raw_Data!AK400="","",Raw_Data!AK400)</f>
        <v/>
      </c>
      <c r="N397" s="12" t="str">
        <f>IF(Raw_Data!T400="","",Raw_Data!T400)</f>
        <v/>
      </c>
      <c r="O397" s="12" t="str">
        <f>IF(Raw_Data!AB400&lt;&gt;"",Raw_Data!AB400,IF(N397="tres_insatisfait",1,IF(N397="insatisfait",2,IF(N397="neutre",3,IF(N397="satisfait",4,IF(N397="tres_satisfait",5,""))))))</f>
        <v/>
      </c>
      <c r="P397" s="12">
        <f>IF(Raw_Data!AL400&lt;&gt;"",Raw_Data!AL400,Raw_Data!R400)</f>
        <v>0</v>
      </c>
      <c r="Q397" s="12">
        <f t="shared" si="56"/>
        <v>0</v>
      </c>
      <c r="R397" s="12" t="str">
        <f>IF(Raw_Data!AM400="","",Raw_Data!AM400)</f>
        <v/>
      </c>
      <c r="S397" s="12" t="str">
        <f t="shared" si="57"/>
        <v/>
      </c>
      <c r="T397" s="12" t="str">
        <f>IF(Raw_Data!AN400="","",Raw_Data!AN400)</f>
        <v/>
      </c>
      <c r="U397" s="12" t="str">
        <f t="shared" si="58"/>
        <v/>
      </c>
      <c r="V397" s="12" t="str">
        <f>IF(Raw_Data!AP400="","",IF(Raw_Data!AP400="oui",1,0))</f>
        <v/>
      </c>
      <c r="W397" s="12" t="str">
        <f>IF(Raw_Data!AQ400="","",IF(Raw_Data!AQ400="oui",1,0))</f>
        <v/>
      </c>
      <c r="X397" s="12" t="str">
        <f>IF(Raw_Data!AR400="","",IF(Raw_Data!AR400="oui",1,0))</f>
        <v/>
      </c>
      <c r="Y397" s="12" t="str">
        <f>IF(Raw_Data!AS400="","",IF(Raw_Data!AS400="oui",1,0))</f>
        <v/>
      </c>
      <c r="Z397" s="12" t="str">
        <f>IF(Raw_Data!V400="","",IF(Raw_Data!V400="oui",1,0))</f>
        <v/>
      </c>
      <c r="AA397" s="12" t="str">
        <f>IF(Raw_Data!W400="","",IF(Raw_Data!W400="oui",1,0))</f>
        <v/>
      </c>
      <c r="AB397" s="12" t="str">
        <f>IF(Raw_Data!Q400="","",IF(Raw_Data!Q400="oui",1,0))</f>
        <v/>
      </c>
      <c r="AC397" s="12">
        <f>Raw_Data!AF400</f>
        <v>0</v>
      </c>
      <c r="AD397" s="12" t="str">
        <f t="shared" si="59"/>
        <v/>
      </c>
      <c r="AE397" s="12" t="str">
        <f t="shared" si="60"/>
        <v/>
      </c>
      <c r="AF397" s="12" t="str">
        <f t="shared" si="61"/>
        <v/>
      </c>
      <c r="AG397" s="12">
        <f t="shared" si="62"/>
        <v>0</v>
      </c>
    </row>
    <row r="398" spans="1:33" ht="15" customHeight="1" x14ac:dyDescent="0.25">
      <c r="A398" s="12" t="str">
        <f>IF(Raw_Data!B401="","",Raw_Data!B401)</f>
        <v/>
      </c>
      <c r="B398" s="12">
        <f>IF(Raw_Data!X401&lt;&gt;"",Raw_Data!X401,Raw_Data!C401)</f>
        <v>0</v>
      </c>
      <c r="C398" s="12" t="str">
        <f>IF(Raw_Data!G401="","",Raw_Data!G401)</f>
        <v/>
      </c>
      <c r="D398" s="12" t="str">
        <f>IF(Raw_Data!H401="","",Raw_Data!H401)</f>
        <v/>
      </c>
      <c r="E398" s="12" t="str">
        <f>IF(Raw_Data!I401="","",Raw_Data!I401)</f>
        <v/>
      </c>
      <c r="F398" s="12" t="str">
        <f>IF(Raw_Data!J401="","",Raw_Data!J401)</f>
        <v/>
      </c>
      <c r="G398" s="12" t="str">
        <f>IF(Raw_Data!AH401&lt;&gt;"",Raw_Data!AH401,IF(Raw_Data!K401&lt;&gt;"",Raw_Data!K401,""))</f>
        <v/>
      </c>
      <c r="H398" s="12" t="str">
        <f>IF(Raw_Data!AI401&lt;&gt;"",Raw_Data!AI401,IF(Raw_Data!L401&lt;&gt;"",Raw_Data!L401,""))</f>
        <v/>
      </c>
      <c r="I398" s="12" t="str">
        <f t="shared" si="54"/>
        <v/>
      </c>
      <c r="J398" s="12" t="str">
        <f>IF(Raw_Data!M401="","",Raw_Data!M401)</f>
        <v/>
      </c>
      <c r="K398" s="12">
        <f>IF(Raw_Data!AJ401&lt;&gt;"",Raw_Data!AJ401,Raw_Data!N401)</f>
        <v>0</v>
      </c>
      <c r="L398" s="12">
        <f t="shared" si="55"/>
        <v>1</v>
      </c>
      <c r="M398" s="12" t="str">
        <f>IF(Raw_Data!AK401="","",Raw_Data!AK401)</f>
        <v/>
      </c>
      <c r="N398" s="12" t="str">
        <f>IF(Raw_Data!T401="","",Raw_Data!T401)</f>
        <v/>
      </c>
      <c r="O398" s="12" t="str">
        <f>IF(Raw_Data!AB401&lt;&gt;"",Raw_Data!AB401,IF(N398="tres_insatisfait",1,IF(N398="insatisfait",2,IF(N398="neutre",3,IF(N398="satisfait",4,IF(N398="tres_satisfait",5,""))))))</f>
        <v/>
      </c>
      <c r="P398" s="12">
        <f>IF(Raw_Data!AL401&lt;&gt;"",Raw_Data!AL401,Raw_Data!R401)</f>
        <v>0</v>
      </c>
      <c r="Q398" s="12">
        <f t="shared" si="56"/>
        <v>0</v>
      </c>
      <c r="R398" s="12" t="str">
        <f>IF(Raw_Data!AM401="","",Raw_Data!AM401)</f>
        <v/>
      </c>
      <c r="S398" s="12" t="str">
        <f t="shared" si="57"/>
        <v/>
      </c>
      <c r="T398" s="12" t="str">
        <f>IF(Raw_Data!AN401="","",Raw_Data!AN401)</f>
        <v/>
      </c>
      <c r="U398" s="12" t="str">
        <f t="shared" si="58"/>
        <v/>
      </c>
      <c r="V398" s="12" t="str">
        <f>IF(Raw_Data!AP401="","",IF(Raw_Data!AP401="oui",1,0))</f>
        <v/>
      </c>
      <c r="W398" s="12" t="str">
        <f>IF(Raw_Data!AQ401="","",IF(Raw_Data!AQ401="oui",1,0))</f>
        <v/>
      </c>
      <c r="X398" s="12" t="str">
        <f>IF(Raw_Data!AR401="","",IF(Raw_Data!AR401="oui",1,0))</f>
        <v/>
      </c>
      <c r="Y398" s="12" t="str">
        <f>IF(Raw_Data!AS401="","",IF(Raw_Data!AS401="oui",1,0))</f>
        <v/>
      </c>
      <c r="Z398" s="12" t="str">
        <f>IF(Raw_Data!V401="","",IF(Raw_Data!V401="oui",1,0))</f>
        <v/>
      </c>
      <c r="AA398" s="12" t="str">
        <f>IF(Raw_Data!W401="","",IF(Raw_Data!W401="oui",1,0))</f>
        <v/>
      </c>
      <c r="AB398" s="12" t="str">
        <f>IF(Raw_Data!Q401="","",IF(Raw_Data!Q401="oui",1,0))</f>
        <v/>
      </c>
      <c r="AC398" s="12">
        <f>Raw_Data!AF401</f>
        <v>0</v>
      </c>
      <c r="AD398" s="12" t="str">
        <f t="shared" si="59"/>
        <v/>
      </c>
      <c r="AE398" s="12" t="str">
        <f t="shared" si="60"/>
        <v/>
      </c>
      <c r="AF398" s="12" t="str">
        <f t="shared" si="61"/>
        <v/>
      </c>
      <c r="AG398" s="12">
        <f t="shared" si="62"/>
        <v>0</v>
      </c>
    </row>
    <row r="399" spans="1:33" ht="15" customHeight="1" x14ac:dyDescent="0.25">
      <c r="A399" s="12" t="str">
        <f>IF(Raw_Data!B402="","",Raw_Data!B402)</f>
        <v/>
      </c>
      <c r="B399" s="12">
        <f>IF(Raw_Data!X402&lt;&gt;"",Raw_Data!X402,Raw_Data!C402)</f>
        <v>0</v>
      </c>
      <c r="C399" s="12" t="str">
        <f>IF(Raw_Data!G402="","",Raw_Data!G402)</f>
        <v/>
      </c>
      <c r="D399" s="12" t="str">
        <f>IF(Raw_Data!H402="","",Raw_Data!H402)</f>
        <v/>
      </c>
      <c r="E399" s="12" t="str">
        <f>IF(Raw_Data!I402="","",Raw_Data!I402)</f>
        <v/>
      </c>
      <c r="F399" s="12" t="str">
        <f>IF(Raw_Data!J402="","",Raw_Data!J402)</f>
        <v/>
      </c>
      <c r="G399" s="12" t="str">
        <f>IF(Raw_Data!AH402&lt;&gt;"",Raw_Data!AH402,IF(Raw_Data!K402&lt;&gt;"",Raw_Data!K402,""))</f>
        <v/>
      </c>
      <c r="H399" s="12" t="str">
        <f>IF(Raw_Data!AI402&lt;&gt;"",Raw_Data!AI402,IF(Raw_Data!L402&lt;&gt;"",Raw_Data!L402,""))</f>
        <v/>
      </c>
      <c r="I399" s="12" t="str">
        <f t="shared" si="54"/>
        <v/>
      </c>
      <c r="J399" s="12" t="str">
        <f>IF(Raw_Data!M402="","",Raw_Data!M402)</f>
        <v/>
      </c>
      <c r="K399" s="12">
        <f>IF(Raw_Data!AJ402&lt;&gt;"",Raw_Data!AJ402,Raw_Data!N402)</f>
        <v>0</v>
      </c>
      <c r="L399" s="12">
        <f t="shared" si="55"/>
        <v>1</v>
      </c>
      <c r="M399" s="12" t="str">
        <f>IF(Raw_Data!AK402="","",Raw_Data!AK402)</f>
        <v/>
      </c>
      <c r="N399" s="12" t="str">
        <f>IF(Raw_Data!T402="","",Raw_Data!T402)</f>
        <v/>
      </c>
      <c r="O399" s="12" t="str">
        <f>IF(Raw_Data!AB402&lt;&gt;"",Raw_Data!AB402,IF(N399="tres_insatisfait",1,IF(N399="insatisfait",2,IF(N399="neutre",3,IF(N399="satisfait",4,IF(N399="tres_satisfait",5,""))))))</f>
        <v/>
      </c>
      <c r="P399" s="12">
        <f>IF(Raw_Data!AL402&lt;&gt;"",Raw_Data!AL402,Raw_Data!R402)</f>
        <v>0</v>
      </c>
      <c r="Q399" s="12">
        <f t="shared" si="56"/>
        <v>0</v>
      </c>
      <c r="R399" s="12" t="str">
        <f>IF(Raw_Data!AM402="","",Raw_Data!AM402)</f>
        <v/>
      </c>
      <c r="S399" s="12" t="str">
        <f t="shared" si="57"/>
        <v/>
      </c>
      <c r="T399" s="12" t="str">
        <f>IF(Raw_Data!AN402="","",Raw_Data!AN402)</f>
        <v/>
      </c>
      <c r="U399" s="12" t="str">
        <f t="shared" si="58"/>
        <v/>
      </c>
      <c r="V399" s="12" t="str">
        <f>IF(Raw_Data!AP402="","",IF(Raw_Data!AP402="oui",1,0))</f>
        <v/>
      </c>
      <c r="W399" s="12" t="str">
        <f>IF(Raw_Data!AQ402="","",IF(Raw_Data!AQ402="oui",1,0))</f>
        <v/>
      </c>
      <c r="X399" s="12" t="str">
        <f>IF(Raw_Data!AR402="","",IF(Raw_Data!AR402="oui",1,0))</f>
        <v/>
      </c>
      <c r="Y399" s="12" t="str">
        <f>IF(Raw_Data!AS402="","",IF(Raw_Data!AS402="oui",1,0))</f>
        <v/>
      </c>
      <c r="Z399" s="12" t="str">
        <f>IF(Raw_Data!V402="","",IF(Raw_Data!V402="oui",1,0))</f>
        <v/>
      </c>
      <c r="AA399" s="12" t="str">
        <f>IF(Raw_Data!W402="","",IF(Raw_Data!W402="oui",1,0))</f>
        <v/>
      </c>
      <c r="AB399" s="12" t="str">
        <f>IF(Raw_Data!Q402="","",IF(Raw_Data!Q402="oui",1,0))</f>
        <v/>
      </c>
      <c r="AC399" s="12">
        <f>Raw_Data!AF402</f>
        <v>0</v>
      </c>
      <c r="AD399" s="12" t="str">
        <f t="shared" si="59"/>
        <v/>
      </c>
      <c r="AE399" s="12" t="str">
        <f t="shared" si="60"/>
        <v/>
      </c>
      <c r="AF399" s="12" t="str">
        <f t="shared" si="61"/>
        <v/>
      </c>
      <c r="AG399" s="12">
        <f t="shared" si="62"/>
        <v>0</v>
      </c>
    </row>
    <row r="400" spans="1:33" ht="15" customHeight="1" x14ac:dyDescent="0.25">
      <c r="A400" s="12" t="str">
        <f>IF(Raw_Data!B403="","",Raw_Data!B403)</f>
        <v/>
      </c>
      <c r="B400" s="12">
        <f>IF(Raw_Data!X403&lt;&gt;"",Raw_Data!X403,Raw_Data!C403)</f>
        <v>0</v>
      </c>
      <c r="C400" s="12" t="str">
        <f>IF(Raw_Data!G403="","",Raw_Data!G403)</f>
        <v/>
      </c>
      <c r="D400" s="12" t="str">
        <f>IF(Raw_Data!H403="","",Raw_Data!H403)</f>
        <v/>
      </c>
      <c r="E400" s="12" t="str">
        <f>IF(Raw_Data!I403="","",Raw_Data!I403)</f>
        <v/>
      </c>
      <c r="F400" s="12" t="str">
        <f>IF(Raw_Data!J403="","",Raw_Data!J403)</f>
        <v/>
      </c>
      <c r="G400" s="12" t="str">
        <f>IF(Raw_Data!AH403&lt;&gt;"",Raw_Data!AH403,IF(Raw_Data!K403&lt;&gt;"",Raw_Data!K403,""))</f>
        <v/>
      </c>
      <c r="H400" s="12" t="str">
        <f>IF(Raw_Data!AI403&lt;&gt;"",Raw_Data!AI403,IF(Raw_Data!L403&lt;&gt;"",Raw_Data!L403,""))</f>
        <v/>
      </c>
      <c r="I400" s="12" t="str">
        <f t="shared" si="54"/>
        <v/>
      </c>
      <c r="J400" s="12" t="str">
        <f>IF(Raw_Data!M403="","",Raw_Data!M403)</f>
        <v/>
      </c>
      <c r="K400" s="12">
        <f>IF(Raw_Data!AJ403&lt;&gt;"",Raw_Data!AJ403,Raw_Data!N403)</f>
        <v>0</v>
      </c>
      <c r="L400" s="12">
        <f t="shared" si="55"/>
        <v>1</v>
      </c>
      <c r="M400" s="12" t="str">
        <f>IF(Raw_Data!AK403="","",Raw_Data!AK403)</f>
        <v/>
      </c>
      <c r="N400" s="12" t="str">
        <f>IF(Raw_Data!T403="","",Raw_Data!T403)</f>
        <v/>
      </c>
      <c r="O400" s="12" t="str">
        <f>IF(Raw_Data!AB403&lt;&gt;"",Raw_Data!AB403,IF(N400="tres_insatisfait",1,IF(N400="insatisfait",2,IF(N400="neutre",3,IF(N400="satisfait",4,IF(N400="tres_satisfait",5,""))))))</f>
        <v/>
      </c>
      <c r="P400" s="12">
        <f>IF(Raw_Data!AL403&lt;&gt;"",Raw_Data!AL403,Raw_Data!R403)</f>
        <v>0</v>
      </c>
      <c r="Q400" s="12">
        <f t="shared" si="56"/>
        <v>0</v>
      </c>
      <c r="R400" s="12" t="str">
        <f>IF(Raw_Data!AM403="","",Raw_Data!AM403)</f>
        <v/>
      </c>
      <c r="S400" s="12" t="str">
        <f t="shared" si="57"/>
        <v/>
      </c>
      <c r="T400" s="12" t="str">
        <f>IF(Raw_Data!AN403="","",Raw_Data!AN403)</f>
        <v/>
      </c>
      <c r="U400" s="12" t="str">
        <f t="shared" si="58"/>
        <v/>
      </c>
      <c r="V400" s="12" t="str">
        <f>IF(Raw_Data!AP403="","",IF(Raw_Data!AP403="oui",1,0))</f>
        <v/>
      </c>
      <c r="W400" s="12" t="str">
        <f>IF(Raw_Data!AQ403="","",IF(Raw_Data!AQ403="oui",1,0))</f>
        <v/>
      </c>
      <c r="X400" s="12" t="str">
        <f>IF(Raw_Data!AR403="","",IF(Raw_Data!AR403="oui",1,0))</f>
        <v/>
      </c>
      <c r="Y400" s="12" t="str">
        <f>IF(Raw_Data!AS403="","",IF(Raw_Data!AS403="oui",1,0))</f>
        <v/>
      </c>
      <c r="Z400" s="12" t="str">
        <f>IF(Raw_Data!V403="","",IF(Raw_Data!V403="oui",1,0))</f>
        <v/>
      </c>
      <c r="AA400" s="12" t="str">
        <f>IF(Raw_Data!W403="","",IF(Raw_Data!W403="oui",1,0))</f>
        <v/>
      </c>
      <c r="AB400" s="12" t="str">
        <f>IF(Raw_Data!Q403="","",IF(Raw_Data!Q403="oui",1,0))</f>
        <v/>
      </c>
      <c r="AC400" s="12">
        <f>Raw_Data!AF403</f>
        <v>0</v>
      </c>
      <c r="AD400" s="12" t="str">
        <f t="shared" si="59"/>
        <v/>
      </c>
      <c r="AE400" s="12" t="str">
        <f t="shared" si="60"/>
        <v/>
      </c>
      <c r="AF400" s="12" t="str">
        <f t="shared" si="61"/>
        <v/>
      </c>
      <c r="AG400" s="12">
        <f t="shared" si="62"/>
        <v>0</v>
      </c>
    </row>
    <row r="401" spans="1:33" ht="15" customHeight="1" x14ac:dyDescent="0.25">
      <c r="A401" s="12" t="str">
        <f>IF(Raw_Data!B404="","",Raw_Data!B404)</f>
        <v/>
      </c>
      <c r="B401" s="12">
        <f>IF(Raw_Data!X404&lt;&gt;"",Raw_Data!X404,Raw_Data!C404)</f>
        <v>0</v>
      </c>
      <c r="C401" s="12" t="str">
        <f>IF(Raw_Data!G404="","",Raw_Data!G404)</f>
        <v/>
      </c>
      <c r="D401" s="12" t="str">
        <f>IF(Raw_Data!H404="","",Raw_Data!H404)</f>
        <v/>
      </c>
      <c r="E401" s="12" t="str">
        <f>IF(Raw_Data!I404="","",Raw_Data!I404)</f>
        <v/>
      </c>
      <c r="F401" s="12" t="str">
        <f>IF(Raw_Data!J404="","",Raw_Data!J404)</f>
        <v/>
      </c>
      <c r="G401" s="12" t="str">
        <f>IF(Raw_Data!AH404&lt;&gt;"",Raw_Data!AH404,IF(Raw_Data!K404&lt;&gt;"",Raw_Data!K404,""))</f>
        <v/>
      </c>
      <c r="H401" s="12" t="str">
        <f>IF(Raw_Data!AI404&lt;&gt;"",Raw_Data!AI404,IF(Raw_Data!L404&lt;&gt;"",Raw_Data!L404,""))</f>
        <v/>
      </c>
      <c r="I401" s="12" t="str">
        <f t="shared" si="54"/>
        <v/>
      </c>
      <c r="J401" s="12" t="str">
        <f>IF(Raw_Data!M404="","",Raw_Data!M404)</f>
        <v/>
      </c>
      <c r="K401" s="12">
        <f>IF(Raw_Data!AJ404&lt;&gt;"",Raw_Data!AJ404,Raw_Data!N404)</f>
        <v>0</v>
      </c>
      <c r="L401" s="12">
        <f t="shared" si="55"/>
        <v>1</v>
      </c>
      <c r="M401" s="12" t="str">
        <f>IF(Raw_Data!AK404="","",Raw_Data!AK404)</f>
        <v/>
      </c>
      <c r="N401" s="12" t="str">
        <f>IF(Raw_Data!T404="","",Raw_Data!T404)</f>
        <v/>
      </c>
      <c r="O401" s="12" t="str">
        <f>IF(Raw_Data!AB404&lt;&gt;"",Raw_Data!AB404,IF(N401="tres_insatisfait",1,IF(N401="insatisfait",2,IF(N401="neutre",3,IF(N401="satisfait",4,IF(N401="tres_satisfait",5,""))))))</f>
        <v/>
      </c>
      <c r="P401" s="12">
        <f>IF(Raw_Data!AL404&lt;&gt;"",Raw_Data!AL404,Raw_Data!R404)</f>
        <v>0</v>
      </c>
      <c r="Q401" s="12">
        <f t="shared" si="56"/>
        <v>0</v>
      </c>
      <c r="R401" s="12" t="str">
        <f>IF(Raw_Data!AM404="","",Raw_Data!AM404)</f>
        <v/>
      </c>
      <c r="S401" s="12" t="str">
        <f t="shared" si="57"/>
        <v/>
      </c>
      <c r="T401" s="12" t="str">
        <f>IF(Raw_Data!AN404="","",Raw_Data!AN404)</f>
        <v/>
      </c>
      <c r="U401" s="12" t="str">
        <f t="shared" si="58"/>
        <v/>
      </c>
      <c r="V401" s="12" t="str">
        <f>IF(Raw_Data!AP404="","",IF(Raw_Data!AP404="oui",1,0))</f>
        <v/>
      </c>
      <c r="W401" s="12" t="str">
        <f>IF(Raw_Data!AQ404="","",IF(Raw_Data!AQ404="oui",1,0))</f>
        <v/>
      </c>
      <c r="X401" s="12" t="str">
        <f>IF(Raw_Data!AR404="","",IF(Raw_Data!AR404="oui",1,0))</f>
        <v/>
      </c>
      <c r="Y401" s="12" t="str">
        <f>IF(Raw_Data!AS404="","",IF(Raw_Data!AS404="oui",1,0))</f>
        <v/>
      </c>
      <c r="Z401" s="12" t="str">
        <f>IF(Raw_Data!V404="","",IF(Raw_Data!V404="oui",1,0))</f>
        <v/>
      </c>
      <c r="AA401" s="12" t="str">
        <f>IF(Raw_Data!W404="","",IF(Raw_Data!W404="oui",1,0))</f>
        <v/>
      </c>
      <c r="AB401" s="12" t="str">
        <f>IF(Raw_Data!Q404="","",IF(Raw_Data!Q404="oui",1,0))</f>
        <v/>
      </c>
      <c r="AC401" s="12">
        <f>Raw_Data!AF404</f>
        <v>0</v>
      </c>
      <c r="AD401" s="12" t="str">
        <f t="shared" si="59"/>
        <v/>
      </c>
      <c r="AE401" s="12" t="str">
        <f t="shared" si="60"/>
        <v/>
      </c>
      <c r="AF401" s="12" t="str">
        <f t="shared" si="61"/>
        <v/>
      </c>
      <c r="AG401" s="12">
        <f t="shared" si="62"/>
        <v>0</v>
      </c>
    </row>
    <row r="402" spans="1:33" ht="15" customHeight="1" x14ac:dyDescent="0.25">
      <c r="A402" s="12" t="str">
        <f>IF(Raw_Data!B405="","",Raw_Data!B405)</f>
        <v/>
      </c>
      <c r="B402" s="12">
        <f>IF(Raw_Data!X405&lt;&gt;"",Raw_Data!X405,Raw_Data!C405)</f>
        <v>0</v>
      </c>
      <c r="C402" s="12" t="str">
        <f>IF(Raw_Data!G405="","",Raw_Data!G405)</f>
        <v/>
      </c>
      <c r="D402" s="12" t="str">
        <f>IF(Raw_Data!H405="","",Raw_Data!H405)</f>
        <v/>
      </c>
      <c r="E402" s="12" t="str">
        <f>IF(Raw_Data!I405="","",Raw_Data!I405)</f>
        <v/>
      </c>
      <c r="F402" s="12" t="str">
        <f>IF(Raw_Data!J405="","",Raw_Data!J405)</f>
        <v/>
      </c>
      <c r="G402" s="12" t="str">
        <f>IF(Raw_Data!AH405&lt;&gt;"",Raw_Data!AH405,IF(Raw_Data!K405&lt;&gt;"",Raw_Data!K405,""))</f>
        <v/>
      </c>
      <c r="H402" s="12" t="str">
        <f>IF(Raw_Data!AI405&lt;&gt;"",Raw_Data!AI405,IF(Raw_Data!L405&lt;&gt;"",Raw_Data!L405,""))</f>
        <v/>
      </c>
      <c r="I402" s="12" t="str">
        <f t="shared" si="54"/>
        <v/>
      </c>
      <c r="J402" s="12" t="str">
        <f>IF(Raw_Data!M405="","",Raw_Data!M405)</f>
        <v/>
      </c>
      <c r="K402" s="12">
        <f>IF(Raw_Data!AJ405&lt;&gt;"",Raw_Data!AJ405,Raw_Data!N405)</f>
        <v>0</v>
      </c>
      <c r="L402" s="12">
        <f t="shared" si="55"/>
        <v>1</v>
      </c>
      <c r="M402" s="12" t="str">
        <f>IF(Raw_Data!AK405="","",Raw_Data!AK405)</f>
        <v/>
      </c>
      <c r="N402" s="12" t="str">
        <f>IF(Raw_Data!T405="","",Raw_Data!T405)</f>
        <v/>
      </c>
      <c r="O402" s="12" t="str">
        <f>IF(Raw_Data!AB405&lt;&gt;"",Raw_Data!AB405,IF(N402="tres_insatisfait",1,IF(N402="insatisfait",2,IF(N402="neutre",3,IF(N402="satisfait",4,IF(N402="tres_satisfait",5,""))))))</f>
        <v/>
      </c>
      <c r="P402" s="12">
        <f>IF(Raw_Data!AL405&lt;&gt;"",Raw_Data!AL405,Raw_Data!R405)</f>
        <v>0</v>
      </c>
      <c r="Q402" s="12">
        <f t="shared" si="56"/>
        <v>0</v>
      </c>
      <c r="R402" s="12" t="str">
        <f>IF(Raw_Data!AM405="","",Raw_Data!AM405)</f>
        <v/>
      </c>
      <c r="S402" s="12" t="str">
        <f t="shared" si="57"/>
        <v/>
      </c>
      <c r="T402" s="12" t="str">
        <f>IF(Raw_Data!AN405="","",Raw_Data!AN405)</f>
        <v/>
      </c>
      <c r="U402" s="12" t="str">
        <f t="shared" si="58"/>
        <v/>
      </c>
      <c r="V402" s="12" t="str">
        <f>IF(Raw_Data!AP405="","",IF(Raw_Data!AP405="oui",1,0))</f>
        <v/>
      </c>
      <c r="W402" s="12" t="str">
        <f>IF(Raw_Data!AQ405="","",IF(Raw_Data!AQ405="oui",1,0))</f>
        <v/>
      </c>
      <c r="X402" s="12" t="str">
        <f>IF(Raw_Data!AR405="","",IF(Raw_Data!AR405="oui",1,0))</f>
        <v/>
      </c>
      <c r="Y402" s="12" t="str">
        <f>IF(Raw_Data!AS405="","",IF(Raw_Data!AS405="oui",1,0))</f>
        <v/>
      </c>
      <c r="Z402" s="12" t="str">
        <f>IF(Raw_Data!V405="","",IF(Raw_Data!V405="oui",1,0))</f>
        <v/>
      </c>
      <c r="AA402" s="12" t="str">
        <f>IF(Raw_Data!W405="","",IF(Raw_Data!W405="oui",1,0))</f>
        <v/>
      </c>
      <c r="AB402" s="12" t="str">
        <f>IF(Raw_Data!Q405="","",IF(Raw_Data!Q405="oui",1,0))</f>
        <v/>
      </c>
      <c r="AC402" s="12">
        <f>Raw_Data!AF405</f>
        <v>0</v>
      </c>
      <c r="AD402" s="12" t="str">
        <f t="shared" si="59"/>
        <v/>
      </c>
      <c r="AE402" s="12" t="str">
        <f t="shared" si="60"/>
        <v/>
      </c>
      <c r="AF402" s="12" t="str">
        <f t="shared" si="61"/>
        <v/>
      </c>
      <c r="AG402" s="12">
        <f t="shared" si="62"/>
        <v>0</v>
      </c>
    </row>
    <row r="403" spans="1:33" ht="15" customHeight="1" x14ac:dyDescent="0.25">
      <c r="A403" s="12" t="str">
        <f>IF(Raw_Data!B406="","",Raw_Data!B406)</f>
        <v/>
      </c>
      <c r="B403" s="12">
        <f>IF(Raw_Data!X406&lt;&gt;"",Raw_Data!X406,Raw_Data!C406)</f>
        <v>0</v>
      </c>
      <c r="C403" s="12" t="str">
        <f>IF(Raw_Data!G406="","",Raw_Data!G406)</f>
        <v/>
      </c>
      <c r="D403" s="12" t="str">
        <f>IF(Raw_Data!H406="","",Raw_Data!H406)</f>
        <v/>
      </c>
      <c r="E403" s="12" t="str">
        <f>IF(Raw_Data!I406="","",Raw_Data!I406)</f>
        <v/>
      </c>
      <c r="F403" s="12" t="str">
        <f>IF(Raw_Data!J406="","",Raw_Data!J406)</f>
        <v/>
      </c>
      <c r="G403" s="12" t="str">
        <f>IF(Raw_Data!AH406&lt;&gt;"",Raw_Data!AH406,IF(Raw_Data!K406&lt;&gt;"",Raw_Data!K406,""))</f>
        <v/>
      </c>
      <c r="H403" s="12" t="str">
        <f>IF(Raw_Data!AI406&lt;&gt;"",Raw_Data!AI406,IF(Raw_Data!L406&lt;&gt;"",Raw_Data!L406,""))</f>
        <v/>
      </c>
      <c r="I403" s="12" t="str">
        <f t="shared" si="54"/>
        <v/>
      </c>
      <c r="J403" s="12" t="str">
        <f>IF(Raw_Data!M406="","",Raw_Data!M406)</f>
        <v/>
      </c>
      <c r="K403" s="12">
        <f>IF(Raw_Data!AJ406&lt;&gt;"",Raw_Data!AJ406,Raw_Data!N406)</f>
        <v>0</v>
      </c>
      <c r="L403" s="12">
        <f t="shared" si="55"/>
        <v>1</v>
      </c>
      <c r="M403" s="12" t="str">
        <f>IF(Raw_Data!AK406="","",Raw_Data!AK406)</f>
        <v/>
      </c>
      <c r="N403" s="12" t="str">
        <f>IF(Raw_Data!T406="","",Raw_Data!T406)</f>
        <v/>
      </c>
      <c r="O403" s="12" t="str">
        <f>IF(Raw_Data!AB406&lt;&gt;"",Raw_Data!AB406,IF(N403="tres_insatisfait",1,IF(N403="insatisfait",2,IF(N403="neutre",3,IF(N403="satisfait",4,IF(N403="tres_satisfait",5,""))))))</f>
        <v/>
      </c>
      <c r="P403" s="12">
        <f>IF(Raw_Data!AL406&lt;&gt;"",Raw_Data!AL406,Raw_Data!R406)</f>
        <v>0</v>
      </c>
      <c r="Q403" s="12">
        <f t="shared" si="56"/>
        <v>0</v>
      </c>
      <c r="R403" s="12" t="str">
        <f>IF(Raw_Data!AM406="","",Raw_Data!AM406)</f>
        <v/>
      </c>
      <c r="S403" s="12" t="str">
        <f t="shared" si="57"/>
        <v/>
      </c>
      <c r="T403" s="12" t="str">
        <f>IF(Raw_Data!AN406="","",Raw_Data!AN406)</f>
        <v/>
      </c>
      <c r="U403" s="12" t="str">
        <f t="shared" si="58"/>
        <v/>
      </c>
      <c r="V403" s="12" t="str">
        <f>IF(Raw_Data!AP406="","",IF(Raw_Data!AP406="oui",1,0))</f>
        <v/>
      </c>
      <c r="W403" s="12" t="str">
        <f>IF(Raw_Data!AQ406="","",IF(Raw_Data!AQ406="oui",1,0))</f>
        <v/>
      </c>
      <c r="X403" s="12" t="str">
        <f>IF(Raw_Data!AR406="","",IF(Raw_Data!AR406="oui",1,0))</f>
        <v/>
      </c>
      <c r="Y403" s="12" t="str">
        <f>IF(Raw_Data!AS406="","",IF(Raw_Data!AS406="oui",1,0))</f>
        <v/>
      </c>
      <c r="Z403" s="12" t="str">
        <f>IF(Raw_Data!V406="","",IF(Raw_Data!V406="oui",1,0))</f>
        <v/>
      </c>
      <c r="AA403" s="12" t="str">
        <f>IF(Raw_Data!W406="","",IF(Raw_Data!W406="oui",1,0))</f>
        <v/>
      </c>
      <c r="AB403" s="12" t="str">
        <f>IF(Raw_Data!Q406="","",IF(Raw_Data!Q406="oui",1,0))</f>
        <v/>
      </c>
      <c r="AC403" s="12">
        <f>Raw_Data!AF406</f>
        <v>0</v>
      </c>
      <c r="AD403" s="12" t="str">
        <f t="shared" si="59"/>
        <v/>
      </c>
      <c r="AE403" s="12" t="str">
        <f t="shared" si="60"/>
        <v/>
      </c>
      <c r="AF403" s="12" t="str">
        <f t="shared" si="61"/>
        <v/>
      </c>
      <c r="AG403" s="12">
        <f t="shared" si="62"/>
        <v>0</v>
      </c>
    </row>
    <row r="404" spans="1:33" ht="15" customHeight="1" x14ac:dyDescent="0.25">
      <c r="A404" s="12" t="str">
        <f>IF(Raw_Data!B407="","",Raw_Data!B407)</f>
        <v/>
      </c>
      <c r="B404" s="12">
        <f>IF(Raw_Data!X407&lt;&gt;"",Raw_Data!X407,Raw_Data!C407)</f>
        <v>0</v>
      </c>
      <c r="C404" s="12" t="str">
        <f>IF(Raw_Data!G407="","",Raw_Data!G407)</f>
        <v/>
      </c>
      <c r="D404" s="12" t="str">
        <f>IF(Raw_Data!H407="","",Raw_Data!H407)</f>
        <v/>
      </c>
      <c r="E404" s="12" t="str">
        <f>IF(Raw_Data!I407="","",Raw_Data!I407)</f>
        <v/>
      </c>
      <c r="F404" s="12" t="str">
        <f>IF(Raw_Data!J407="","",Raw_Data!J407)</f>
        <v/>
      </c>
      <c r="G404" s="12" t="str">
        <f>IF(Raw_Data!AH407&lt;&gt;"",Raw_Data!AH407,IF(Raw_Data!K407&lt;&gt;"",Raw_Data!K407,""))</f>
        <v/>
      </c>
      <c r="H404" s="12" t="str">
        <f>IF(Raw_Data!AI407&lt;&gt;"",Raw_Data!AI407,IF(Raw_Data!L407&lt;&gt;"",Raw_Data!L407,""))</f>
        <v/>
      </c>
      <c r="I404" s="12" t="str">
        <f t="shared" si="54"/>
        <v/>
      </c>
      <c r="J404" s="12" t="str">
        <f>IF(Raw_Data!M407="","",Raw_Data!M407)</f>
        <v/>
      </c>
      <c r="K404" s="12">
        <f>IF(Raw_Data!AJ407&lt;&gt;"",Raw_Data!AJ407,Raw_Data!N407)</f>
        <v>0</v>
      </c>
      <c r="L404" s="12">
        <f t="shared" si="55"/>
        <v>1</v>
      </c>
      <c r="M404" s="12" t="str">
        <f>IF(Raw_Data!AK407="","",Raw_Data!AK407)</f>
        <v/>
      </c>
      <c r="N404" s="12" t="str">
        <f>IF(Raw_Data!T407="","",Raw_Data!T407)</f>
        <v/>
      </c>
      <c r="O404" s="12" t="str">
        <f>IF(Raw_Data!AB407&lt;&gt;"",Raw_Data!AB407,IF(N404="tres_insatisfait",1,IF(N404="insatisfait",2,IF(N404="neutre",3,IF(N404="satisfait",4,IF(N404="tres_satisfait",5,""))))))</f>
        <v/>
      </c>
      <c r="P404" s="12">
        <f>IF(Raw_Data!AL407&lt;&gt;"",Raw_Data!AL407,Raw_Data!R407)</f>
        <v>0</v>
      </c>
      <c r="Q404" s="12">
        <f t="shared" si="56"/>
        <v>0</v>
      </c>
      <c r="R404" s="12" t="str">
        <f>IF(Raw_Data!AM407="","",Raw_Data!AM407)</f>
        <v/>
      </c>
      <c r="S404" s="12" t="str">
        <f t="shared" si="57"/>
        <v/>
      </c>
      <c r="T404" s="12" t="str">
        <f>IF(Raw_Data!AN407="","",Raw_Data!AN407)</f>
        <v/>
      </c>
      <c r="U404" s="12" t="str">
        <f t="shared" si="58"/>
        <v/>
      </c>
      <c r="V404" s="12" t="str">
        <f>IF(Raw_Data!AP407="","",IF(Raw_Data!AP407="oui",1,0))</f>
        <v/>
      </c>
      <c r="W404" s="12" t="str">
        <f>IF(Raw_Data!AQ407="","",IF(Raw_Data!AQ407="oui",1,0))</f>
        <v/>
      </c>
      <c r="X404" s="12" t="str">
        <f>IF(Raw_Data!AR407="","",IF(Raw_Data!AR407="oui",1,0))</f>
        <v/>
      </c>
      <c r="Y404" s="12" t="str">
        <f>IF(Raw_Data!AS407="","",IF(Raw_Data!AS407="oui",1,0))</f>
        <v/>
      </c>
      <c r="Z404" s="12" t="str">
        <f>IF(Raw_Data!V407="","",IF(Raw_Data!V407="oui",1,0))</f>
        <v/>
      </c>
      <c r="AA404" s="12" t="str">
        <f>IF(Raw_Data!W407="","",IF(Raw_Data!W407="oui",1,0))</f>
        <v/>
      </c>
      <c r="AB404" s="12" t="str">
        <f>IF(Raw_Data!Q407="","",IF(Raw_Data!Q407="oui",1,0))</f>
        <v/>
      </c>
      <c r="AC404" s="12">
        <f>Raw_Data!AF407</f>
        <v>0</v>
      </c>
      <c r="AD404" s="12" t="str">
        <f t="shared" si="59"/>
        <v/>
      </c>
      <c r="AE404" s="12" t="str">
        <f t="shared" si="60"/>
        <v/>
      </c>
      <c r="AF404" s="12" t="str">
        <f t="shared" si="61"/>
        <v/>
      </c>
      <c r="AG404" s="12">
        <f t="shared" si="62"/>
        <v>0</v>
      </c>
    </row>
    <row r="405" spans="1:33" ht="15" customHeight="1" x14ac:dyDescent="0.25">
      <c r="A405" s="12" t="str">
        <f>IF(Raw_Data!B408="","",Raw_Data!B408)</f>
        <v/>
      </c>
      <c r="B405" s="12">
        <f>IF(Raw_Data!X408&lt;&gt;"",Raw_Data!X408,Raw_Data!C408)</f>
        <v>0</v>
      </c>
      <c r="C405" s="12" t="str">
        <f>IF(Raw_Data!G408="","",Raw_Data!G408)</f>
        <v/>
      </c>
      <c r="D405" s="12" t="str">
        <f>IF(Raw_Data!H408="","",Raw_Data!H408)</f>
        <v/>
      </c>
      <c r="E405" s="12" t="str">
        <f>IF(Raw_Data!I408="","",Raw_Data!I408)</f>
        <v/>
      </c>
      <c r="F405" s="12" t="str">
        <f>IF(Raw_Data!J408="","",Raw_Data!J408)</f>
        <v/>
      </c>
      <c r="G405" s="12" t="str">
        <f>IF(Raw_Data!AH408&lt;&gt;"",Raw_Data!AH408,IF(Raw_Data!K408&lt;&gt;"",Raw_Data!K408,""))</f>
        <v/>
      </c>
      <c r="H405" s="12" t="str">
        <f>IF(Raw_Data!AI408&lt;&gt;"",Raw_Data!AI408,IF(Raw_Data!L408&lt;&gt;"",Raw_Data!L408,""))</f>
        <v/>
      </c>
      <c r="I405" s="12" t="str">
        <f t="shared" si="54"/>
        <v/>
      </c>
      <c r="J405" s="12" t="str">
        <f>IF(Raw_Data!M408="","",Raw_Data!M408)</f>
        <v/>
      </c>
      <c r="K405" s="12">
        <f>IF(Raw_Data!AJ408&lt;&gt;"",Raw_Data!AJ408,Raw_Data!N408)</f>
        <v>0</v>
      </c>
      <c r="L405" s="12">
        <f t="shared" si="55"/>
        <v>1</v>
      </c>
      <c r="M405" s="12" t="str">
        <f>IF(Raw_Data!AK408="","",Raw_Data!AK408)</f>
        <v/>
      </c>
      <c r="N405" s="12" t="str">
        <f>IF(Raw_Data!T408="","",Raw_Data!T408)</f>
        <v/>
      </c>
      <c r="O405" s="12" t="str">
        <f>IF(Raw_Data!AB408&lt;&gt;"",Raw_Data!AB408,IF(N405="tres_insatisfait",1,IF(N405="insatisfait",2,IF(N405="neutre",3,IF(N405="satisfait",4,IF(N405="tres_satisfait",5,""))))))</f>
        <v/>
      </c>
      <c r="P405" s="12">
        <f>IF(Raw_Data!AL408&lt;&gt;"",Raw_Data!AL408,Raw_Data!R408)</f>
        <v>0</v>
      </c>
      <c r="Q405" s="12">
        <f t="shared" si="56"/>
        <v>0</v>
      </c>
      <c r="R405" s="12" t="str">
        <f>IF(Raw_Data!AM408="","",Raw_Data!AM408)</f>
        <v/>
      </c>
      <c r="S405" s="12" t="str">
        <f t="shared" si="57"/>
        <v/>
      </c>
      <c r="T405" s="12" t="str">
        <f>IF(Raw_Data!AN408="","",Raw_Data!AN408)</f>
        <v/>
      </c>
      <c r="U405" s="12" t="str">
        <f t="shared" si="58"/>
        <v/>
      </c>
      <c r="V405" s="12" t="str">
        <f>IF(Raw_Data!AP408="","",IF(Raw_Data!AP408="oui",1,0))</f>
        <v/>
      </c>
      <c r="W405" s="12" t="str">
        <f>IF(Raw_Data!AQ408="","",IF(Raw_Data!AQ408="oui",1,0))</f>
        <v/>
      </c>
      <c r="X405" s="12" t="str">
        <f>IF(Raw_Data!AR408="","",IF(Raw_Data!AR408="oui",1,0))</f>
        <v/>
      </c>
      <c r="Y405" s="12" t="str">
        <f>IF(Raw_Data!AS408="","",IF(Raw_Data!AS408="oui",1,0))</f>
        <v/>
      </c>
      <c r="Z405" s="12" t="str">
        <f>IF(Raw_Data!V408="","",IF(Raw_Data!V408="oui",1,0))</f>
        <v/>
      </c>
      <c r="AA405" s="12" t="str">
        <f>IF(Raw_Data!W408="","",IF(Raw_Data!W408="oui",1,0))</f>
        <v/>
      </c>
      <c r="AB405" s="12" t="str">
        <f>IF(Raw_Data!Q408="","",IF(Raw_Data!Q408="oui",1,0))</f>
        <v/>
      </c>
      <c r="AC405" s="12">
        <f>Raw_Data!AF408</f>
        <v>0</v>
      </c>
      <c r="AD405" s="12" t="str">
        <f t="shared" si="59"/>
        <v/>
      </c>
      <c r="AE405" s="12" t="str">
        <f t="shared" si="60"/>
        <v/>
      </c>
      <c r="AF405" s="12" t="str">
        <f t="shared" si="61"/>
        <v/>
      </c>
      <c r="AG405" s="12">
        <f t="shared" si="62"/>
        <v>0</v>
      </c>
    </row>
    <row r="406" spans="1:33" ht="15" customHeight="1" x14ac:dyDescent="0.25">
      <c r="A406" s="12" t="str">
        <f>IF(Raw_Data!B409="","",Raw_Data!B409)</f>
        <v/>
      </c>
      <c r="B406" s="12">
        <f>IF(Raw_Data!X409&lt;&gt;"",Raw_Data!X409,Raw_Data!C409)</f>
        <v>0</v>
      </c>
      <c r="C406" s="12" t="str">
        <f>IF(Raw_Data!G409="","",Raw_Data!G409)</f>
        <v/>
      </c>
      <c r="D406" s="12" t="str">
        <f>IF(Raw_Data!H409="","",Raw_Data!H409)</f>
        <v/>
      </c>
      <c r="E406" s="12" t="str">
        <f>IF(Raw_Data!I409="","",Raw_Data!I409)</f>
        <v/>
      </c>
      <c r="F406" s="12" t="str">
        <f>IF(Raw_Data!J409="","",Raw_Data!J409)</f>
        <v/>
      </c>
      <c r="G406" s="12" t="str">
        <f>IF(Raw_Data!AH409&lt;&gt;"",Raw_Data!AH409,IF(Raw_Data!K409&lt;&gt;"",Raw_Data!K409,""))</f>
        <v/>
      </c>
      <c r="H406" s="12" t="str">
        <f>IF(Raw_Data!AI409&lt;&gt;"",Raw_Data!AI409,IF(Raw_Data!L409&lt;&gt;"",Raw_Data!L409,""))</f>
        <v/>
      </c>
      <c r="I406" s="12" t="str">
        <f t="shared" si="54"/>
        <v/>
      </c>
      <c r="J406" s="12" t="str">
        <f>IF(Raw_Data!M409="","",Raw_Data!M409)</f>
        <v/>
      </c>
      <c r="K406" s="12">
        <f>IF(Raw_Data!AJ409&lt;&gt;"",Raw_Data!AJ409,Raw_Data!N409)</f>
        <v>0</v>
      </c>
      <c r="L406" s="12">
        <f t="shared" si="55"/>
        <v>1</v>
      </c>
      <c r="M406" s="12" t="str">
        <f>IF(Raw_Data!AK409="","",Raw_Data!AK409)</f>
        <v/>
      </c>
      <c r="N406" s="12" t="str">
        <f>IF(Raw_Data!T409="","",Raw_Data!T409)</f>
        <v/>
      </c>
      <c r="O406" s="12" t="str">
        <f>IF(Raw_Data!AB409&lt;&gt;"",Raw_Data!AB409,IF(N406="tres_insatisfait",1,IF(N406="insatisfait",2,IF(N406="neutre",3,IF(N406="satisfait",4,IF(N406="tres_satisfait",5,""))))))</f>
        <v/>
      </c>
      <c r="P406" s="12">
        <f>IF(Raw_Data!AL409&lt;&gt;"",Raw_Data!AL409,Raw_Data!R409)</f>
        <v>0</v>
      </c>
      <c r="Q406" s="12">
        <f t="shared" si="56"/>
        <v>0</v>
      </c>
      <c r="R406" s="12" t="str">
        <f>IF(Raw_Data!AM409="","",Raw_Data!AM409)</f>
        <v/>
      </c>
      <c r="S406" s="12" t="str">
        <f t="shared" si="57"/>
        <v/>
      </c>
      <c r="T406" s="12" t="str">
        <f>IF(Raw_Data!AN409="","",Raw_Data!AN409)</f>
        <v/>
      </c>
      <c r="U406" s="12" t="str">
        <f t="shared" si="58"/>
        <v/>
      </c>
      <c r="V406" s="12" t="str">
        <f>IF(Raw_Data!AP409="","",IF(Raw_Data!AP409="oui",1,0))</f>
        <v/>
      </c>
      <c r="W406" s="12" t="str">
        <f>IF(Raw_Data!AQ409="","",IF(Raw_Data!AQ409="oui",1,0))</f>
        <v/>
      </c>
      <c r="X406" s="12" t="str">
        <f>IF(Raw_Data!AR409="","",IF(Raw_Data!AR409="oui",1,0))</f>
        <v/>
      </c>
      <c r="Y406" s="12" t="str">
        <f>IF(Raw_Data!AS409="","",IF(Raw_Data!AS409="oui",1,0))</f>
        <v/>
      </c>
      <c r="Z406" s="12" t="str">
        <f>IF(Raw_Data!V409="","",IF(Raw_Data!V409="oui",1,0))</f>
        <v/>
      </c>
      <c r="AA406" s="12" t="str">
        <f>IF(Raw_Data!W409="","",IF(Raw_Data!W409="oui",1,0))</f>
        <v/>
      </c>
      <c r="AB406" s="12" t="str">
        <f>IF(Raw_Data!Q409="","",IF(Raw_Data!Q409="oui",1,0))</f>
        <v/>
      </c>
      <c r="AC406" s="12">
        <f>Raw_Data!AF409</f>
        <v>0</v>
      </c>
      <c r="AD406" s="12" t="str">
        <f t="shared" si="59"/>
        <v/>
      </c>
      <c r="AE406" s="12" t="str">
        <f t="shared" si="60"/>
        <v/>
      </c>
      <c r="AF406" s="12" t="str">
        <f t="shared" si="61"/>
        <v/>
      </c>
      <c r="AG406" s="12">
        <f t="shared" si="62"/>
        <v>0</v>
      </c>
    </row>
    <row r="407" spans="1:33" ht="15" customHeight="1" x14ac:dyDescent="0.25">
      <c r="A407" s="12" t="str">
        <f>IF(Raw_Data!B410="","",Raw_Data!B410)</f>
        <v/>
      </c>
      <c r="B407" s="12">
        <f>IF(Raw_Data!X410&lt;&gt;"",Raw_Data!X410,Raw_Data!C410)</f>
        <v>0</v>
      </c>
      <c r="C407" s="12" t="str">
        <f>IF(Raw_Data!G410="","",Raw_Data!G410)</f>
        <v/>
      </c>
      <c r="D407" s="12" t="str">
        <f>IF(Raw_Data!H410="","",Raw_Data!H410)</f>
        <v/>
      </c>
      <c r="E407" s="12" t="str">
        <f>IF(Raw_Data!I410="","",Raw_Data!I410)</f>
        <v/>
      </c>
      <c r="F407" s="12" t="str">
        <f>IF(Raw_Data!J410="","",Raw_Data!J410)</f>
        <v/>
      </c>
      <c r="G407" s="12" t="str">
        <f>IF(Raw_Data!AH410&lt;&gt;"",Raw_Data!AH410,IF(Raw_Data!K410&lt;&gt;"",Raw_Data!K410,""))</f>
        <v/>
      </c>
      <c r="H407" s="12" t="str">
        <f>IF(Raw_Data!AI410&lt;&gt;"",Raw_Data!AI410,IF(Raw_Data!L410&lt;&gt;"",Raw_Data!L410,""))</f>
        <v/>
      </c>
      <c r="I407" s="12" t="str">
        <f t="shared" si="54"/>
        <v/>
      </c>
      <c r="J407" s="12" t="str">
        <f>IF(Raw_Data!M410="","",Raw_Data!M410)</f>
        <v/>
      </c>
      <c r="K407" s="12">
        <f>IF(Raw_Data!AJ410&lt;&gt;"",Raw_Data!AJ410,Raw_Data!N410)</f>
        <v>0</v>
      </c>
      <c r="L407" s="12">
        <f t="shared" si="55"/>
        <v>1</v>
      </c>
      <c r="M407" s="12" t="str">
        <f>IF(Raw_Data!AK410="","",Raw_Data!AK410)</f>
        <v/>
      </c>
      <c r="N407" s="12" t="str">
        <f>IF(Raw_Data!T410="","",Raw_Data!T410)</f>
        <v/>
      </c>
      <c r="O407" s="12" t="str">
        <f>IF(Raw_Data!AB410&lt;&gt;"",Raw_Data!AB410,IF(N407="tres_insatisfait",1,IF(N407="insatisfait",2,IF(N407="neutre",3,IF(N407="satisfait",4,IF(N407="tres_satisfait",5,""))))))</f>
        <v/>
      </c>
      <c r="P407" s="12">
        <f>IF(Raw_Data!AL410&lt;&gt;"",Raw_Data!AL410,Raw_Data!R410)</f>
        <v>0</v>
      </c>
      <c r="Q407" s="12">
        <f t="shared" si="56"/>
        <v>0</v>
      </c>
      <c r="R407" s="12" t="str">
        <f>IF(Raw_Data!AM410="","",Raw_Data!AM410)</f>
        <v/>
      </c>
      <c r="S407" s="12" t="str">
        <f t="shared" si="57"/>
        <v/>
      </c>
      <c r="T407" s="12" t="str">
        <f>IF(Raw_Data!AN410="","",Raw_Data!AN410)</f>
        <v/>
      </c>
      <c r="U407" s="12" t="str">
        <f t="shared" si="58"/>
        <v/>
      </c>
      <c r="V407" s="12" t="str">
        <f>IF(Raw_Data!AP410="","",IF(Raw_Data!AP410="oui",1,0))</f>
        <v/>
      </c>
      <c r="W407" s="12" t="str">
        <f>IF(Raw_Data!AQ410="","",IF(Raw_Data!AQ410="oui",1,0))</f>
        <v/>
      </c>
      <c r="X407" s="12" t="str">
        <f>IF(Raw_Data!AR410="","",IF(Raw_Data!AR410="oui",1,0))</f>
        <v/>
      </c>
      <c r="Y407" s="12" t="str">
        <f>IF(Raw_Data!AS410="","",IF(Raw_Data!AS410="oui",1,0))</f>
        <v/>
      </c>
      <c r="Z407" s="12" t="str">
        <f>IF(Raw_Data!V410="","",IF(Raw_Data!V410="oui",1,0))</f>
        <v/>
      </c>
      <c r="AA407" s="12" t="str">
        <f>IF(Raw_Data!W410="","",IF(Raw_Data!W410="oui",1,0))</f>
        <v/>
      </c>
      <c r="AB407" s="12" t="str">
        <f>IF(Raw_Data!Q410="","",IF(Raw_Data!Q410="oui",1,0))</f>
        <v/>
      </c>
      <c r="AC407" s="12">
        <f>Raw_Data!AF410</f>
        <v>0</v>
      </c>
      <c r="AD407" s="12" t="str">
        <f t="shared" si="59"/>
        <v/>
      </c>
      <c r="AE407" s="12" t="str">
        <f t="shared" si="60"/>
        <v/>
      </c>
      <c r="AF407" s="12" t="str">
        <f t="shared" si="61"/>
        <v/>
      </c>
      <c r="AG407" s="12">
        <f t="shared" si="62"/>
        <v>0</v>
      </c>
    </row>
    <row r="408" spans="1:33" ht="15" customHeight="1" x14ac:dyDescent="0.25">
      <c r="A408" s="12" t="str">
        <f>IF(Raw_Data!B411="","",Raw_Data!B411)</f>
        <v/>
      </c>
      <c r="B408" s="12">
        <f>IF(Raw_Data!X411&lt;&gt;"",Raw_Data!X411,Raw_Data!C411)</f>
        <v>0</v>
      </c>
      <c r="C408" s="12" t="str">
        <f>IF(Raw_Data!G411="","",Raw_Data!G411)</f>
        <v/>
      </c>
      <c r="D408" s="12" t="str">
        <f>IF(Raw_Data!H411="","",Raw_Data!H411)</f>
        <v/>
      </c>
      <c r="E408" s="12" t="str">
        <f>IF(Raw_Data!I411="","",Raw_Data!I411)</f>
        <v/>
      </c>
      <c r="F408" s="12" t="str">
        <f>IF(Raw_Data!J411="","",Raw_Data!J411)</f>
        <v/>
      </c>
      <c r="G408" s="12" t="str">
        <f>IF(Raw_Data!AH411&lt;&gt;"",Raw_Data!AH411,IF(Raw_Data!K411&lt;&gt;"",Raw_Data!K411,""))</f>
        <v/>
      </c>
      <c r="H408" s="12" t="str">
        <f>IF(Raw_Data!AI411&lt;&gt;"",Raw_Data!AI411,IF(Raw_Data!L411&lt;&gt;"",Raw_Data!L411,""))</f>
        <v/>
      </c>
      <c r="I408" s="12" t="str">
        <f t="shared" si="54"/>
        <v/>
      </c>
      <c r="J408" s="12" t="str">
        <f>IF(Raw_Data!M411="","",Raw_Data!M411)</f>
        <v/>
      </c>
      <c r="K408" s="12">
        <f>IF(Raw_Data!AJ411&lt;&gt;"",Raw_Data!AJ411,Raw_Data!N411)</f>
        <v>0</v>
      </c>
      <c r="L408" s="12">
        <f t="shared" si="55"/>
        <v>1</v>
      </c>
      <c r="M408" s="12" t="str">
        <f>IF(Raw_Data!AK411="","",Raw_Data!AK411)</f>
        <v/>
      </c>
      <c r="N408" s="12" t="str">
        <f>IF(Raw_Data!T411="","",Raw_Data!T411)</f>
        <v/>
      </c>
      <c r="O408" s="12" t="str">
        <f>IF(Raw_Data!AB411&lt;&gt;"",Raw_Data!AB411,IF(N408="tres_insatisfait",1,IF(N408="insatisfait",2,IF(N408="neutre",3,IF(N408="satisfait",4,IF(N408="tres_satisfait",5,""))))))</f>
        <v/>
      </c>
      <c r="P408" s="12">
        <f>IF(Raw_Data!AL411&lt;&gt;"",Raw_Data!AL411,Raw_Data!R411)</f>
        <v>0</v>
      </c>
      <c r="Q408" s="12">
        <f t="shared" si="56"/>
        <v>0</v>
      </c>
      <c r="R408" s="12" t="str">
        <f>IF(Raw_Data!AM411="","",Raw_Data!AM411)</f>
        <v/>
      </c>
      <c r="S408" s="12" t="str">
        <f t="shared" si="57"/>
        <v/>
      </c>
      <c r="T408" s="12" t="str">
        <f>IF(Raw_Data!AN411="","",Raw_Data!AN411)</f>
        <v/>
      </c>
      <c r="U408" s="12" t="str">
        <f t="shared" si="58"/>
        <v/>
      </c>
      <c r="V408" s="12" t="str">
        <f>IF(Raw_Data!AP411="","",IF(Raw_Data!AP411="oui",1,0))</f>
        <v/>
      </c>
      <c r="W408" s="12" t="str">
        <f>IF(Raw_Data!AQ411="","",IF(Raw_Data!AQ411="oui",1,0))</f>
        <v/>
      </c>
      <c r="X408" s="12" t="str">
        <f>IF(Raw_Data!AR411="","",IF(Raw_Data!AR411="oui",1,0))</f>
        <v/>
      </c>
      <c r="Y408" s="12" t="str">
        <f>IF(Raw_Data!AS411="","",IF(Raw_Data!AS411="oui",1,0))</f>
        <v/>
      </c>
      <c r="Z408" s="12" t="str">
        <f>IF(Raw_Data!V411="","",IF(Raw_Data!V411="oui",1,0))</f>
        <v/>
      </c>
      <c r="AA408" s="12" t="str">
        <f>IF(Raw_Data!W411="","",IF(Raw_Data!W411="oui",1,0))</f>
        <v/>
      </c>
      <c r="AB408" s="12" t="str">
        <f>IF(Raw_Data!Q411="","",IF(Raw_Data!Q411="oui",1,0))</f>
        <v/>
      </c>
      <c r="AC408" s="12">
        <f>Raw_Data!AF411</f>
        <v>0</v>
      </c>
      <c r="AD408" s="12" t="str">
        <f t="shared" si="59"/>
        <v/>
      </c>
      <c r="AE408" s="12" t="str">
        <f t="shared" si="60"/>
        <v/>
      </c>
      <c r="AF408" s="12" t="str">
        <f t="shared" si="61"/>
        <v/>
      </c>
      <c r="AG408" s="12">
        <f t="shared" si="62"/>
        <v>0</v>
      </c>
    </row>
    <row r="409" spans="1:33" ht="15" customHeight="1" x14ac:dyDescent="0.25">
      <c r="A409" s="12" t="str">
        <f>IF(Raw_Data!B412="","",Raw_Data!B412)</f>
        <v/>
      </c>
      <c r="B409" s="12">
        <f>IF(Raw_Data!X412&lt;&gt;"",Raw_Data!X412,Raw_Data!C412)</f>
        <v>0</v>
      </c>
      <c r="C409" s="12" t="str">
        <f>IF(Raw_Data!G412="","",Raw_Data!G412)</f>
        <v/>
      </c>
      <c r="D409" s="12" t="str">
        <f>IF(Raw_Data!H412="","",Raw_Data!H412)</f>
        <v/>
      </c>
      <c r="E409" s="12" t="str">
        <f>IF(Raw_Data!I412="","",Raw_Data!I412)</f>
        <v/>
      </c>
      <c r="F409" s="12" t="str">
        <f>IF(Raw_Data!J412="","",Raw_Data!J412)</f>
        <v/>
      </c>
      <c r="G409" s="12" t="str">
        <f>IF(Raw_Data!AH412&lt;&gt;"",Raw_Data!AH412,IF(Raw_Data!K412&lt;&gt;"",Raw_Data!K412,""))</f>
        <v/>
      </c>
      <c r="H409" s="12" t="str">
        <f>IF(Raw_Data!AI412&lt;&gt;"",Raw_Data!AI412,IF(Raw_Data!L412&lt;&gt;"",Raw_Data!L412,""))</f>
        <v/>
      </c>
      <c r="I409" s="12" t="str">
        <f t="shared" si="54"/>
        <v/>
      </c>
      <c r="J409" s="12" t="str">
        <f>IF(Raw_Data!M412="","",Raw_Data!M412)</f>
        <v/>
      </c>
      <c r="K409" s="12">
        <f>IF(Raw_Data!AJ412&lt;&gt;"",Raw_Data!AJ412,Raw_Data!N412)</f>
        <v>0</v>
      </c>
      <c r="L409" s="12">
        <f t="shared" si="55"/>
        <v>1</v>
      </c>
      <c r="M409" s="12" t="str">
        <f>IF(Raw_Data!AK412="","",Raw_Data!AK412)</f>
        <v/>
      </c>
      <c r="N409" s="12" t="str">
        <f>IF(Raw_Data!T412="","",Raw_Data!T412)</f>
        <v/>
      </c>
      <c r="O409" s="12" t="str">
        <f>IF(Raw_Data!AB412&lt;&gt;"",Raw_Data!AB412,IF(N409="tres_insatisfait",1,IF(N409="insatisfait",2,IF(N409="neutre",3,IF(N409="satisfait",4,IF(N409="tres_satisfait",5,""))))))</f>
        <v/>
      </c>
      <c r="P409" s="12">
        <f>IF(Raw_Data!AL412&lt;&gt;"",Raw_Data!AL412,Raw_Data!R412)</f>
        <v>0</v>
      </c>
      <c r="Q409" s="12">
        <f t="shared" si="56"/>
        <v>0</v>
      </c>
      <c r="R409" s="12" t="str">
        <f>IF(Raw_Data!AM412="","",Raw_Data!AM412)</f>
        <v/>
      </c>
      <c r="S409" s="12" t="str">
        <f t="shared" si="57"/>
        <v/>
      </c>
      <c r="T409" s="12" t="str">
        <f>IF(Raw_Data!AN412="","",Raw_Data!AN412)</f>
        <v/>
      </c>
      <c r="U409" s="12" t="str">
        <f t="shared" si="58"/>
        <v/>
      </c>
      <c r="V409" s="12" t="str">
        <f>IF(Raw_Data!AP412="","",IF(Raw_Data!AP412="oui",1,0))</f>
        <v/>
      </c>
      <c r="W409" s="12" t="str">
        <f>IF(Raw_Data!AQ412="","",IF(Raw_Data!AQ412="oui",1,0))</f>
        <v/>
      </c>
      <c r="X409" s="12" t="str">
        <f>IF(Raw_Data!AR412="","",IF(Raw_Data!AR412="oui",1,0))</f>
        <v/>
      </c>
      <c r="Y409" s="12" t="str">
        <f>IF(Raw_Data!AS412="","",IF(Raw_Data!AS412="oui",1,0))</f>
        <v/>
      </c>
      <c r="Z409" s="12" t="str">
        <f>IF(Raw_Data!V412="","",IF(Raw_Data!V412="oui",1,0))</f>
        <v/>
      </c>
      <c r="AA409" s="12" t="str">
        <f>IF(Raw_Data!W412="","",IF(Raw_Data!W412="oui",1,0))</f>
        <v/>
      </c>
      <c r="AB409" s="12" t="str">
        <f>IF(Raw_Data!Q412="","",IF(Raw_Data!Q412="oui",1,0))</f>
        <v/>
      </c>
      <c r="AC409" s="12">
        <f>Raw_Data!AF412</f>
        <v>0</v>
      </c>
      <c r="AD409" s="12" t="str">
        <f t="shared" si="59"/>
        <v/>
      </c>
      <c r="AE409" s="12" t="str">
        <f t="shared" si="60"/>
        <v/>
      </c>
      <c r="AF409" s="12" t="str">
        <f t="shared" si="61"/>
        <v/>
      </c>
      <c r="AG409" s="12">
        <f t="shared" si="62"/>
        <v>0</v>
      </c>
    </row>
    <row r="410" spans="1:33" ht="15" customHeight="1" x14ac:dyDescent="0.25">
      <c r="A410" s="12" t="str">
        <f>IF(Raw_Data!B413="","",Raw_Data!B413)</f>
        <v/>
      </c>
      <c r="B410" s="12">
        <f>IF(Raw_Data!X413&lt;&gt;"",Raw_Data!X413,Raw_Data!C413)</f>
        <v>0</v>
      </c>
      <c r="C410" s="12" t="str">
        <f>IF(Raw_Data!G413="","",Raw_Data!G413)</f>
        <v/>
      </c>
      <c r="D410" s="12" t="str">
        <f>IF(Raw_Data!H413="","",Raw_Data!H413)</f>
        <v/>
      </c>
      <c r="E410" s="12" t="str">
        <f>IF(Raw_Data!I413="","",Raw_Data!I413)</f>
        <v/>
      </c>
      <c r="F410" s="12" t="str">
        <f>IF(Raw_Data!J413="","",Raw_Data!J413)</f>
        <v/>
      </c>
      <c r="G410" s="12" t="str">
        <f>IF(Raw_Data!AH413&lt;&gt;"",Raw_Data!AH413,IF(Raw_Data!K413&lt;&gt;"",Raw_Data!K413,""))</f>
        <v/>
      </c>
      <c r="H410" s="12" t="str">
        <f>IF(Raw_Data!AI413&lt;&gt;"",Raw_Data!AI413,IF(Raw_Data!L413&lt;&gt;"",Raw_Data!L413,""))</f>
        <v/>
      </c>
      <c r="I410" s="12" t="str">
        <f t="shared" si="54"/>
        <v/>
      </c>
      <c r="J410" s="12" t="str">
        <f>IF(Raw_Data!M413="","",Raw_Data!M413)</f>
        <v/>
      </c>
      <c r="K410" s="12">
        <f>IF(Raw_Data!AJ413&lt;&gt;"",Raw_Data!AJ413,Raw_Data!N413)</f>
        <v>0</v>
      </c>
      <c r="L410" s="12">
        <f t="shared" si="55"/>
        <v>1</v>
      </c>
      <c r="M410" s="12" t="str">
        <f>IF(Raw_Data!AK413="","",Raw_Data!AK413)</f>
        <v/>
      </c>
      <c r="N410" s="12" t="str">
        <f>IF(Raw_Data!T413="","",Raw_Data!T413)</f>
        <v/>
      </c>
      <c r="O410" s="12" t="str">
        <f>IF(Raw_Data!AB413&lt;&gt;"",Raw_Data!AB413,IF(N410="tres_insatisfait",1,IF(N410="insatisfait",2,IF(N410="neutre",3,IF(N410="satisfait",4,IF(N410="tres_satisfait",5,""))))))</f>
        <v/>
      </c>
      <c r="P410" s="12">
        <f>IF(Raw_Data!AL413&lt;&gt;"",Raw_Data!AL413,Raw_Data!R413)</f>
        <v>0</v>
      </c>
      <c r="Q410" s="12">
        <f t="shared" si="56"/>
        <v>0</v>
      </c>
      <c r="R410" s="12" t="str">
        <f>IF(Raw_Data!AM413="","",Raw_Data!AM413)</f>
        <v/>
      </c>
      <c r="S410" s="12" t="str">
        <f t="shared" si="57"/>
        <v/>
      </c>
      <c r="T410" s="12" t="str">
        <f>IF(Raw_Data!AN413="","",Raw_Data!AN413)</f>
        <v/>
      </c>
      <c r="U410" s="12" t="str">
        <f t="shared" si="58"/>
        <v/>
      </c>
      <c r="V410" s="12" t="str">
        <f>IF(Raw_Data!AP413="","",IF(Raw_Data!AP413="oui",1,0))</f>
        <v/>
      </c>
      <c r="W410" s="12" t="str">
        <f>IF(Raw_Data!AQ413="","",IF(Raw_Data!AQ413="oui",1,0))</f>
        <v/>
      </c>
      <c r="X410" s="12" t="str">
        <f>IF(Raw_Data!AR413="","",IF(Raw_Data!AR413="oui",1,0))</f>
        <v/>
      </c>
      <c r="Y410" s="12" t="str">
        <f>IF(Raw_Data!AS413="","",IF(Raw_Data!AS413="oui",1,0))</f>
        <v/>
      </c>
      <c r="Z410" s="12" t="str">
        <f>IF(Raw_Data!V413="","",IF(Raw_Data!V413="oui",1,0))</f>
        <v/>
      </c>
      <c r="AA410" s="12" t="str">
        <f>IF(Raw_Data!W413="","",IF(Raw_Data!W413="oui",1,0))</f>
        <v/>
      </c>
      <c r="AB410" s="12" t="str">
        <f>IF(Raw_Data!Q413="","",IF(Raw_Data!Q413="oui",1,0))</f>
        <v/>
      </c>
      <c r="AC410" s="12">
        <f>Raw_Data!AF413</f>
        <v>0</v>
      </c>
      <c r="AD410" s="12" t="str">
        <f t="shared" si="59"/>
        <v/>
      </c>
      <c r="AE410" s="12" t="str">
        <f t="shared" si="60"/>
        <v/>
      </c>
      <c r="AF410" s="12" t="str">
        <f t="shared" si="61"/>
        <v/>
      </c>
      <c r="AG410" s="12">
        <f t="shared" si="62"/>
        <v>0</v>
      </c>
    </row>
    <row r="411" spans="1:33" ht="15" customHeight="1" x14ac:dyDescent="0.25">
      <c r="A411" s="12" t="str">
        <f>IF(Raw_Data!B414="","",Raw_Data!B414)</f>
        <v/>
      </c>
      <c r="B411" s="12">
        <f>IF(Raw_Data!X414&lt;&gt;"",Raw_Data!X414,Raw_Data!C414)</f>
        <v>0</v>
      </c>
      <c r="C411" s="12" t="str">
        <f>IF(Raw_Data!G414="","",Raw_Data!G414)</f>
        <v/>
      </c>
      <c r="D411" s="12" t="str">
        <f>IF(Raw_Data!H414="","",Raw_Data!H414)</f>
        <v/>
      </c>
      <c r="E411" s="12" t="str">
        <f>IF(Raw_Data!I414="","",Raw_Data!I414)</f>
        <v/>
      </c>
      <c r="F411" s="12" t="str">
        <f>IF(Raw_Data!J414="","",Raw_Data!J414)</f>
        <v/>
      </c>
      <c r="G411" s="12" t="str">
        <f>IF(Raw_Data!AH414&lt;&gt;"",Raw_Data!AH414,IF(Raw_Data!K414&lt;&gt;"",Raw_Data!K414,""))</f>
        <v/>
      </c>
      <c r="H411" s="12" t="str">
        <f>IF(Raw_Data!AI414&lt;&gt;"",Raw_Data!AI414,IF(Raw_Data!L414&lt;&gt;"",Raw_Data!L414,""))</f>
        <v/>
      </c>
      <c r="I411" s="12" t="str">
        <f t="shared" si="54"/>
        <v/>
      </c>
      <c r="J411" s="12" t="str">
        <f>IF(Raw_Data!M414="","",Raw_Data!M414)</f>
        <v/>
      </c>
      <c r="K411" s="12">
        <f>IF(Raw_Data!AJ414&lt;&gt;"",Raw_Data!AJ414,Raw_Data!N414)</f>
        <v>0</v>
      </c>
      <c r="L411" s="12">
        <f t="shared" si="55"/>
        <v>1</v>
      </c>
      <c r="M411" s="12" t="str">
        <f>IF(Raw_Data!AK414="","",Raw_Data!AK414)</f>
        <v/>
      </c>
      <c r="N411" s="12" t="str">
        <f>IF(Raw_Data!T414="","",Raw_Data!T414)</f>
        <v/>
      </c>
      <c r="O411" s="12" t="str">
        <f>IF(Raw_Data!AB414&lt;&gt;"",Raw_Data!AB414,IF(N411="tres_insatisfait",1,IF(N411="insatisfait",2,IF(N411="neutre",3,IF(N411="satisfait",4,IF(N411="tres_satisfait",5,""))))))</f>
        <v/>
      </c>
      <c r="P411" s="12">
        <f>IF(Raw_Data!AL414&lt;&gt;"",Raw_Data!AL414,Raw_Data!R414)</f>
        <v>0</v>
      </c>
      <c r="Q411" s="12">
        <f t="shared" si="56"/>
        <v>0</v>
      </c>
      <c r="R411" s="12" t="str">
        <f>IF(Raw_Data!AM414="","",Raw_Data!AM414)</f>
        <v/>
      </c>
      <c r="S411" s="12" t="str">
        <f t="shared" si="57"/>
        <v/>
      </c>
      <c r="T411" s="12" t="str">
        <f>IF(Raw_Data!AN414="","",Raw_Data!AN414)</f>
        <v/>
      </c>
      <c r="U411" s="12" t="str">
        <f t="shared" si="58"/>
        <v/>
      </c>
      <c r="V411" s="12" t="str">
        <f>IF(Raw_Data!AP414="","",IF(Raw_Data!AP414="oui",1,0))</f>
        <v/>
      </c>
      <c r="W411" s="12" t="str">
        <f>IF(Raw_Data!AQ414="","",IF(Raw_Data!AQ414="oui",1,0))</f>
        <v/>
      </c>
      <c r="X411" s="12" t="str">
        <f>IF(Raw_Data!AR414="","",IF(Raw_Data!AR414="oui",1,0))</f>
        <v/>
      </c>
      <c r="Y411" s="12" t="str">
        <f>IF(Raw_Data!AS414="","",IF(Raw_Data!AS414="oui",1,0))</f>
        <v/>
      </c>
      <c r="Z411" s="12" t="str">
        <f>IF(Raw_Data!V414="","",IF(Raw_Data!V414="oui",1,0))</f>
        <v/>
      </c>
      <c r="AA411" s="12" t="str">
        <f>IF(Raw_Data!W414="","",IF(Raw_Data!W414="oui",1,0))</f>
        <v/>
      </c>
      <c r="AB411" s="12" t="str">
        <f>IF(Raw_Data!Q414="","",IF(Raw_Data!Q414="oui",1,0))</f>
        <v/>
      </c>
      <c r="AC411" s="12">
        <f>Raw_Data!AF414</f>
        <v>0</v>
      </c>
      <c r="AD411" s="12" t="str">
        <f t="shared" si="59"/>
        <v/>
      </c>
      <c r="AE411" s="12" t="str">
        <f t="shared" si="60"/>
        <v/>
      </c>
      <c r="AF411" s="12" t="str">
        <f t="shared" si="61"/>
        <v/>
      </c>
      <c r="AG411" s="12">
        <f t="shared" si="62"/>
        <v>0</v>
      </c>
    </row>
    <row r="412" spans="1:33" ht="15" customHeight="1" x14ac:dyDescent="0.25">
      <c r="A412" s="12" t="str">
        <f>IF(Raw_Data!B415="","",Raw_Data!B415)</f>
        <v/>
      </c>
      <c r="B412" s="12">
        <f>IF(Raw_Data!X415&lt;&gt;"",Raw_Data!X415,Raw_Data!C415)</f>
        <v>0</v>
      </c>
      <c r="C412" s="12" t="str">
        <f>IF(Raw_Data!G415="","",Raw_Data!G415)</f>
        <v/>
      </c>
      <c r="D412" s="12" t="str">
        <f>IF(Raw_Data!H415="","",Raw_Data!H415)</f>
        <v/>
      </c>
      <c r="E412" s="12" t="str">
        <f>IF(Raw_Data!I415="","",Raw_Data!I415)</f>
        <v/>
      </c>
      <c r="F412" s="12" t="str">
        <f>IF(Raw_Data!J415="","",Raw_Data!J415)</f>
        <v/>
      </c>
      <c r="G412" s="12" t="str">
        <f>IF(Raw_Data!AH415&lt;&gt;"",Raw_Data!AH415,IF(Raw_Data!K415&lt;&gt;"",Raw_Data!K415,""))</f>
        <v/>
      </c>
      <c r="H412" s="12" t="str">
        <f>IF(Raw_Data!AI415&lt;&gt;"",Raw_Data!AI415,IF(Raw_Data!L415&lt;&gt;"",Raw_Data!L415,""))</f>
        <v/>
      </c>
      <c r="I412" s="12" t="str">
        <f t="shared" si="54"/>
        <v/>
      </c>
      <c r="J412" s="12" t="str">
        <f>IF(Raw_Data!M415="","",Raw_Data!M415)</f>
        <v/>
      </c>
      <c r="K412" s="12">
        <f>IF(Raw_Data!AJ415&lt;&gt;"",Raw_Data!AJ415,Raw_Data!N415)</f>
        <v>0</v>
      </c>
      <c r="L412" s="12">
        <f t="shared" si="55"/>
        <v>1</v>
      </c>
      <c r="M412" s="12" t="str">
        <f>IF(Raw_Data!AK415="","",Raw_Data!AK415)</f>
        <v/>
      </c>
      <c r="N412" s="12" t="str">
        <f>IF(Raw_Data!T415="","",Raw_Data!T415)</f>
        <v/>
      </c>
      <c r="O412" s="12" t="str">
        <f>IF(Raw_Data!AB415&lt;&gt;"",Raw_Data!AB415,IF(N412="tres_insatisfait",1,IF(N412="insatisfait",2,IF(N412="neutre",3,IF(N412="satisfait",4,IF(N412="tres_satisfait",5,""))))))</f>
        <v/>
      </c>
      <c r="P412" s="12">
        <f>IF(Raw_Data!AL415&lt;&gt;"",Raw_Data!AL415,Raw_Data!R415)</f>
        <v>0</v>
      </c>
      <c r="Q412" s="12">
        <f t="shared" si="56"/>
        <v>0</v>
      </c>
      <c r="R412" s="12" t="str">
        <f>IF(Raw_Data!AM415="","",Raw_Data!AM415)</f>
        <v/>
      </c>
      <c r="S412" s="12" t="str">
        <f t="shared" si="57"/>
        <v/>
      </c>
      <c r="T412" s="12" t="str">
        <f>IF(Raw_Data!AN415="","",Raw_Data!AN415)</f>
        <v/>
      </c>
      <c r="U412" s="12" t="str">
        <f t="shared" si="58"/>
        <v/>
      </c>
      <c r="V412" s="12" t="str">
        <f>IF(Raw_Data!AP415="","",IF(Raw_Data!AP415="oui",1,0))</f>
        <v/>
      </c>
      <c r="W412" s="12" t="str">
        <f>IF(Raw_Data!AQ415="","",IF(Raw_Data!AQ415="oui",1,0))</f>
        <v/>
      </c>
      <c r="X412" s="12" t="str">
        <f>IF(Raw_Data!AR415="","",IF(Raw_Data!AR415="oui",1,0))</f>
        <v/>
      </c>
      <c r="Y412" s="12" t="str">
        <f>IF(Raw_Data!AS415="","",IF(Raw_Data!AS415="oui",1,0))</f>
        <v/>
      </c>
      <c r="Z412" s="12" t="str">
        <f>IF(Raw_Data!V415="","",IF(Raw_Data!V415="oui",1,0))</f>
        <v/>
      </c>
      <c r="AA412" s="12" t="str">
        <f>IF(Raw_Data!W415="","",IF(Raw_Data!W415="oui",1,0))</f>
        <v/>
      </c>
      <c r="AB412" s="12" t="str">
        <f>IF(Raw_Data!Q415="","",IF(Raw_Data!Q415="oui",1,0))</f>
        <v/>
      </c>
      <c r="AC412" s="12">
        <f>Raw_Data!AF415</f>
        <v>0</v>
      </c>
      <c r="AD412" s="12" t="str">
        <f t="shared" si="59"/>
        <v/>
      </c>
      <c r="AE412" s="12" t="str">
        <f t="shared" si="60"/>
        <v/>
      </c>
      <c r="AF412" s="12" t="str">
        <f t="shared" si="61"/>
        <v/>
      </c>
      <c r="AG412" s="12">
        <f t="shared" si="62"/>
        <v>0</v>
      </c>
    </row>
    <row r="413" spans="1:33" ht="15" customHeight="1" x14ac:dyDescent="0.25">
      <c r="A413" s="12" t="str">
        <f>IF(Raw_Data!B416="","",Raw_Data!B416)</f>
        <v/>
      </c>
      <c r="B413" s="12">
        <f>IF(Raw_Data!X416&lt;&gt;"",Raw_Data!X416,Raw_Data!C416)</f>
        <v>0</v>
      </c>
      <c r="C413" s="12" t="str">
        <f>IF(Raw_Data!G416="","",Raw_Data!G416)</f>
        <v/>
      </c>
      <c r="D413" s="12" t="str">
        <f>IF(Raw_Data!H416="","",Raw_Data!H416)</f>
        <v/>
      </c>
      <c r="E413" s="12" t="str">
        <f>IF(Raw_Data!I416="","",Raw_Data!I416)</f>
        <v/>
      </c>
      <c r="F413" s="12" t="str">
        <f>IF(Raw_Data!J416="","",Raw_Data!J416)</f>
        <v/>
      </c>
      <c r="G413" s="12" t="str">
        <f>IF(Raw_Data!AH416&lt;&gt;"",Raw_Data!AH416,IF(Raw_Data!K416&lt;&gt;"",Raw_Data!K416,""))</f>
        <v/>
      </c>
      <c r="H413" s="12" t="str">
        <f>IF(Raw_Data!AI416&lt;&gt;"",Raw_Data!AI416,IF(Raw_Data!L416&lt;&gt;"",Raw_Data!L416,""))</f>
        <v/>
      </c>
      <c r="I413" s="12" t="str">
        <f t="shared" si="54"/>
        <v/>
      </c>
      <c r="J413" s="12" t="str">
        <f>IF(Raw_Data!M416="","",Raw_Data!M416)</f>
        <v/>
      </c>
      <c r="K413" s="12">
        <f>IF(Raw_Data!AJ416&lt;&gt;"",Raw_Data!AJ416,Raw_Data!N416)</f>
        <v>0</v>
      </c>
      <c r="L413" s="12">
        <f t="shared" si="55"/>
        <v>1</v>
      </c>
      <c r="M413" s="12" t="str">
        <f>IF(Raw_Data!AK416="","",Raw_Data!AK416)</f>
        <v/>
      </c>
      <c r="N413" s="12" t="str">
        <f>IF(Raw_Data!T416="","",Raw_Data!T416)</f>
        <v/>
      </c>
      <c r="O413" s="12" t="str">
        <f>IF(Raw_Data!AB416&lt;&gt;"",Raw_Data!AB416,IF(N413="tres_insatisfait",1,IF(N413="insatisfait",2,IF(N413="neutre",3,IF(N413="satisfait",4,IF(N413="tres_satisfait",5,""))))))</f>
        <v/>
      </c>
      <c r="P413" s="12">
        <f>IF(Raw_Data!AL416&lt;&gt;"",Raw_Data!AL416,Raw_Data!R416)</f>
        <v>0</v>
      </c>
      <c r="Q413" s="12">
        <f t="shared" si="56"/>
        <v>0</v>
      </c>
      <c r="R413" s="12" t="str">
        <f>IF(Raw_Data!AM416="","",Raw_Data!AM416)</f>
        <v/>
      </c>
      <c r="S413" s="12" t="str">
        <f t="shared" si="57"/>
        <v/>
      </c>
      <c r="T413" s="12" t="str">
        <f>IF(Raw_Data!AN416="","",Raw_Data!AN416)</f>
        <v/>
      </c>
      <c r="U413" s="12" t="str">
        <f t="shared" si="58"/>
        <v/>
      </c>
      <c r="V413" s="12" t="str">
        <f>IF(Raw_Data!AP416="","",IF(Raw_Data!AP416="oui",1,0))</f>
        <v/>
      </c>
      <c r="W413" s="12" t="str">
        <f>IF(Raw_Data!AQ416="","",IF(Raw_Data!AQ416="oui",1,0))</f>
        <v/>
      </c>
      <c r="X413" s="12" t="str">
        <f>IF(Raw_Data!AR416="","",IF(Raw_Data!AR416="oui",1,0))</f>
        <v/>
      </c>
      <c r="Y413" s="12" t="str">
        <f>IF(Raw_Data!AS416="","",IF(Raw_Data!AS416="oui",1,0))</f>
        <v/>
      </c>
      <c r="Z413" s="12" t="str">
        <f>IF(Raw_Data!V416="","",IF(Raw_Data!V416="oui",1,0))</f>
        <v/>
      </c>
      <c r="AA413" s="12" t="str">
        <f>IF(Raw_Data!W416="","",IF(Raw_Data!W416="oui",1,0))</f>
        <v/>
      </c>
      <c r="AB413" s="12" t="str">
        <f>IF(Raw_Data!Q416="","",IF(Raw_Data!Q416="oui",1,0))</f>
        <v/>
      </c>
      <c r="AC413" s="12">
        <f>Raw_Data!AF416</f>
        <v>0</v>
      </c>
      <c r="AD413" s="12" t="str">
        <f t="shared" si="59"/>
        <v/>
      </c>
      <c r="AE413" s="12" t="str">
        <f t="shared" si="60"/>
        <v/>
      </c>
      <c r="AF413" s="12" t="str">
        <f t="shared" si="61"/>
        <v/>
      </c>
      <c r="AG413" s="12">
        <f t="shared" si="62"/>
        <v>0</v>
      </c>
    </row>
    <row r="414" spans="1:33" ht="15" customHeight="1" x14ac:dyDescent="0.25">
      <c r="A414" s="12" t="str">
        <f>IF(Raw_Data!B417="","",Raw_Data!B417)</f>
        <v/>
      </c>
      <c r="B414" s="12">
        <f>IF(Raw_Data!X417&lt;&gt;"",Raw_Data!X417,Raw_Data!C417)</f>
        <v>0</v>
      </c>
      <c r="C414" s="12" t="str">
        <f>IF(Raw_Data!G417="","",Raw_Data!G417)</f>
        <v/>
      </c>
      <c r="D414" s="12" t="str">
        <f>IF(Raw_Data!H417="","",Raw_Data!H417)</f>
        <v/>
      </c>
      <c r="E414" s="12" t="str">
        <f>IF(Raw_Data!I417="","",Raw_Data!I417)</f>
        <v/>
      </c>
      <c r="F414" s="12" t="str">
        <f>IF(Raw_Data!J417="","",Raw_Data!J417)</f>
        <v/>
      </c>
      <c r="G414" s="12" t="str">
        <f>IF(Raw_Data!AH417&lt;&gt;"",Raw_Data!AH417,IF(Raw_Data!K417&lt;&gt;"",Raw_Data!K417,""))</f>
        <v/>
      </c>
      <c r="H414" s="12" t="str">
        <f>IF(Raw_Data!AI417&lt;&gt;"",Raw_Data!AI417,IF(Raw_Data!L417&lt;&gt;"",Raw_Data!L417,""))</f>
        <v/>
      </c>
      <c r="I414" s="12" t="str">
        <f t="shared" si="54"/>
        <v/>
      </c>
      <c r="J414" s="12" t="str">
        <f>IF(Raw_Data!M417="","",Raw_Data!M417)</f>
        <v/>
      </c>
      <c r="K414" s="12">
        <f>IF(Raw_Data!AJ417&lt;&gt;"",Raw_Data!AJ417,Raw_Data!N417)</f>
        <v>0</v>
      </c>
      <c r="L414" s="12">
        <f t="shared" si="55"/>
        <v>1</v>
      </c>
      <c r="M414" s="12" t="str">
        <f>IF(Raw_Data!AK417="","",Raw_Data!AK417)</f>
        <v/>
      </c>
      <c r="N414" s="12" t="str">
        <f>IF(Raw_Data!T417="","",Raw_Data!T417)</f>
        <v/>
      </c>
      <c r="O414" s="12" t="str">
        <f>IF(Raw_Data!AB417&lt;&gt;"",Raw_Data!AB417,IF(N414="tres_insatisfait",1,IF(N414="insatisfait",2,IF(N414="neutre",3,IF(N414="satisfait",4,IF(N414="tres_satisfait",5,""))))))</f>
        <v/>
      </c>
      <c r="P414" s="12">
        <f>IF(Raw_Data!AL417&lt;&gt;"",Raw_Data!AL417,Raw_Data!R417)</f>
        <v>0</v>
      </c>
      <c r="Q414" s="12">
        <f t="shared" si="56"/>
        <v>0</v>
      </c>
      <c r="R414" s="12" t="str">
        <f>IF(Raw_Data!AM417="","",Raw_Data!AM417)</f>
        <v/>
      </c>
      <c r="S414" s="12" t="str">
        <f t="shared" si="57"/>
        <v/>
      </c>
      <c r="T414" s="12" t="str">
        <f>IF(Raw_Data!AN417="","",Raw_Data!AN417)</f>
        <v/>
      </c>
      <c r="U414" s="12" t="str">
        <f t="shared" si="58"/>
        <v/>
      </c>
      <c r="V414" s="12" t="str">
        <f>IF(Raw_Data!AP417="","",IF(Raw_Data!AP417="oui",1,0))</f>
        <v/>
      </c>
      <c r="W414" s="12" t="str">
        <f>IF(Raw_Data!AQ417="","",IF(Raw_Data!AQ417="oui",1,0))</f>
        <v/>
      </c>
      <c r="X414" s="12" t="str">
        <f>IF(Raw_Data!AR417="","",IF(Raw_Data!AR417="oui",1,0))</f>
        <v/>
      </c>
      <c r="Y414" s="12" t="str">
        <f>IF(Raw_Data!AS417="","",IF(Raw_Data!AS417="oui",1,0))</f>
        <v/>
      </c>
      <c r="Z414" s="12" t="str">
        <f>IF(Raw_Data!V417="","",IF(Raw_Data!V417="oui",1,0))</f>
        <v/>
      </c>
      <c r="AA414" s="12" t="str">
        <f>IF(Raw_Data!W417="","",IF(Raw_Data!W417="oui",1,0))</f>
        <v/>
      </c>
      <c r="AB414" s="12" t="str">
        <f>IF(Raw_Data!Q417="","",IF(Raw_Data!Q417="oui",1,0))</f>
        <v/>
      </c>
      <c r="AC414" s="12">
        <f>Raw_Data!AF417</f>
        <v>0</v>
      </c>
      <c r="AD414" s="12" t="str">
        <f t="shared" si="59"/>
        <v/>
      </c>
      <c r="AE414" s="12" t="str">
        <f t="shared" si="60"/>
        <v/>
      </c>
      <c r="AF414" s="12" t="str">
        <f t="shared" si="61"/>
        <v/>
      </c>
      <c r="AG414" s="12">
        <f t="shared" si="62"/>
        <v>0</v>
      </c>
    </row>
    <row r="415" spans="1:33" ht="15" customHeight="1" x14ac:dyDescent="0.25">
      <c r="A415" s="12" t="str">
        <f>IF(Raw_Data!B418="","",Raw_Data!B418)</f>
        <v/>
      </c>
      <c r="B415" s="12">
        <f>IF(Raw_Data!X418&lt;&gt;"",Raw_Data!X418,Raw_Data!C418)</f>
        <v>0</v>
      </c>
      <c r="C415" s="12" t="str">
        <f>IF(Raw_Data!G418="","",Raw_Data!G418)</f>
        <v/>
      </c>
      <c r="D415" s="12" t="str">
        <f>IF(Raw_Data!H418="","",Raw_Data!H418)</f>
        <v/>
      </c>
      <c r="E415" s="12" t="str">
        <f>IF(Raw_Data!I418="","",Raw_Data!I418)</f>
        <v/>
      </c>
      <c r="F415" s="12" t="str">
        <f>IF(Raw_Data!J418="","",Raw_Data!J418)</f>
        <v/>
      </c>
      <c r="G415" s="12" t="str">
        <f>IF(Raw_Data!AH418&lt;&gt;"",Raw_Data!AH418,IF(Raw_Data!K418&lt;&gt;"",Raw_Data!K418,""))</f>
        <v/>
      </c>
      <c r="H415" s="12" t="str">
        <f>IF(Raw_Data!AI418&lt;&gt;"",Raw_Data!AI418,IF(Raw_Data!L418&lt;&gt;"",Raw_Data!L418,""))</f>
        <v/>
      </c>
      <c r="I415" s="12" t="str">
        <f t="shared" si="54"/>
        <v/>
      </c>
      <c r="J415" s="12" t="str">
        <f>IF(Raw_Data!M418="","",Raw_Data!M418)</f>
        <v/>
      </c>
      <c r="K415" s="12">
        <f>IF(Raw_Data!AJ418&lt;&gt;"",Raw_Data!AJ418,Raw_Data!N418)</f>
        <v>0</v>
      </c>
      <c r="L415" s="12">
        <f t="shared" si="55"/>
        <v>1</v>
      </c>
      <c r="M415" s="12" t="str">
        <f>IF(Raw_Data!AK418="","",Raw_Data!AK418)</f>
        <v/>
      </c>
      <c r="N415" s="12" t="str">
        <f>IF(Raw_Data!T418="","",Raw_Data!T418)</f>
        <v/>
      </c>
      <c r="O415" s="12" t="str">
        <f>IF(Raw_Data!AB418&lt;&gt;"",Raw_Data!AB418,IF(N415="tres_insatisfait",1,IF(N415="insatisfait",2,IF(N415="neutre",3,IF(N415="satisfait",4,IF(N415="tres_satisfait",5,""))))))</f>
        <v/>
      </c>
      <c r="P415" s="12">
        <f>IF(Raw_Data!AL418&lt;&gt;"",Raw_Data!AL418,Raw_Data!R418)</f>
        <v>0</v>
      </c>
      <c r="Q415" s="12">
        <f t="shared" si="56"/>
        <v>0</v>
      </c>
      <c r="R415" s="12" t="str">
        <f>IF(Raw_Data!AM418="","",Raw_Data!AM418)</f>
        <v/>
      </c>
      <c r="S415" s="12" t="str">
        <f t="shared" si="57"/>
        <v/>
      </c>
      <c r="T415" s="12" t="str">
        <f>IF(Raw_Data!AN418="","",Raw_Data!AN418)</f>
        <v/>
      </c>
      <c r="U415" s="12" t="str">
        <f t="shared" si="58"/>
        <v/>
      </c>
      <c r="V415" s="12" t="str">
        <f>IF(Raw_Data!AP418="","",IF(Raw_Data!AP418="oui",1,0))</f>
        <v/>
      </c>
      <c r="W415" s="12" t="str">
        <f>IF(Raw_Data!AQ418="","",IF(Raw_Data!AQ418="oui",1,0))</f>
        <v/>
      </c>
      <c r="X415" s="12" t="str">
        <f>IF(Raw_Data!AR418="","",IF(Raw_Data!AR418="oui",1,0))</f>
        <v/>
      </c>
      <c r="Y415" s="12" t="str">
        <f>IF(Raw_Data!AS418="","",IF(Raw_Data!AS418="oui",1,0))</f>
        <v/>
      </c>
      <c r="Z415" s="12" t="str">
        <f>IF(Raw_Data!V418="","",IF(Raw_Data!V418="oui",1,0))</f>
        <v/>
      </c>
      <c r="AA415" s="12" t="str">
        <f>IF(Raw_Data!W418="","",IF(Raw_Data!W418="oui",1,0))</f>
        <v/>
      </c>
      <c r="AB415" s="12" t="str">
        <f>IF(Raw_Data!Q418="","",IF(Raw_Data!Q418="oui",1,0))</f>
        <v/>
      </c>
      <c r="AC415" s="12">
        <f>Raw_Data!AF418</f>
        <v>0</v>
      </c>
      <c r="AD415" s="12" t="str">
        <f t="shared" si="59"/>
        <v/>
      </c>
      <c r="AE415" s="12" t="str">
        <f t="shared" si="60"/>
        <v/>
      </c>
      <c r="AF415" s="12" t="str">
        <f t="shared" si="61"/>
        <v/>
      </c>
      <c r="AG415" s="12">
        <f t="shared" si="62"/>
        <v>0</v>
      </c>
    </row>
    <row r="416" spans="1:33" ht="15" customHeight="1" x14ac:dyDescent="0.25">
      <c r="A416" s="12" t="str">
        <f>IF(Raw_Data!B419="","",Raw_Data!B419)</f>
        <v/>
      </c>
      <c r="B416" s="12">
        <f>IF(Raw_Data!X419&lt;&gt;"",Raw_Data!X419,Raw_Data!C419)</f>
        <v>0</v>
      </c>
      <c r="C416" s="12" t="str">
        <f>IF(Raw_Data!G419="","",Raw_Data!G419)</f>
        <v/>
      </c>
      <c r="D416" s="12" t="str">
        <f>IF(Raw_Data!H419="","",Raw_Data!H419)</f>
        <v/>
      </c>
      <c r="E416" s="12" t="str">
        <f>IF(Raw_Data!I419="","",Raw_Data!I419)</f>
        <v/>
      </c>
      <c r="F416" s="12" t="str">
        <f>IF(Raw_Data!J419="","",Raw_Data!J419)</f>
        <v/>
      </c>
      <c r="G416" s="12" t="str">
        <f>IF(Raw_Data!AH419&lt;&gt;"",Raw_Data!AH419,IF(Raw_Data!K419&lt;&gt;"",Raw_Data!K419,""))</f>
        <v/>
      </c>
      <c r="H416" s="12" t="str">
        <f>IF(Raw_Data!AI419&lt;&gt;"",Raw_Data!AI419,IF(Raw_Data!L419&lt;&gt;"",Raw_Data!L419,""))</f>
        <v/>
      </c>
      <c r="I416" s="12" t="str">
        <f t="shared" si="54"/>
        <v/>
      </c>
      <c r="J416" s="12" t="str">
        <f>IF(Raw_Data!M419="","",Raw_Data!M419)</f>
        <v/>
      </c>
      <c r="K416" s="12">
        <f>IF(Raw_Data!AJ419&lt;&gt;"",Raw_Data!AJ419,Raw_Data!N419)</f>
        <v>0</v>
      </c>
      <c r="L416" s="12">
        <f t="shared" si="55"/>
        <v>1</v>
      </c>
      <c r="M416" s="12" t="str">
        <f>IF(Raw_Data!AK419="","",Raw_Data!AK419)</f>
        <v/>
      </c>
      <c r="N416" s="12" t="str">
        <f>IF(Raw_Data!T419="","",Raw_Data!T419)</f>
        <v/>
      </c>
      <c r="O416" s="12" t="str">
        <f>IF(Raw_Data!AB419&lt;&gt;"",Raw_Data!AB419,IF(N416="tres_insatisfait",1,IF(N416="insatisfait",2,IF(N416="neutre",3,IF(N416="satisfait",4,IF(N416="tres_satisfait",5,""))))))</f>
        <v/>
      </c>
      <c r="P416" s="12">
        <f>IF(Raw_Data!AL419&lt;&gt;"",Raw_Data!AL419,Raw_Data!R419)</f>
        <v>0</v>
      </c>
      <c r="Q416" s="12">
        <f t="shared" si="56"/>
        <v>0</v>
      </c>
      <c r="R416" s="12" t="str">
        <f>IF(Raw_Data!AM419="","",Raw_Data!AM419)</f>
        <v/>
      </c>
      <c r="S416" s="12" t="str">
        <f t="shared" si="57"/>
        <v/>
      </c>
      <c r="T416" s="12" t="str">
        <f>IF(Raw_Data!AN419="","",Raw_Data!AN419)</f>
        <v/>
      </c>
      <c r="U416" s="12" t="str">
        <f t="shared" si="58"/>
        <v/>
      </c>
      <c r="V416" s="12" t="str">
        <f>IF(Raw_Data!AP419="","",IF(Raw_Data!AP419="oui",1,0))</f>
        <v/>
      </c>
      <c r="W416" s="12" t="str">
        <f>IF(Raw_Data!AQ419="","",IF(Raw_Data!AQ419="oui",1,0))</f>
        <v/>
      </c>
      <c r="X416" s="12" t="str">
        <f>IF(Raw_Data!AR419="","",IF(Raw_Data!AR419="oui",1,0))</f>
        <v/>
      </c>
      <c r="Y416" s="12" t="str">
        <f>IF(Raw_Data!AS419="","",IF(Raw_Data!AS419="oui",1,0))</f>
        <v/>
      </c>
      <c r="Z416" s="12" t="str">
        <f>IF(Raw_Data!V419="","",IF(Raw_Data!V419="oui",1,0))</f>
        <v/>
      </c>
      <c r="AA416" s="12" t="str">
        <f>IF(Raw_Data!W419="","",IF(Raw_Data!W419="oui",1,0))</f>
        <v/>
      </c>
      <c r="AB416" s="12" t="str">
        <f>IF(Raw_Data!Q419="","",IF(Raw_Data!Q419="oui",1,0))</f>
        <v/>
      </c>
      <c r="AC416" s="12">
        <f>Raw_Data!AF419</f>
        <v>0</v>
      </c>
      <c r="AD416" s="12" t="str">
        <f t="shared" si="59"/>
        <v/>
      </c>
      <c r="AE416" s="12" t="str">
        <f t="shared" si="60"/>
        <v/>
      </c>
      <c r="AF416" s="12" t="str">
        <f t="shared" si="61"/>
        <v/>
      </c>
      <c r="AG416" s="12">
        <f t="shared" si="62"/>
        <v>0</v>
      </c>
    </row>
    <row r="417" spans="1:33" ht="15" customHeight="1" x14ac:dyDescent="0.25">
      <c r="A417" s="12" t="str">
        <f>IF(Raw_Data!B420="","",Raw_Data!B420)</f>
        <v/>
      </c>
      <c r="B417" s="12">
        <f>IF(Raw_Data!X420&lt;&gt;"",Raw_Data!X420,Raw_Data!C420)</f>
        <v>0</v>
      </c>
      <c r="C417" s="12" t="str">
        <f>IF(Raw_Data!G420="","",Raw_Data!G420)</f>
        <v/>
      </c>
      <c r="D417" s="12" t="str">
        <f>IF(Raw_Data!H420="","",Raw_Data!H420)</f>
        <v/>
      </c>
      <c r="E417" s="12" t="str">
        <f>IF(Raw_Data!I420="","",Raw_Data!I420)</f>
        <v/>
      </c>
      <c r="F417" s="12" t="str">
        <f>IF(Raw_Data!J420="","",Raw_Data!J420)</f>
        <v/>
      </c>
      <c r="G417" s="12" t="str">
        <f>IF(Raw_Data!AH420&lt;&gt;"",Raw_Data!AH420,IF(Raw_Data!K420&lt;&gt;"",Raw_Data!K420,""))</f>
        <v/>
      </c>
      <c r="H417" s="12" t="str">
        <f>IF(Raw_Data!AI420&lt;&gt;"",Raw_Data!AI420,IF(Raw_Data!L420&lt;&gt;"",Raw_Data!L420,""))</f>
        <v/>
      </c>
      <c r="I417" s="12" t="str">
        <f t="shared" si="54"/>
        <v/>
      </c>
      <c r="J417" s="12" t="str">
        <f>IF(Raw_Data!M420="","",Raw_Data!M420)</f>
        <v/>
      </c>
      <c r="K417" s="12">
        <f>IF(Raw_Data!AJ420&lt;&gt;"",Raw_Data!AJ420,Raw_Data!N420)</f>
        <v>0</v>
      </c>
      <c r="L417" s="12">
        <f t="shared" si="55"/>
        <v>1</v>
      </c>
      <c r="M417" s="12" t="str">
        <f>IF(Raw_Data!AK420="","",Raw_Data!AK420)</f>
        <v/>
      </c>
      <c r="N417" s="12" t="str">
        <f>IF(Raw_Data!T420="","",Raw_Data!T420)</f>
        <v/>
      </c>
      <c r="O417" s="12" t="str">
        <f>IF(Raw_Data!AB420&lt;&gt;"",Raw_Data!AB420,IF(N417="tres_insatisfait",1,IF(N417="insatisfait",2,IF(N417="neutre",3,IF(N417="satisfait",4,IF(N417="tres_satisfait",5,""))))))</f>
        <v/>
      </c>
      <c r="P417" s="12">
        <f>IF(Raw_Data!AL420&lt;&gt;"",Raw_Data!AL420,Raw_Data!R420)</f>
        <v>0</v>
      </c>
      <c r="Q417" s="12">
        <f t="shared" si="56"/>
        <v>0</v>
      </c>
      <c r="R417" s="12" t="str">
        <f>IF(Raw_Data!AM420="","",Raw_Data!AM420)</f>
        <v/>
      </c>
      <c r="S417" s="12" t="str">
        <f t="shared" si="57"/>
        <v/>
      </c>
      <c r="T417" s="12" t="str">
        <f>IF(Raw_Data!AN420="","",Raw_Data!AN420)</f>
        <v/>
      </c>
      <c r="U417" s="12" t="str">
        <f t="shared" si="58"/>
        <v/>
      </c>
      <c r="V417" s="12" t="str">
        <f>IF(Raw_Data!AP420="","",IF(Raw_Data!AP420="oui",1,0))</f>
        <v/>
      </c>
      <c r="W417" s="12" t="str">
        <f>IF(Raw_Data!AQ420="","",IF(Raw_Data!AQ420="oui",1,0))</f>
        <v/>
      </c>
      <c r="X417" s="12" t="str">
        <f>IF(Raw_Data!AR420="","",IF(Raw_Data!AR420="oui",1,0))</f>
        <v/>
      </c>
      <c r="Y417" s="12" t="str">
        <f>IF(Raw_Data!AS420="","",IF(Raw_Data!AS420="oui",1,0))</f>
        <v/>
      </c>
      <c r="Z417" s="12" t="str">
        <f>IF(Raw_Data!V420="","",IF(Raw_Data!V420="oui",1,0))</f>
        <v/>
      </c>
      <c r="AA417" s="12" t="str">
        <f>IF(Raw_Data!W420="","",IF(Raw_Data!W420="oui",1,0))</f>
        <v/>
      </c>
      <c r="AB417" s="12" t="str">
        <f>IF(Raw_Data!Q420="","",IF(Raw_Data!Q420="oui",1,0))</f>
        <v/>
      </c>
      <c r="AC417" s="12">
        <f>Raw_Data!AF420</f>
        <v>0</v>
      </c>
      <c r="AD417" s="12" t="str">
        <f t="shared" si="59"/>
        <v/>
      </c>
      <c r="AE417" s="12" t="str">
        <f t="shared" si="60"/>
        <v/>
      </c>
      <c r="AF417" s="12" t="str">
        <f t="shared" si="61"/>
        <v/>
      </c>
      <c r="AG417" s="12">
        <f t="shared" si="62"/>
        <v>0</v>
      </c>
    </row>
    <row r="418" spans="1:33" ht="15" customHeight="1" x14ac:dyDescent="0.25">
      <c r="A418" s="12" t="str">
        <f>IF(Raw_Data!B421="","",Raw_Data!B421)</f>
        <v/>
      </c>
      <c r="B418" s="12">
        <f>IF(Raw_Data!X421&lt;&gt;"",Raw_Data!X421,Raw_Data!C421)</f>
        <v>0</v>
      </c>
      <c r="C418" s="12" t="str">
        <f>IF(Raw_Data!G421="","",Raw_Data!G421)</f>
        <v/>
      </c>
      <c r="D418" s="12" t="str">
        <f>IF(Raw_Data!H421="","",Raw_Data!H421)</f>
        <v/>
      </c>
      <c r="E418" s="12" t="str">
        <f>IF(Raw_Data!I421="","",Raw_Data!I421)</f>
        <v/>
      </c>
      <c r="F418" s="12" t="str">
        <f>IF(Raw_Data!J421="","",Raw_Data!J421)</f>
        <v/>
      </c>
      <c r="G418" s="12" t="str">
        <f>IF(Raw_Data!AH421&lt;&gt;"",Raw_Data!AH421,IF(Raw_Data!K421&lt;&gt;"",Raw_Data!K421,""))</f>
        <v/>
      </c>
      <c r="H418" s="12" t="str">
        <f>IF(Raw_Data!AI421&lt;&gt;"",Raw_Data!AI421,IF(Raw_Data!L421&lt;&gt;"",Raw_Data!L421,""))</f>
        <v/>
      </c>
      <c r="I418" s="12" t="str">
        <f t="shared" si="54"/>
        <v/>
      </c>
      <c r="J418" s="12" t="str">
        <f>IF(Raw_Data!M421="","",Raw_Data!M421)</f>
        <v/>
      </c>
      <c r="K418" s="12">
        <f>IF(Raw_Data!AJ421&lt;&gt;"",Raw_Data!AJ421,Raw_Data!N421)</f>
        <v>0</v>
      </c>
      <c r="L418" s="12">
        <f t="shared" si="55"/>
        <v>1</v>
      </c>
      <c r="M418" s="12" t="str">
        <f>IF(Raw_Data!AK421="","",Raw_Data!AK421)</f>
        <v/>
      </c>
      <c r="N418" s="12" t="str">
        <f>IF(Raw_Data!T421="","",Raw_Data!T421)</f>
        <v/>
      </c>
      <c r="O418" s="12" t="str">
        <f>IF(Raw_Data!AB421&lt;&gt;"",Raw_Data!AB421,IF(N418="tres_insatisfait",1,IF(N418="insatisfait",2,IF(N418="neutre",3,IF(N418="satisfait",4,IF(N418="tres_satisfait",5,""))))))</f>
        <v/>
      </c>
      <c r="P418" s="12">
        <f>IF(Raw_Data!AL421&lt;&gt;"",Raw_Data!AL421,Raw_Data!R421)</f>
        <v>0</v>
      </c>
      <c r="Q418" s="12">
        <f t="shared" si="56"/>
        <v>0</v>
      </c>
      <c r="R418" s="12" t="str">
        <f>IF(Raw_Data!AM421="","",Raw_Data!AM421)</f>
        <v/>
      </c>
      <c r="S418" s="12" t="str">
        <f t="shared" si="57"/>
        <v/>
      </c>
      <c r="T418" s="12" t="str">
        <f>IF(Raw_Data!AN421="","",Raw_Data!AN421)</f>
        <v/>
      </c>
      <c r="U418" s="12" t="str">
        <f t="shared" si="58"/>
        <v/>
      </c>
      <c r="V418" s="12" t="str">
        <f>IF(Raw_Data!AP421="","",IF(Raw_Data!AP421="oui",1,0))</f>
        <v/>
      </c>
      <c r="W418" s="12" t="str">
        <f>IF(Raw_Data!AQ421="","",IF(Raw_Data!AQ421="oui",1,0))</f>
        <v/>
      </c>
      <c r="X418" s="12" t="str">
        <f>IF(Raw_Data!AR421="","",IF(Raw_Data!AR421="oui",1,0))</f>
        <v/>
      </c>
      <c r="Y418" s="12" t="str">
        <f>IF(Raw_Data!AS421="","",IF(Raw_Data!AS421="oui",1,0))</f>
        <v/>
      </c>
      <c r="Z418" s="12" t="str">
        <f>IF(Raw_Data!V421="","",IF(Raw_Data!V421="oui",1,0))</f>
        <v/>
      </c>
      <c r="AA418" s="12" t="str">
        <f>IF(Raw_Data!W421="","",IF(Raw_Data!W421="oui",1,0))</f>
        <v/>
      </c>
      <c r="AB418" s="12" t="str">
        <f>IF(Raw_Data!Q421="","",IF(Raw_Data!Q421="oui",1,0))</f>
        <v/>
      </c>
      <c r="AC418" s="12">
        <f>Raw_Data!AF421</f>
        <v>0</v>
      </c>
      <c r="AD418" s="12" t="str">
        <f t="shared" si="59"/>
        <v/>
      </c>
      <c r="AE418" s="12" t="str">
        <f t="shared" si="60"/>
        <v/>
      </c>
      <c r="AF418" s="12" t="str">
        <f t="shared" si="61"/>
        <v/>
      </c>
      <c r="AG418" s="12">
        <f t="shared" si="62"/>
        <v>0</v>
      </c>
    </row>
    <row r="419" spans="1:33" ht="15" customHeight="1" x14ac:dyDescent="0.25">
      <c r="A419" s="12" t="str">
        <f>IF(Raw_Data!B422="","",Raw_Data!B422)</f>
        <v/>
      </c>
      <c r="B419" s="12">
        <f>IF(Raw_Data!X422&lt;&gt;"",Raw_Data!X422,Raw_Data!C422)</f>
        <v>0</v>
      </c>
      <c r="C419" s="12" t="str">
        <f>IF(Raw_Data!G422="","",Raw_Data!G422)</f>
        <v/>
      </c>
      <c r="D419" s="12" t="str">
        <f>IF(Raw_Data!H422="","",Raw_Data!H422)</f>
        <v/>
      </c>
      <c r="E419" s="12" t="str">
        <f>IF(Raw_Data!I422="","",Raw_Data!I422)</f>
        <v/>
      </c>
      <c r="F419" s="12" t="str">
        <f>IF(Raw_Data!J422="","",Raw_Data!J422)</f>
        <v/>
      </c>
      <c r="G419" s="12" t="str">
        <f>IF(Raw_Data!AH422&lt;&gt;"",Raw_Data!AH422,IF(Raw_Data!K422&lt;&gt;"",Raw_Data!K422,""))</f>
        <v/>
      </c>
      <c r="H419" s="12" t="str">
        <f>IF(Raw_Data!AI422&lt;&gt;"",Raw_Data!AI422,IF(Raw_Data!L422&lt;&gt;"",Raw_Data!L422,""))</f>
        <v/>
      </c>
      <c r="I419" s="12" t="str">
        <f t="shared" si="54"/>
        <v/>
      </c>
      <c r="J419" s="12" t="str">
        <f>IF(Raw_Data!M422="","",Raw_Data!M422)</f>
        <v/>
      </c>
      <c r="K419" s="12">
        <f>IF(Raw_Data!AJ422&lt;&gt;"",Raw_Data!AJ422,Raw_Data!N422)</f>
        <v>0</v>
      </c>
      <c r="L419" s="12">
        <f t="shared" si="55"/>
        <v>1</v>
      </c>
      <c r="M419" s="12" t="str">
        <f>IF(Raw_Data!AK422="","",Raw_Data!AK422)</f>
        <v/>
      </c>
      <c r="N419" s="12" t="str">
        <f>IF(Raw_Data!T422="","",Raw_Data!T422)</f>
        <v/>
      </c>
      <c r="O419" s="12" t="str">
        <f>IF(Raw_Data!AB422&lt;&gt;"",Raw_Data!AB422,IF(N419="tres_insatisfait",1,IF(N419="insatisfait",2,IF(N419="neutre",3,IF(N419="satisfait",4,IF(N419="tres_satisfait",5,""))))))</f>
        <v/>
      </c>
      <c r="P419" s="12">
        <f>IF(Raw_Data!AL422&lt;&gt;"",Raw_Data!AL422,Raw_Data!R422)</f>
        <v>0</v>
      </c>
      <c r="Q419" s="12">
        <f t="shared" si="56"/>
        <v>0</v>
      </c>
      <c r="R419" s="12" t="str">
        <f>IF(Raw_Data!AM422="","",Raw_Data!AM422)</f>
        <v/>
      </c>
      <c r="S419" s="12" t="str">
        <f t="shared" si="57"/>
        <v/>
      </c>
      <c r="T419" s="12" t="str">
        <f>IF(Raw_Data!AN422="","",Raw_Data!AN422)</f>
        <v/>
      </c>
      <c r="U419" s="12" t="str">
        <f t="shared" si="58"/>
        <v/>
      </c>
      <c r="V419" s="12" t="str">
        <f>IF(Raw_Data!AP422="","",IF(Raw_Data!AP422="oui",1,0))</f>
        <v/>
      </c>
      <c r="W419" s="12" t="str">
        <f>IF(Raw_Data!AQ422="","",IF(Raw_Data!AQ422="oui",1,0))</f>
        <v/>
      </c>
      <c r="X419" s="12" t="str">
        <f>IF(Raw_Data!AR422="","",IF(Raw_Data!AR422="oui",1,0))</f>
        <v/>
      </c>
      <c r="Y419" s="12" t="str">
        <f>IF(Raw_Data!AS422="","",IF(Raw_Data!AS422="oui",1,0))</f>
        <v/>
      </c>
      <c r="Z419" s="12" t="str">
        <f>IF(Raw_Data!V422="","",IF(Raw_Data!V422="oui",1,0))</f>
        <v/>
      </c>
      <c r="AA419" s="12" t="str">
        <f>IF(Raw_Data!W422="","",IF(Raw_Data!W422="oui",1,0))</f>
        <v/>
      </c>
      <c r="AB419" s="12" t="str">
        <f>IF(Raw_Data!Q422="","",IF(Raw_Data!Q422="oui",1,0))</f>
        <v/>
      </c>
      <c r="AC419" s="12">
        <f>Raw_Data!AF422</f>
        <v>0</v>
      </c>
      <c r="AD419" s="12" t="str">
        <f t="shared" si="59"/>
        <v/>
      </c>
      <c r="AE419" s="12" t="str">
        <f t="shared" si="60"/>
        <v/>
      </c>
      <c r="AF419" s="12" t="str">
        <f t="shared" si="61"/>
        <v/>
      </c>
      <c r="AG419" s="12">
        <f t="shared" si="62"/>
        <v>0</v>
      </c>
    </row>
    <row r="420" spans="1:33" ht="15" customHeight="1" x14ac:dyDescent="0.25">
      <c r="A420" s="12" t="str">
        <f>IF(Raw_Data!B423="","",Raw_Data!B423)</f>
        <v/>
      </c>
      <c r="B420" s="12">
        <f>IF(Raw_Data!X423&lt;&gt;"",Raw_Data!X423,Raw_Data!C423)</f>
        <v>0</v>
      </c>
      <c r="C420" s="12" t="str">
        <f>IF(Raw_Data!G423="","",Raw_Data!G423)</f>
        <v/>
      </c>
      <c r="D420" s="12" t="str">
        <f>IF(Raw_Data!H423="","",Raw_Data!H423)</f>
        <v/>
      </c>
      <c r="E420" s="12" t="str">
        <f>IF(Raw_Data!I423="","",Raw_Data!I423)</f>
        <v/>
      </c>
      <c r="F420" s="12" t="str">
        <f>IF(Raw_Data!J423="","",Raw_Data!J423)</f>
        <v/>
      </c>
      <c r="G420" s="12" t="str">
        <f>IF(Raw_Data!AH423&lt;&gt;"",Raw_Data!AH423,IF(Raw_Data!K423&lt;&gt;"",Raw_Data!K423,""))</f>
        <v/>
      </c>
      <c r="H420" s="12" t="str">
        <f>IF(Raw_Data!AI423&lt;&gt;"",Raw_Data!AI423,IF(Raw_Data!L423&lt;&gt;"",Raw_Data!L423,""))</f>
        <v/>
      </c>
      <c r="I420" s="12" t="str">
        <f t="shared" si="54"/>
        <v/>
      </c>
      <c r="J420" s="12" t="str">
        <f>IF(Raw_Data!M423="","",Raw_Data!M423)</f>
        <v/>
      </c>
      <c r="K420" s="12">
        <f>IF(Raw_Data!AJ423&lt;&gt;"",Raw_Data!AJ423,Raw_Data!N423)</f>
        <v>0</v>
      </c>
      <c r="L420" s="12">
        <f t="shared" si="55"/>
        <v>1</v>
      </c>
      <c r="M420" s="12" t="str">
        <f>IF(Raw_Data!AK423="","",Raw_Data!AK423)</f>
        <v/>
      </c>
      <c r="N420" s="12" t="str">
        <f>IF(Raw_Data!T423="","",Raw_Data!T423)</f>
        <v/>
      </c>
      <c r="O420" s="12" t="str">
        <f>IF(Raw_Data!AB423&lt;&gt;"",Raw_Data!AB423,IF(N420="tres_insatisfait",1,IF(N420="insatisfait",2,IF(N420="neutre",3,IF(N420="satisfait",4,IF(N420="tres_satisfait",5,""))))))</f>
        <v/>
      </c>
      <c r="P420" s="12">
        <f>IF(Raw_Data!AL423&lt;&gt;"",Raw_Data!AL423,Raw_Data!R423)</f>
        <v>0</v>
      </c>
      <c r="Q420" s="12">
        <f t="shared" si="56"/>
        <v>0</v>
      </c>
      <c r="R420" s="12" t="str">
        <f>IF(Raw_Data!AM423="","",Raw_Data!AM423)</f>
        <v/>
      </c>
      <c r="S420" s="12" t="str">
        <f t="shared" si="57"/>
        <v/>
      </c>
      <c r="T420" s="12" t="str">
        <f>IF(Raw_Data!AN423="","",Raw_Data!AN423)</f>
        <v/>
      </c>
      <c r="U420" s="12" t="str">
        <f t="shared" si="58"/>
        <v/>
      </c>
      <c r="V420" s="12" t="str">
        <f>IF(Raw_Data!AP423="","",IF(Raw_Data!AP423="oui",1,0))</f>
        <v/>
      </c>
      <c r="W420" s="12" t="str">
        <f>IF(Raw_Data!AQ423="","",IF(Raw_Data!AQ423="oui",1,0))</f>
        <v/>
      </c>
      <c r="X420" s="12" t="str">
        <f>IF(Raw_Data!AR423="","",IF(Raw_Data!AR423="oui",1,0))</f>
        <v/>
      </c>
      <c r="Y420" s="12" t="str">
        <f>IF(Raw_Data!AS423="","",IF(Raw_Data!AS423="oui",1,0))</f>
        <v/>
      </c>
      <c r="Z420" s="12" t="str">
        <f>IF(Raw_Data!V423="","",IF(Raw_Data!V423="oui",1,0))</f>
        <v/>
      </c>
      <c r="AA420" s="12" t="str">
        <f>IF(Raw_Data!W423="","",IF(Raw_Data!W423="oui",1,0))</f>
        <v/>
      </c>
      <c r="AB420" s="12" t="str">
        <f>IF(Raw_Data!Q423="","",IF(Raw_Data!Q423="oui",1,0))</f>
        <v/>
      </c>
      <c r="AC420" s="12">
        <f>Raw_Data!AF423</f>
        <v>0</v>
      </c>
      <c r="AD420" s="12" t="str">
        <f t="shared" si="59"/>
        <v/>
      </c>
      <c r="AE420" s="12" t="str">
        <f t="shared" si="60"/>
        <v/>
      </c>
      <c r="AF420" s="12" t="str">
        <f t="shared" si="61"/>
        <v/>
      </c>
      <c r="AG420" s="12">
        <f t="shared" si="62"/>
        <v>0</v>
      </c>
    </row>
    <row r="421" spans="1:33" ht="15" customHeight="1" x14ac:dyDescent="0.25">
      <c r="A421" s="12" t="str">
        <f>IF(Raw_Data!B424="","",Raw_Data!B424)</f>
        <v/>
      </c>
      <c r="B421" s="12">
        <f>IF(Raw_Data!X424&lt;&gt;"",Raw_Data!X424,Raw_Data!C424)</f>
        <v>0</v>
      </c>
      <c r="C421" s="12" t="str">
        <f>IF(Raw_Data!G424="","",Raw_Data!G424)</f>
        <v/>
      </c>
      <c r="D421" s="12" t="str">
        <f>IF(Raw_Data!H424="","",Raw_Data!H424)</f>
        <v/>
      </c>
      <c r="E421" s="12" t="str">
        <f>IF(Raw_Data!I424="","",Raw_Data!I424)</f>
        <v/>
      </c>
      <c r="F421" s="12" t="str">
        <f>IF(Raw_Data!J424="","",Raw_Data!J424)</f>
        <v/>
      </c>
      <c r="G421" s="12" t="str">
        <f>IF(Raw_Data!AH424&lt;&gt;"",Raw_Data!AH424,IF(Raw_Data!K424&lt;&gt;"",Raw_Data!K424,""))</f>
        <v/>
      </c>
      <c r="H421" s="12" t="str">
        <f>IF(Raw_Data!AI424&lt;&gt;"",Raw_Data!AI424,IF(Raw_Data!L424&lt;&gt;"",Raw_Data!L424,""))</f>
        <v/>
      </c>
      <c r="I421" s="12" t="str">
        <f t="shared" si="54"/>
        <v/>
      </c>
      <c r="J421" s="12" t="str">
        <f>IF(Raw_Data!M424="","",Raw_Data!M424)</f>
        <v/>
      </c>
      <c r="K421" s="12">
        <f>IF(Raw_Data!AJ424&lt;&gt;"",Raw_Data!AJ424,Raw_Data!N424)</f>
        <v>0</v>
      </c>
      <c r="L421" s="12">
        <f t="shared" si="55"/>
        <v>1</v>
      </c>
      <c r="M421" s="12" t="str">
        <f>IF(Raw_Data!AK424="","",Raw_Data!AK424)</f>
        <v/>
      </c>
      <c r="N421" s="12" t="str">
        <f>IF(Raw_Data!T424="","",Raw_Data!T424)</f>
        <v/>
      </c>
      <c r="O421" s="12" t="str">
        <f>IF(Raw_Data!AB424&lt;&gt;"",Raw_Data!AB424,IF(N421="tres_insatisfait",1,IF(N421="insatisfait",2,IF(N421="neutre",3,IF(N421="satisfait",4,IF(N421="tres_satisfait",5,""))))))</f>
        <v/>
      </c>
      <c r="P421" s="12">
        <f>IF(Raw_Data!AL424&lt;&gt;"",Raw_Data!AL424,Raw_Data!R424)</f>
        <v>0</v>
      </c>
      <c r="Q421" s="12">
        <f t="shared" si="56"/>
        <v>0</v>
      </c>
      <c r="R421" s="12" t="str">
        <f>IF(Raw_Data!AM424="","",Raw_Data!AM424)</f>
        <v/>
      </c>
      <c r="S421" s="12" t="str">
        <f t="shared" si="57"/>
        <v/>
      </c>
      <c r="T421" s="12" t="str">
        <f>IF(Raw_Data!AN424="","",Raw_Data!AN424)</f>
        <v/>
      </c>
      <c r="U421" s="12" t="str">
        <f t="shared" si="58"/>
        <v/>
      </c>
      <c r="V421" s="12" t="str">
        <f>IF(Raw_Data!AP424="","",IF(Raw_Data!AP424="oui",1,0))</f>
        <v/>
      </c>
      <c r="W421" s="12" t="str">
        <f>IF(Raw_Data!AQ424="","",IF(Raw_Data!AQ424="oui",1,0))</f>
        <v/>
      </c>
      <c r="X421" s="12" t="str">
        <f>IF(Raw_Data!AR424="","",IF(Raw_Data!AR424="oui",1,0))</f>
        <v/>
      </c>
      <c r="Y421" s="12" t="str">
        <f>IF(Raw_Data!AS424="","",IF(Raw_Data!AS424="oui",1,0))</f>
        <v/>
      </c>
      <c r="Z421" s="12" t="str">
        <f>IF(Raw_Data!V424="","",IF(Raw_Data!V424="oui",1,0))</f>
        <v/>
      </c>
      <c r="AA421" s="12" t="str">
        <f>IF(Raw_Data!W424="","",IF(Raw_Data!W424="oui",1,0))</f>
        <v/>
      </c>
      <c r="AB421" s="12" t="str">
        <f>IF(Raw_Data!Q424="","",IF(Raw_Data!Q424="oui",1,0))</f>
        <v/>
      </c>
      <c r="AC421" s="12">
        <f>Raw_Data!AF424</f>
        <v>0</v>
      </c>
      <c r="AD421" s="12" t="str">
        <f t="shared" si="59"/>
        <v/>
      </c>
      <c r="AE421" s="12" t="str">
        <f t="shared" si="60"/>
        <v/>
      </c>
      <c r="AF421" s="12" t="str">
        <f t="shared" si="61"/>
        <v/>
      </c>
      <c r="AG421" s="12">
        <f t="shared" si="62"/>
        <v>0</v>
      </c>
    </row>
    <row r="422" spans="1:33" ht="15" customHeight="1" x14ac:dyDescent="0.25">
      <c r="A422" s="12" t="str">
        <f>IF(Raw_Data!B425="","",Raw_Data!B425)</f>
        <v/>
      </c>
      <c r="B422" s="12">
        <f>IF(Raw_Data!X425&lt;&gt;"",Raw_Data!X425,Raw_Data!C425)</f>
        <v>0</v>
      </c>
      <c r="C422" s="12" t="str">
        <f>IF(Raw_Data!G425="","",Raw_Data!G425)</f>
        <v/>
      </c>
      <c r="D422" s="12" t="str">
        <f>IF(Raw_Data!H425="","",Raw_Data!H425)</f>
        <v/>
      </c>
      <c r="E422" s="12" t="str">
        <f>IF(Raw_Data!I425="","",Raw_Data!I425)</f>
        <v/>
      </c>
      <c r="F422" s="12" t="str">
        <f>IF(Raw_Data!J425="","",Raw_Data!J425)</f>
        <v/>
      </c>
      <c r="G422" s="12" t="str">
        <f>IF(Raw_Data!AH425&lt;&gt;"",Raw_Data!AH425,IF(Raw_Data!K425&lt;&gt;"",Raw_Data!K425,""))</f>
        <v/>
      </c>
      <c r="H422" s="12" t="str">
        <f>IF(Raw_Data!AI425&lt;&gt;"",Raw_Data!AI425,IF(Raw_Data!L425&lt;&gt;"",Raw_Data!L425,""))</f>
        <v/>
      </c>
      <c r="I422" s="12" t="str">
        <f t="shared" si="54"/>
        <v/>
      </c>
      <c r="J422" s="12" t="str">
        <f>IF(Raw_Data!M425="","",Raw_Data!M425)</f>
        <v/>
      </c>
      <c r="K422" s="12">
        <f>IF(Raw_Data!AJ425&lt;&gt;"",Raw_Data!AJ425,Raw_Data!N425)</f>
        <v>0</v>
      </c>
      <c r="L422" s="12">
        <f t="shared" si="55"/>
        <v>1</v>
      </c>
      <c r="M422" s="12" t="str">
        <f>IF(Raw_Data!AK425="","",Raw_Data!AK425)</f>
        <v/>
      </c>
      <c r="N422" s="12" t="str">
        <f>IF(Raw_Data!T425="","",Raw_Data!T425)</f>
        <v/>
      </c>
      <c r="O422" s="12" t="str">
        <f>IF(Raw_Data!AB425&lt;&gt;"",Raw_Data!AB425,IF(N422="tres_insatisfait",1,IF(N422="insatisfait",2,IF(N422="neutre",3,IF(N422="satisfait",4,IF(N422="tres_satisfait",5,""))))))</f>
        <v/>
      </c>
      <c r="P422" s="12">
        <f>IF(Raw_Data!AL425&lt;&gt;"",Raw_Data!AL425,Raw_Data!R425)</f>
        <v>0</v>
      </c>
      <c r="Q422" s="12">
        <f t="shared" si="56"/>
        <v>0</v>
      </c>
      <c r="R422" s="12" t="str">
        <f>IF(Raw_Data!AM425="","",Raw_Data!AM425)</f>
        <v/>
      </c>
      <c r="S422" s="12" t="str">
        <f t="shared" si="57"/>
        <v/>
      </c>
      <c r="T422" s="12" t="str">
        <f>IF(Raw_Data!AN425="","",Raw_Data!AN425)</f>
        <v/>
      </c>
      <c r="U422" s="12" t="str">
        <f t="shared" si="58"/>
        <v/>
      </c>
      <c r="V422" s="12" t="str">
        <f>IF(Raw_Data!AP425="","",IF(Raw_Data!AP425="oui",1,0))</f>
        <v/>
      </c>
      <c r="W422" s="12" t="str">
        <f>IF(Raw_Data!AQ425="","",IF(Raw_Data!AQ425="oui",1,0))</f>
        <v/>
      </c>
      <c r="X422" s="12" t="str">
        <f>IF(Raw_Data!AR425="","",IF(Raw_Data!AR425="oui",1,0))</f>
        <v/>
      </c>
      <c r="Y422" s="12" t="str">
        <f>IF(Raw_Data!AS425="","",IF(Raw_Data!AS425="oui",1,0))</f>
        <v/>
      </c>
      <c r="Z422" s="12" t="str">
        <f>IF(Raw_Data!V425="","",IF(Raw_Data!V425="oui",1,0))</f>
        <v/>
      </c>
      <c r="AA422" s="12" t="str">
        <f>IF(Raw_Data!W425="","",IF(Raw_Data!W425="oui",1,0))</f>
        <v/>
      </c>
      <c r="AB422" s="12" t="str">
        <f>IF(Raw_Data!Q425="","",IF(Raw_Data!Q425="oui",1,0))</f>
        <v/>
      </c>
      <c r="AC422" s="12">
        <f>Raw_Data!AF425</f>
        <v>0</v>
      </c>
      <c r="AD422" s="12" t="str">
        <f t="shared" si="59"/>
        <v/>
      </c>
      <c r="AE422" s="12" t="str">
        <f t="shared" si="60"/>
        <v/>
      </c>
      <c r="AF422" s="12" t="str">
        <f t="shared" si="61"/>
        <v/>
      </c>
      <c r="AG422" s="12">
        <f t="shared" si="62"/>
        <v>0</v>
      </c>
    </row>
    <row r="423" spans="1:33" ht="15" customHeight="1" x14ac:dyDescent="0.25">
      <c r="A423" s="12" t="str">
        <f>IF(Raw_Data!B426="","",Raw_Data!B426)</f>
        <v/>
      </c>
      <c r="B423" s="12">
        <f>IF(Raw_Data!X426&lt;&gt;"",Raw_Data!X426,Raw_Data!C426)</f>
        <v>0</v>
      </c>
      <c r="C423" s="12" t="str">
        <f>IF(Raw_Data!G426="","",Raw_Data!G426)</f>
        <v/>
      </c>
      <c r="D423" s="12" t="str">
        <f>IF(Raw_Data!H426="","",Raw_Data!H426)</f>
        <v/>
      </c>
      <c r="E423" s="12" t="str">
        <f>IF(Raw_Data!I426="","",Raw_Data!I426)</f>
        <v/>
      </c>
      <c r="F423" s="12" t="str">
        <f>IF(Raw_Data!J426="","",Raw_Data!J426)</f>
        <v/>
      </c>
      <c r="G423" s="12" t="str">
        <f>IF(Raw_Data!AH426&lt;&gt;"",Raw_Data!AH426,IF(Raw_Data!K426&lt;&gt;"",Raw_Data!K426,""))</f>
        <v/>
      </c>
      <c r="H423" s="12" t="str">
        <f>IF(Raw_Data!AI426&lt;&gt;"",Raw_Data!AI426,IF(Raw_Data!L426&lt;&gt;"",Raw_Data!L426,""))</f>
        <v/>
      </c>
      <c r="I423" s="12" t="str">
        <f t="shared" si="54"/>
        <v/>
      </c>
      <c r="J423" s="12" t="str">
        <f>IF(Raw_Data!M426="","",Raw_Data!M426)</f>
        <v/>
      </c>
      <c r="K423" s="12">
        <f>IF(Raw_Data!AJ426&lt;&gt;"",Raw_Data!AJ426,Raw_Data!N426)</f>
        <v>0</v>
      </c>
      <c r="L423" s="12">
        <f t="shared" si="55"/>
        <v>1</v>
      </c>
      <c r="M423" s="12" t="str">
        <f>IF(Raw_Data!AK426="","",Raw_Data!AK426)</f>
        <v/>
      </c>
      <c r="N423" s="12" t="str">
        <f>IF(Raw_Data!T426="","",Raw_Data!T426)</f>
        <v/>
      </c>
      <c r="O423" s="12" t="str">
        <f>IF(Raw_Data!AB426&lt;&gt;"",Raw_Data!AB426,IF(N423="tres_insatisfait",1,IF(N423="insatisfait",2,IF(N423="neutre",3,IF(N423="satisfait",4,IF(N423="tres_satisfait",5,""))))))</f>
        <v/>
      </c>
      <c r="P423" s="12">
        <f>IF(Raw_Data!AL426&lt;&gt;"",Raw_Data!AL426,Raw_Data!R426)</f>
        <v>0</v>
      </c>
      <c r="Q423" s="12">
        <f t="shared" si="56"/>
        <v>0</v>
      </c>
      <c r="R423" s="12" t="str">
        <f>IF(Raw_Data!AM426="","",Raw_Data!AM426)</f>
        <v/>
      </c>
      <c r="S423" s="12" t="str">
        <f t="shared" si="57"/>
        <v/>
      </c>
      <c r="T423" s="12" t="str">
        <f>IF(Raw_Data!AN426="","",Raw_Data!AN426)</f>
        <v/>
      </c>
      <c r="U423" s="12" t="str">
        <f t="shared" si="58"/>
        <v/>
      </c>
      <c r="V423" s="12" t="str">
        <f>IF(Raw_Data!AP426="","",IF(Raw_Data!AP426="oui",1,0))</f>
        <v/>
      </c>
      <c r="W423" s="12" t="str">
        <f>IF(Raw_Data!AQ426="","",IF(Raw_Data!AQ426="oui",1,0))</f>
        <v/>
      </c>
      <c r="X423" s="12" t="str">
        <f>IF(Raw_Data!AR426="","",IF(Raw_Data!AR426="oui",1,0))</f>
        <v/>
      </c>
      <c r="Y423" s="12" t="str">
        <f>IF(Raw_Data!AS426="","",IF(Raw_Data!AS426="oui",1,0))</f>
        <v/>
      </c>
      <c r="Z423" s="12" t="str">
        <f>IF(Raw_Data!V426="","",IF(Raw_Data!V426="oui",1,0))</f>
        <v/>
      </c>
      <c r="AA423" s="12" t="str">
        <f>IF(Raw_Data!W426="","",IF(Raw_Data!W426="oui",1,0))</f>
        <v/>
      </c>
      <c r="AB423" s="12" t="str">
        <f>IF(Raw_Data!Q426="","",IF(Raw_Data!Q426="oui",1,0))</f>
        <v/>
      </c>
      <c r="AC423" s="12">
        <f>Raw_Data!AF426</f>
        <v>0</v>
      </c>
      <c r="AD423" s="12" t="str">
        <f t="shared" si="59"/>
        <v/>
      </c>
      <c r="AE423" s="12" t="str">
        <f t="shared" si="60"/>
        <v/>
      </c>
      <c r="AF423" s="12" t="str">
        <f t="shared" si="61"/>
        <v/>
      </c>
      <c r="AG423" s="12">
        <f t="shared" si="62"/>
        <v>0</v>
      </c>
    </row>
    <row r="424" spans="1:33" ht="15" customHeight="1" x14ac:dyDescent="0.25">
      <c r="A424" s="12" t="str">
        <f>IF(Raw_Data!B427="","",Raw_Data!B427)</f>
        <v/>
      </c>
      <c r="B424" s="12">
        <f>IF(Raw_Data!X427&lt;&gt;"",Raw_Data!X427,Raw_Data!C427)</f>
        <v>0</v>
      </c>
      <c r="C424" s="12" t="str">
        <f>IF(Raw_Data!G427="","",Raw_Data!G427)</f>
        <v/>
      </c>
      <c r="D424" s="12" t="str">
        <f>IF(Raw_Data!H427="","",Raw_Data!H427)</f>
        <v/>
      </c>
      <c r="E424" s="12" t="str">
        <f>IF(Raw_Data!I427="","",Raw_Data!I427)</f>
        <v/>
      </c>
      <c r="F424" s="12" t="str">
        <f>IF(Raw_Data!J427="","",Raw_Data!J427)</f>
        <v/>
      </c>
      <c r="G424" s="12" t="str">
        <f>IF(Raw_Data!AH427&lt;&gt;"",Raw_Data!AH427,IF(Raw_Data!K427&lt;&gt;"",Raw_Data!K427,""))</f>
        <v/>
      </c>
      <c r="H424" s="12" t="str">
        <f>IF(Raw_Data!AI427&lt;&gt;"",Raw_Data!AI427,IF(Raw_Data!L427&lt;&gt;"",Raw_Data!L427,""))</f>
        <v/>
      </c>
      <c r="I424" s="12" t="str">
        <f t="shared" si="54"/>
        <v/>
      </c>
      <c r="J424" s="12" t="str">
        <f>IF(Raw_Data!M427="","",Raw_Data!M427)</f>
        <v/>
      </c>
      <c r="K424" s="12">
        <f>IF(Raw_Data!AJ427&lt;&gt;"",Raw_Data!AJ427,Raw_Data!N427)</f>
        <v>0</v>
      </c>
      <c r="L424" s="12">
        <f t="shared" si="55"/>
        <v>1</v>
      </c>
      <c r="M424" s="12" t="str">
        <f>IF(Raw_Data!AK427="","",Raw_Data!AK427)</f>
        <v/>
      </c>
      <c r="N424" s="12" t="str">
        <f>IF(Raw_Data!T427="","",Raw_Data!T427)</f>
        <v/>
      </c>
      <c r="O424" s="12" t="str">
        <f>IF(Raw_Data!AB427&lt;&gt;"",Raw_Data!AB427,IF(N424="tres_insatisfait",1,IF(N424="insatisfait",2,IF(N424="neutre",3,IF(N424="satisfait",4,IF(N424="tres_satisfait",5,""))))))</f>
        <v/>
      </c>
      <c r="P424" s="12">
        <f>IF(Raw_Data!AL427&lt;&gt;"",Raw_Data!AL427,Raw_Data!R427)</f>
        <v>0</v>
      </c>
      <c r="Q424" s="12">
        <f t="shared" si="56"/>
        <v>0</v>
      </c>
      <c r="R424" s="12" t="str">
        <f>IF(Raw_Data!AM427="","",Raw_Data!AM427)</f>
        <v/>
      </c>
      <c r="S424" s="12" t="str">
        <f t="shared" si="57"/>
        <v/>
      </c>
      <c r="T424" s="12" t="str">
        <f>IF(Raw_Data!AN427="","",Raw_Data!AN427)</f>
        <v/>
      </c>
      <c r="U424" s="12" t="str">
        <f t="shared" si="58"/>
        <v/>
      </c>
      <c r="V424" s="12" t="str">
        <f>IF(Raw_Data!AP427="","",IF(Raw_Data!AP427="oui",1,0))</f>
        <v/>
      </c>
      <c r="W424" s="12" t="str">
        <f>IF(Raw_Data!AQ427="","",IF(Raw_Data!AQ427="oui",1,0))</f>
        <v/>
      </c>
      <c r="X424" s="12" t="str">
        <f>IF(Raw_Data!AR427="","",IF(Raw_Data!AR427="oui",1,0))</f>
        <v/>
      </c>
      <c r="Y424" s="12" t="str">
        <f>IF(Raw_Data!AS427="","",IF(Raw_Data!AS427="oui",1,0))</f>
        <v/>
      </c>
      <c r="Z424" s="12" t="str">
        <f>IF(Raw_Data!V427="","",IF(Raw_Data!V427="oui",1,0))</f>
        <v/>
      </c>
      <c r="AA424" s="12" t="str">
        <f>IF(Raw_Data!W427="","",IF(Raw_Data!W427="oui",1,0))</f>
        <v/>
      </c>
      <c r="AB424" s="12" t="str">
        <f>IF(Raw_Data!Q427="","",IF(Raw_Data!Q427="oui",1,0))</f>
        <v/>
      </c>
      <c r="AC424" s="12">
        <f>Raw_Data!AF427</f>
        <v>0</v>
      </c>
      <c r="AD424" s="12" t="str">
        <f t="shared" si="59"/>
        <v/>
      </c>
      <c r="AE424" s="12" t="str">
        <f t="shared" si="60"/>
        <v/>
      </c>
      <c r="AF424" s="12" t="str">
        <f t="shared" si="61"/>
        <v/>
      </c>
      <c r="AG424" s="12">
        <f t="shared" si="62"/>
        <v>0</v>
      </c>
    </row>
    <row r="425" spans="1:33" ht="15" customHeight="1" x14ac:dyDescent="0.25">
      <c r="A425" s="12" t="str">
        <f>IF(Raw_Data!B428="","",Raw_Data!B428)</f>
        <v/>
      </c>
      <c r="B425" s="12">
        <f>IF(Raw_Data!X428&lt;&gt;"",Raw_Data!X428,Raw_Data!C428)</f>
        <v>0</v>
      </c>
      <c r="C425" s="12" t="str">
        <f>IF(Raw_Data!G428="","",Raw_Data!G428)</f>
        <v/>
      </c>
      <c r="D425" s="12" t="str">
        <f>IF(Raw_Data!H428="","",Raw_Data!H428)</f>
        <v/>
      </c>
      <c r="E425" s="12" t="str">
        <f>IF(Raw_Data!I428="","",Raw_Data!I428)</f>
        <v/>
      </c>
      <c r="F425" s="12" t="str">
        <f>IF(Raw_Data!J428="","",Raw_Data!J428)</f>
        <v/>
      </c>
      <c r="G425" s="12" t="str">
        <f>IF(Raw_Data!AH428&lt;&gt;"",Raw_Data!AH428,IF(Raw_Data!K428&lt;&gt;"",Raw_Data!K428,""))</f>
        <v/>
      </c>
      <c r="H425" s="12" t="str">
        <f>IF(Raw_Data!AI428&lt;&gt;"",Raw_Data!AI428,IF(Raw_Data!L428&lt;&gt;"",Raw_Data!L428,""))</f>
        <v/>
      </c>
      <c r="I425" s="12" t="str">
        <f t="shared" si="54"/>
        <v/>
      </c>
      <c r="J425" s="12" t="str">
        <f>IF(Raw_Data!M428="","",Raw_Data!M428)</f>
        <v/>
      </c>
      <c r="K425" s="12">
        <f>IF(Raw_Data!AJ428&lt;&gt;"",Raw_Data!AJ428,Raw_Data!N428)</f>
        <v>0</v>
      </c>
      <c r="L425" s="12">
        <f t="shared" si="55"/>
        <v>1</v>
      </c>
      <c r="M425" s="12" t="str">
        <f>IF(Raw_Data!AK428="","",Raw_Data!AK428)</f>
        <v/>
      </c>
      <c r="N425" s="12" t="str">
        <f>IF(Raw_Data!T428="","",Raw_Data!T428)</f>
        <v/>
      </c>
      <c r="O425" s="12" t="str">
        <f>IF(Raw_Data!AB428&lt;&gt;"",Raw_Data!AB428,IF(N425="tres_insatisfait",1,IF(N425="insatisfait",2,IF(N425="neutre",3,IF(N425="satisfait",4,IF(N425="tres_satisfait",5,""))))))</f>
        <v/>
      </c>
      <c r="P425" s="12">
        <f>IF(Raw_Data!AL428&lt;&gt;"",Raw_Data!AL428,Raw_Data!R428)</f>
        <v>0</v>
      </c>
      <c r="Q425" s="12">
        <f t="shared" si="56"/>
        <v>0</v>
      </c>
      <c r="R425" s="12" t="str">
        <f>IF(Raw_Data!AM428="","",Raw_Data!AM428)</f>
        <v/>
      </c>
      <c r="S425" s="12" t="str">
        <f t="shared" si="57"/>
        <v/>
      </c>
      <c r="T425" s="12" t="str">
        <f>IF(Raw_Data!AN428="","",Raw_Data!AN428)</f>
        <v/>
      </c>
      <c r="U425" s="12" t="str">
        <f t="shared" si="58"/>
        <v/>
      </c>
      <c r="V425" s="12" t="str">
        <f>IF(Raw_Data!AP428="","",IF(Raw_Data!AP428="oui",1,0))</f>
        <v/>
      </c>
      <c r="W425" s="12" t="str">
        <f>IF(Raw_Data!AQ428="","",IF(Raw_Data!AQ428="oui",1,0))</f>
        <v/>
      </c>
      <c r="X425" s="12" t="str">
        <f>IF(Raw_Data!AR428="","",IF(Raw_Data!AR428="oui",1,0))</f>
        <v/>
      </c>
      <c r="Y425" s="12" t="str">
        <f>IF(Raw_Data!AS428="","",IF(Raw_Data!AS428="oui",1,0))</f>
        <v/>
      </c>
      <c r="Z425" s="12" t="str">
        <f>IF(Raw_Data!V428="","",IF(Raw_Data!V428="oui",1,0))</f>
        <v/>
      </c>
      <c r="AA425" s="12" t="str">
        <f>IF(Raw_Data!W428="","",IF(Raw_Data!W428="oui",1,0))</f>
        <v/>
      </c>
      <c r="AB425" s="12" t="str">
        <f>IF(Raw_Data!Q428="","",IF(Raw_Data!Q428="oui",1,0))</f>
        <v/>
      </c>
      <c r="AC425" s="12">
        <f>Raw_Data!AF428</f>
        <v>0</v>
      </c>
      <c r="AD425" s="12" t="str">
        <f t="shared" si="59"/>
        <v/>
      </c>
      <c r="AE425" s="12" t="str">
        <f t="shared" si="60"/>
        <v/>
      </c>
      <c r="AF425" s="12" t="str">
        <f t="shared" si="61"/>
        <v/>
      </c>
      <c r="AG425" s="12">
        <f t="shared" si="62"/>
        <v>0</v>
      </c>
    </row>
    <row r="426" spans="1:33" ht="15" customHeight="1" x14ac:dyDescent="0.25">
      <c r="A426" s="12" t="str">
        <f>IF(Raw_Data!B429="","",Raw_Data!B429)</f>
        <v/>
      </c>
      <c r="B426" s="12">
        <f>IF(Raw_Data!X429&lt;&gt;"",Raw_Data!X429,Raw_Data!C429)</f>
        <v>0</v>
      </c>
      <c r="C426" s="12" t="str">
        <f>IF(Raw_Data!G429="","",Raw_Data!G429)</f>
        <v/>
      </c>
      <c r="D426" s="12" t="str">
        <f>IF(Raw_Data!H429="","",Raw_Data!H429)</f>
        <v/>
      </c>
      <c r="E426" s="12" t="str">
        <f>IF(Raw_Data!I429="","",Raw_Data!I429)</f>
        <v/>
      </c>
      <c r="F426" s="12" t="str">
        <f>IF(Raw_Data!J429="","",Raw_Data!J429)</f>
        <v/>
      </c>
      <c r="G426" s="12" t="str">
        <f>IF(Raw_Data!AH429&lt;&gt;"",Raw_Data!AH429,IF(Raw_Data!K429&lt;&gt;"",Raw_Data!K429,""))</f>
        <v/>
      </c>
      <c r="H426" s="12" t="str">
        <f>IF(Raw_Data!AI429&lt;&gt;"",Raw_Data!AI429,IF(Raw_Data!L429&lt;&gt;"",Raw_Data!L429,""))</f>
        <v/>
      </c>
      <c r="I426" s="12" t="str">
        <f t="shared" si="54"/>
        <v/>
      </c>
      <c r="J426" s="12" t="str">
        <f>IF(Raw_Data!M429="","",Raw_Data!M429)</f>
        <v/>
      </c>
      <c r="K426" s="12">
        <f>IF(Raw_Data!AJ429&lt;&gt;"",Raw_Data!AJ429,Raw_Data!N429)</f>
        <v>0</v>
      </c>
      <c r="L426" s="12">
        <f t="shared" si="55"/>
        <v>1</v>
      </c>
      <c r="M426" s="12" t="str">
        <f>IF(Raw_Data!AK429="","",Raw_Data!AK429)</f>
        <v/>
      </c>
      <c r="N426" s="12" t="str">
        <f>IF(Raw_Data!T429="","",Raw_Data!T429)</f>
        <v/>
      </c>
      <c r="O426" s="12" t="str">
        <f>IF(Raw_Data!AB429&lt;&gt;"",Raw_Data!AB429,IF(N426="tres_insatisfait",1,IF(N426="insatisfait",2,IF(N426="neutre",3,IF(N426="satisfait",4,IF(N426="tres_satisfait",5,""))))))</f>
        <v/>
      </c>
      <c r="P426" s="12">
        <f>IF(Raw_Data!AL429&lt;&gt;"",Raw_Data!AL429,Raw_Data!R429)</f>
        <v>0</v>
      </c>
      <c r="Q426" s="12">
        <f t="shared" si="56"/>
        <v>0</v>
      </c>
      <c r="R426" s="12" t="str">
        <f>IF(Raw_Data!AM429="","",Raw_Data!AM429)</f>
        <v/>
      </c>
      <c r="S426" s="12" t="str">
        <f t="shared" si="57"/>
        <v/>
      </c>
      <c r="T426" s="12" t="str">
        <f>IF(Raw_Data!AN429="","",Raw_Data!AN429)</f>
        <v/>
      </c>
      <c r="U426" s="12" t="str">
        <f t="shared" si="58"/>
        <v/>
      </c>
      <c r="V426" s="12" t="str">
        <f>IF(Raw_Data!AP429="","",IF(Raw_Data!AP429="oui",1,0))</f>
        <v/>
      </c>
      <c r="W426" s="12" t="str">
        <f>IF(Raw_Data!AQ429="","",IF(Raw_Data!AQ429="oui",1,0))</f>
        <v/>
      </c>
      <c r="X426" s="12" t="str">
        <f>IF(Raw_Data!AR429="","",IF(Raw_Data!AR429="oui",1,0))</f>
        <v/>
      </c>
      <c r="Y426" s="12" t="str">
        <f>IF(Raw_Data!AS429="","",IF(Raw_Data!AS429="oui",1,0))</f>
        <v/>
      </c>
      <c r="Z426" s="12" t="str">
        <f>IF(Raw_Data!V429="","",IF(Raw_Data!V429="oui",1,0))</f>
        <v/>
      </c>
      <c r="AA426" s="12" t="str">
        <f>IF(Raw_Data!W429="","",IF(Raw_Data!W429="oui",1,0))</f>
        <v/>
      </c>
      <c r="AB426" s="12" t="str">
        <f>IF(Raw_Data!Q429="","",IF(Raw_Data!Q429="oui",1,0))</f>
        <v/>
      </c>
      <c r="AC426" s="12">
        <f>Raw_Data!AF429</f>
        <v>0</v>
      </c>
      <c r="AD426" s="12" t="str">
        <f t="shared" si="59"/>
        <v/>
      </c>
      <c r="AE426" s="12" t="str">
        <f t="shared" si="60"/>
        <v/>
      </c>
      <c r="AF426" s="12" t="str">
        <f t="shared" si="61"/>
        <v/>
      </c>
      <c r="AG426" s="12">
        <f t="shared" si="62"/>
        <v>0</v>
      </c>
    </row>
    <row r="427" spans="1:33" ht="15" customHeight="1" x14ac:dyDescent="0.25">
      <c r="A427" s="12" t="str">
        <f>IF(Raw_Data!B430="","",Raw_Data!B430)</f>
        <v/>
      </c>
      <c r="B427" s="12">
        <f>IF(Raw_Data!X430&lt;&gt;"",Raw_Data!X430,Raw_Data!C430)</f>
        <v>0</v>
      </c>
      <c r="C427" s="12" t="str">
        <f>IF(Raw_Data!G430="","",Raw_Data!G430)</f>
        <v/>
      </c>
      <c r="D427" s="12" t="str">
        <f>IF(Raw_Data!H430="","",Raw_Data!H430)</f>
        <v/>
      </c>
      <c r="E427" s="12" t="str">
        <f>IF(Raw_Data!I430="","",Raw_Data!I430)</f>
        <v/>
      </c>
      <c r="F427" s="12" t="str">
        <f>IF(Raw_Data!J430="","",Raw_Data!J430)</f>
        <v/>
      </c>
      <c r="G427" s="12" t="str">
        <f>IF(Raw_Data!AH430&lt;&gt;"",Raw_Data!AH430,IF(Raw_Data!K430&lt;&gt;"",Raw_Data!K430,""))</f>
        <v/>
      </c>
      <c r="H427" s="12" t="str">
        <f>IF(Raw_Data!AI430&lt;&gt;"",Raw_Data!AI430,IF(Raw_Data!L430&lt;&gt;"",Raw_Data!L430,""))</f>
        <v/>
      </c>
      <c r="I427" s="12" t="str">
        <f t="shared" si="54"/>
        <v/>
      </c>
      <c r="J427" s="12" t="str">
        <f>IF(Raw_Data!M430="","",Raw_Data!M430)</f>
        <v/>
      </c>
      <c r="K427" s="12">
        <f>IF(Raw_Data!AJ430&lt;&gt;"",Raw_Data!AJ430,Raw_Data!N430)</f>
        <v>0</v>
      </c>
      <c r="L427" s="12">
        <f t="shared" si="55"/>
        <v>1</v>
      </c>
      <c r="M427" s="12" t="str">
        <f>IF(Raw_Data!AK430="","",Raw_Data!AK430)</f>
        <v/>
      </c>
      <c r="N427" s="12" t="str">
        <f>IF(Raw_Data!T430="","",Raw_Data!T430)</f>
        <v/>
      </c>
      <c r="O427" s="12" t="str">
        <f>IF(Raw_Data!AB430&lt;&gt;"",Raw_Data!AB430,IF(N427="tres_insatisfait",1,IF(N427="insatisfait",2,IF(N427="neutre",3,IF(N427="satisfait",4,IF(N427="tres_satisfait",5,""))))))</f>
        <v/>
      </c>
      <c r="P427" s="12">
        <f>IF(Raw_Data!AL430&lt;&gt;"",Raw_Data!AL430,Raw_Data!R430)</f>
        <v>0</v>
      </c>
      <c r="Q427" s="12">
        <f t="shared" si="56"/>
        <v>0</v>
      </c>
      <c r="R427" s="12" t="str">
        <f>IF(Raw_Data!AM430="","",Raw_Data!AM430)</f>
        <v/>
      </c>
      <c r="S427" s="12" t="str">
        <f t="shared" si="57"/>
        <v/>
      </c>
      <c r="T427" s="12" t="str">
        <f>IF(Raw_Data!AN430="","",Raw_Data!AN430)</f>
        <v/>
      </c>
      <c r="U427" s="12" t="str">
        <f t="shared" si="58"/>
        <v/>
      </c>
      <c r="V427" s="12" t="str">
        <f>IF(Raw_Data!AP430="","",IF(Raw_Data!AP430="oui",1,0))</f>
        <v/>
      </c>
      <c r="W427" s="12" t="str">
        <f>IF(Raw_Data!AQ430="","",IF(Raw_Data!AQ430="oui",1,0))</f>
        <v/>
      </c>
      <c r="X427" s="12" t="str">
        <f>IF(Raw_Data!AR430="","",IF(Raw_Data!AR430="oui",1,0))</f>
        <v/>
      </c>
      <c r="Y427" s="12" t="str">
        <f>IF(Raw_Data!AS430="","",IF(Raw_Data!AS430="oui",1,0))</f>
        <v/>
      </c>
      <c r="Z427" s="12" t="str">
        <f>IF(Raw_Data!V430="","",IF(Raw_Data!V430="oui",1,0))</f>
        <v/>
      </c>
      <c r="AA427" s="12" t="str">
        <f>IF(Raw_Data!W430="","",IF(Raw_Data!W430="oui",1,0))</f>
        <v/>
      </c>
      <c r="AB427" s="12" t="str">
        <f>IF(Raw_Data!Q430="","",IF(Raw_Data!Q430="oui",1,0))</f>
        <v/>
      </c>
      <c r="AC427" s="12">
        <f>Raw_Data!AF430</f>
        <v>0</v>
      </c>
      <c r="AD427" s="12" t="str">
        <f t="shared" si="59"/>
        <v/>
      </c>
      <c r="AE427" s="12" t="str">
        <f t="shared" si="60"/>
        <v/>
      </c>
      <c r="AF427" s="12" t="str">
        <f t="shared" si="61"/>
        <v/>
      </c>
      <c r="AG427" s="12">
        <f t="shared" si="62"/>
        <v>0</v>
      </c>
    </row>
    <row r="428" spans="1:33" ht="15" customHeight="1" x14ac:dyDescent="0.25">
      <c r="A428" s="12" t="str">
        <f>IF(Raw_Data!B431="","",Raw_Data!B431)</f>
        <v/>
      </c>
      <c r="B428" s="12">
        <f>IF(Raw_Data!X431&lt;&gt;"",Raw_Data!X431,Raw_Data!C431)</f>
        <v>0</v>
      </c>
      <c r="C428" s="12" t="str">
        <f>IF(Raw_Data!G431="","",Raw_Data!G431)</f>
        <v/>
      </c>
      <c r="D428" s="12" t="str">
        <f>IF(Raw_Data!H431="","",Raw_Data!H431)</f>
        <v/>
      </c>
      <c r="E428" s="12" t="str">
        <f>IF(Raw_Data!I431="","",Raw_Data!I431)</f>
        <v/>
      </c>
      <c r="F428" s="12" t="str">
        <f>IF(Raw_Data!J431="","",Raw_Data!J431)</f>
        <v/>
      </c>
      <c r="G428" s="12" t="str">
        <f>IF(Raw_Data!AH431&lt;&gt;"",Raw_Data!AH431,IF(Raw_Data!K431&lt;&gt;"",Raw_Data!K431,""))</f>
        <v/>
      </c>
      <c r="H428" s="12" t="str">
        <f>IF(Raw_Data!AI431&lt;&gt;"",Raw_Data!AI431,IF(Raw_Data!L431&lt;&gt;"",Raw_Data!L431,""))</f>
        <v/>
      </c>
      <c r="I428" s="12" t="str">
        <f t="shared" si="54"/>
        <v/>
      </c>
      <c r="J428" s="12" t="str">
        <f>IF(Raw_Data!M431="","",Raw_Data!M431)</f>
        <v/>
      </c>
      <c r="K428" s="12">
        <f>IF(Raw_Data!AJ431&lt;&gt;"",Raw_Data!AJ431,Raw_Data!N431)</f>
        <v>0</v>
      </c>
      <c r="L428" s="12">
        <f t="shared" si="55"/>
        <v>1</v>
      </c>
      <c r="M428" s="12" t="str">
        <f>IF(Raw_Data!AK431="","",Raw_Data!AK431)</f>
        <v/>
      </c>
      <c r="N428" s="12" t="str">
        <f>IF(Raw_Data!T431="","",Raw_Data!T431)</f>
        <v/>
      </c>
      <c r="O428" s="12" t="str">
        <f>IF(Raw_Data!AB431&lt;&gt;"",Raw_Data!AB431,IF(N428="tres_insatisfait",1,IF(N428="insatisfait",2,IF(N428="neutre",3,IF(N428="satisfait",4,IF(N428="tres_satisfait",5,""))))))</f>
        <v/>
      </c>
      <c r="P428" s="12">
        <f>IF(Raw_Data!AL431&lt;&gt;"",Raw_Data!AL431,Raw_Data!R431)</f>
        <v>0</v>
      </c>
      <c r="Q428" s="12">
        <f t="shared" si="56"/>
        <v>0</v>
      </c>
      <c r="R428" s="12" t="str">
        <f>IF(Raw_Data!AM431="","",Raw_Data!AM431)</f>
        <v/>
      </c>
      <c r="S428" s="12" t="str">
        <f t="shared" si="57"/>
        <v/>
      </c>
      <c r="T428" s="12" t="str">
        <f>IF(Raw_Data!AN431="","",Raw_Data!AN431)</f>
        <v/>
      </c>
      <c r="U428" s="12" t="str">
        <f t="shared" si="58"/>
        <v/>
      </c>
      <c r="V428" s="12" t="str">
        <f>IF(Raw_Data!AP431="","",IF(Raw_Data!AP431="oui",1,0))</f>
        <v/>
      </c>
      <c r="W428" s="12" t="str">
        <f>IF(Raw_Data!AQ431="","",IF(Raw_Data!AQ431="oui",1,0))</f>
        <v/>
      </c>
      <c r="X428" s="12" t="str">
        <f>IF(Raw_Data!AR431="","",IF(Raw_Data!AR431="oui",1,0))</f>
        <v/>
      </c>
      <c r="Y428" s="12" t="str">
        <f>IF(Raw_Data!AS431="","",IF(Raw_Data!AS431="oui",1,0))</f>
        <v/>
      </c>
      <c r="Z428" s="12" t="str">
        <f>IF(Raw_Data!V431="","",IF(Raw_Data!V431="oui",1,0))</f>
        <v/>
      </c>
      <c r="AA428" s="12" t="str">
        <f>IF(Raw_Data!W431="","",IF(Raw_Data!W431="oui",1,0))</f>
        <v/>
      </c>
      <c r="AB428" s="12" t="str">
        <f>IF(Raw_Data!Q431="","",IF(Raw_Data!Q431="oui",1,0))</f>
        <v/>
      </c>
      <c r="AC428" s="12">
        <f>Raw_Data!AF431</f>
        <v>0</v>
      </c>
      <c r="AD428" s="12" t="str">
        <f t="shared" si="59"/>
        <v/>
      </c>
      <c r="AE428" s="12" t="str">
        <f t="shared" si="60"/>
        <v/>
      </c>
      <c r="AF428" s="12" t="str">
        <f t="shared" si="61"/>
        <v/>
      </c>
      <c r="AG428" s="12">
        <f t="shared" si="62"/>
        <v>0</v>
      </c>
    </row>
    <row r="429" spans="1:33" ht="15" customHeight="1" x14ac:dyDescent="0.25">
      <c r="A429" s="12" t="str">
        <f>IF(Raw_Data!B432="","",Raw_Data!B432)</f>
        <v/>
      </c>
      <c r="B429" s="12">
        <f>IF(Raw_Data!X432&lt;&gt;"",Raw_Data!X432,Raw_Data!C432)</f>
        <v>0</v>
      </c>
      <c r="C429" s="12" t="str">
        <f>IF(Raw_Data!G432="","",Raw_Data!G432)</f>
        <v/>
      </c>
      <c r="D429" s="12" t="str">
        <f>IF(Raw_Data!H432="","",Raw_Data!H432)</f>
        <v/>
      </c>
      <c r="E429" s="12" t="str">
        <f>IF(Raw_Data!I432="","",Raw_Data!I432)</f>
        <v/>
      </c>
      <c r="F429" s="12" t="str">
        <f>IF(Raw_Data!J432="","",Raw_Data!J432)</f>
        <v/>
      </c>
      <c r="G429" s="12" t="str">
        <f>IF(Raw_Data!AH432&lt;&gt;"",Raw_Data!AH432,IF(Raw_Data!K432&lt;&gt;"",Raw_Data!K432,""))</f>
        <v/>
      </c>
      <c r="H429" s="12" t="str">
        <f>IF(Raw_Data!AI432&lt;&gt;"",Raw_Data!AI432,IF(Raw_Data!L432&lt;&gt;"",Raw_Data!L432,""))</f>
        <v/>
      </c>
      <c r="I429" s="12" t="str">
        <f t="shared" si="54"/>
        <v/>
      </c>
      <c r="J429" s="12" t="str">
        <f>IF(Raw_Data!M432="","",Raw_Data!M432)</f>
        <v/>
      </c>
      <c r="K429" s="12">
        <f>IF(Raw_Data!AJ432&lt;&gt;"",Raw_Data!AJ432,Raw_Data!N432)</f>
        <v>0</v>
      </c>
      <c r="L429" s="12">
        <f t="shared" si="55"/>
        <v>1</v>
      </c>
      <c r="M429" s="12" t="str">
        <f>IF(Raw_Data!AK432="","",Raw_Data!AK432)</f>
        <v/>
      </c>
      <c r="N429" s="12" t="str">
        <f>IF(Raw_Data!T432="","",Raw_Data!T432)</f>
        <v/>
      </c>
      <c r="O429" s="12" t="str">
        <f>IF(Raw_Data!AB432&lt;&gt;"",Raw_Data!AB432,IF(N429="tres_insatisfait",1,IF(N429="insatisfait",2,IF(N429="neutre",3,IF(N429="satisfait",4,IF(N429="tres_satisfait",5,""))))))</f>
        <v/>
      </c>
      <c r="P429" s="12">
        <f>IF(Raw_Data!AL432&lt;&gt;"",Raw_Data!AL432,Raw_Data!R432)</f>
        <v>0</v>
      </c>
      <c r="Q429" s="12">
        <f t="shared" si="56"/>
        <v>0</v>
      </c>
      <c r="R429" s="12" t="str">
        <f>IF(Raw_Data!AM432="","",Raw_Data!AM432)</f>
        <v/>
      </c>
      <c r="S429" s="12" t="str">
        <f t="shared" si="57"/>
        <v/>
      </c>
      <c r="T429" s="12" t="str">
        <f>IF(Raw_Data!AN432="","",Raw_Data!AN432)</f>
        <v/>
      </c>
      <c r="U429" s="12" t="str">
        <f t="shared" si="58"/>
        <v/>
      </c>
      <c r="V429" s="12" t="str">
        <f>IF(Raw_Data!AP432="","",IF(Raw_Data!AP432="oui",1,0))</f>
        <v/>
      </c>
      <c r="W429" s="12" t="str">
        <f>IF(Raw_Data!AQ432="","",IF(Raw_Data!AQ432="oui",1,0))</f>
        <v/>
      </c>
      <c r="X429" s="12" t="str">
        <f>IF(Raw_Data!AR432="","",IF(Raw_Data!AR432="oui",1,0))</f>
        <v/>
      </c>
      <c r="Y429" s="12" t="str">
        <f>IF(Raw_Data!AS432="","",IF(Raw_Data!AS432="oui",1,0))</f>
        <v/>
      </c>
      <c r="Z429" s="12" t="str">
        <f>IF(Raw_Data!V432="","",IF(Raw_Data!V432="oui",1,0))</f>
        <v/>
      </c>
      <c r="AA429" s="12" t="str">
        <f>IF(Raw_Data!W432="","",IF(Raw_Data!W432="oui",1,0))</f>
        <v/>
      </c>
      <c r="AB429" s="12" t="str">
        <f>IF(Raw_Data!Q432="","",IF(Raw_Data!Q432="oui",1,0))</f>
        <v/>
      </c>
      <c r="AC429" s="12">
        <f>Raw_Data!AF432</f>
        <v>0</v>
      </c>
      <c r="AD429" s="12" t="str">
        <f t="shared" si="59"/>
        <v/>
      </c>
      <c r="AE429" s="12" t="str">
        <f t="shared" si="60"/>
        <v/>
      </c>
      <c r="AF429" s="12" t="str">
        <f t="shared" si="61"/>
        <v/>
      </c>
      <c r="AG429" s="12">
        <f t="shared" si="62"/>
        <v>0</v>
      </c>
    </row>
    <row r="430" spans="1:33" ht="15" customHeight="1" x14ac:dyDescent="0.25">
      <c r="A430" s="12" t="str">
        <f>IF(Raw_Data!B433="","",Raw_Data!B433)</f>
        <v/>
      </c>
      <c r="B430" s="12">
        <f>IF(Raw_Data!X433&lt;&gt;"",Raw_Data!X433,Raw_Data!C433)</f>
        <v>0</v>
      </c>
      <c r="C430" s="12" t="str">
        <f>IF(Raw_Data!G433="","",Raw_Data!G433)</f>
        <v/>
      </c>
      <c r="D430" s="12" t="str">
        <f>IF(Raw_Data!H433="","",Raw_Data!H433)</f>
        <v/>
      </c>
      <c r="E430" s="12" t="str">
        <f>IF(Raw_Data!I433="","",Raw_Data!I433)</f>
        <v/>
      </c>
      <c r="F430" s="12" t="str">
        <f>IF(Raw_Data!J433="","",Raw_Data!J433)</f>
        <v/>
      </c>
      <c r="G430" s="12" t="str">
        <f>IF(Raw_Data!AH433&lt;&gt;"",Raw_Data!AH433,IF(Raw_Data!K433&lt;&gt;"",Raw_Data!K433,""))</f>
        <v/>
      </c>
      <c r="H430" s="12" t="str">
        <f>IF(Raw_Data!AI433&lt;&gt;"",Raw_Data!AI433,IF(Raw_Data!L433&lt;&gt;"",Raw_Data!L433,""))</f>
        <v/>
      </c>
      <c r="I430" s="12" t="str">
        <f t="shared" si="54"/>
        <v/>
      </c>
      <c r="J430" s="12" t="str">
        <f>IF(Raw_Data!M433="","",Raw_Data!M433)</f>
        <v/>
      </c>
      <c r="K430" s="12">
        <f>IF(Raw_Data!AJ433&lt;&gt;"",Raw_Data!AJ433,Raw_Data!N433)</f>
        <v>0</v>
      </c>
      <c r="L430" s="12">
        <f t="shared" si="55"/>
        <v>1</v>
      </c>
      <c r="M430" s="12" t="str">
        <f>IF(Raw_Data!AK433="","",Raw_Data!AK433)</f>
        <v/>
      </c>
      <c r="N430" s="12" t="str">
        <f>IF(Raw_Data!T433="","",Raw_Data!T433)</f>
        <v/>
      </c>
      <c r="O430" s="12" t="str">
        <f>IF(Raw_Data!AB433&lt;&gt;"",Raw_Data!AB433,IF(N430="tres_insatisfait",1,IF(N430="insatisfait",2,IF(N430="neutre",3,IF(N430="satisfait",4,IF(N430="tres_satisfait",5,""))))))</f>
        <v/>
      </c>
      <c r="P430" s="12">
        <f>IF(Raw_Data!AL433&lt;&gt;"",Raw_Data!AL433,Raw_Data!R433)</f>
        <v>0</v>
      </c>
      <c r="Q430" s="12">
        <f t="shared" si="56"/>
        <v>0</v>
      </c>
      <c r="R430" s="12" t="str">
        <f>IF(Raw_Data!AM433="","",Raw_Data!AM433)</f>
        <v/>
      </c>
      <c r="S430" s="12" t="str">
        <f t="shared" si="57"/>
        <v/>
      </c>
      <c r="T430" s="12" t="str">
        <f>IF(Raw_Data!AN433="","",Raw_Data!AN433)</f>
        <v/>
      </c>
      <c r="U430" s="12" t="str">
        <f t="shared" si="58"/>
        <v/>
      </c>
      <c r="V430" s="12" t="str">
        <f>IF(Raw_Data!AP433="","",IF(Raw_Data!AP433="oui",1,0))</f>
        <v/>
      </c>
      <c r="W430" s="12" t="str">
        <f>IF(Raw_Data!AQ433="","",IF(Raw_Data!AQ433="oui",1,0))</f>
        <v/>
      </c>
      <c r="X430" s="12" t="str">
        <f>IF(Raw_Data!AR433="","",IF(Raw_Data!AR433="oui",1,0))</f>
        <v/>
      </c>
      <c r="Y430" s="12" t="str">
        <f>IF(Raw_Data!AS433="","",IF(Raw_Data!AS433="oui",1,0))</f>
        <v/>
      </c>
      <c r="Z430" s="12" t="str">
        <f>IF(Raw_Data!V433="","",IF(Raw_Data!V433="oui",1,0))</f>
        <v/>
      </c>
      <c r="AA430" s="12" t="str">
        <f>IF(Raw_Data!W433="","",IF(Raw_Data!W433="oui",1,0))</f>
        <v/>
      </c>
      <c r="AB430" s="12" t="str">
        <f>IF(Raw_Data!Q433="","",IF(Raw_Data!Q433="oui",1,0))</f>
        <v/>
      </c>
      <c r="AC430" s="12">
        <f>Raw_Data!AF433</f>
        <v>0</v>
      </c>
      <c r="AD430" s="12" t="str">
        <f t="shared" si="59"/>
        <v/>
      </c>
      <c r="AE430" s="12" t="str">
        <f t="shared" si="60"/>
        <v/>
      </c>
      <c r="AF430" s="12" t="str">
        <f t="shared" si="61"/>
        <v/>
      </c>
      <c r="AG430" s="12">
        <f t="shared" si="62"/>
        <v>0</v>
      </c>
    </row>
    <row r="431" spans="1:33" ht="15" customHeight="1" x14ac:dyDescent="0.25">
      <c r="A431" s="12" t="str">
        <f>IF(Raw_Data!B434="","",Raw_Data!B434)</f>
        <v/>
      </c>
      <c r="B431" s="12">
        <f>IF(Raw_Data!X434&lt;&gt;"",Raw_Data!X434,Raw_Data!C434)</f>
        <v>0</v>
      </c>
      <c r="C431" s="12" t="str">
        <f>IF(Raw_Data!G434="","",Raw_Data!G434)</f>
        <v/>
      </c>
      <c r="D431" s="12" t="str">
        <f>IF(Raw_Data!H434="","",Raw_Data!H434)</f>
        <v/>
      </c>
      <c r="E431" s="12" t="str">
        <f>IF(Raw_Data!I434="","",Raw_Data!I434)</f>
        <v/>
      </c>
      <c r="F431" s="12" t="str">
        <f>IF(Raw_Data!J434="","",Raw_Data!J434)</f>
        <v/>
      </c>
      <c r="G431" s="12" t="str">
        <f>IF(Raw_Data!AH434&lt;&gt;"",Raw_Data!AH434,IF(Raw_Data!K434&lt;&gt;"",Raw_Data!K434,""))</f>
        <v/>
      </c>
      <c r="H431" s="12" t="str">
        <f>IF(Raw_Data!AI434&lt;&gt;"",Raw_Data!AI434,IF(Raw_Data!L434&lt;&gt;"",Raw_Data!L434,""))</f>
        <v/>
      </c>
      <c r="I431" s="12" t="str">
        <f t="shared" si="54"/>
        <v/>
      </c>
      <c r="J431" s="12" t="str">
        <f>IF(Raw_Data!M434="","",Raw_Data!M434)</f>
        <v/>
      </c>
      <c r="K431" s="12">
        <f>IF(Raw_Data!AJ434&lt;&gt;"",Raw_Data!AJ434,Raw_Data!N434)</f>
        <v>0</v>
      </c>
      <c r="L431" s="12">
        <f t="shared" si="55"/>
        <v>1</v>
      </c>
      <c r="M431" s="12" t="str">
        <f>IF(Raw_Data!AK434="","",Raw_Data!AK434)</f>
        <v/>
      </c>
      <c r="N431" s="12" t="str">
        <f>IF(Raw_Data!T434="","",Raw_Data!T434)</f>
        <v/>
      </c>
      <c r="O431" s="12" t="str">
        <f>IF(Raw_Data!AB434&lt;&gt;"",Raw_Data!AB434,IF(N431="tres_insatisfait",1,IF(N431="insatisfait",2,IF(N431="neutre",3,IF(N431="satisfait",4,IF(N431="tres_satisfait",5,""))))))</f>
        <v/>
      </c>
      <c r="P431" s="12">
        <f>IF(Raw_Data!AL434&lt;&gt;"",Raw_Data!AL434,Raw_Data!R434)</f>
        <v>0</v>
      </c>
      <c r="Q431" s="12">
        <f t="shared" si="56"/>
        <v>0</v>
      </c>
      <c r="R431" s="12" t="str">
        <f>IF(Raw_Data!AM434="","",Raw_Data!AM434)</f>
        <v/>
      </c>
      <c r="S431" s="12" t="str">
        <f t="shared" si="57"/>
        <v/>
      </c>
      <c r="T431" s="12" t="str">
        <f>IF(Raw_Data!AN434="","",Raw_Data!AN434)</f>
        <v/>
      </c>
      <c r="U431" s="12" t="str">
        <f t="shared" si="58"/>
        <v/>
      </c>
      <c r="V431" s="12" t="str">
        <f>IF(Raw_Data!AP434="","",IF(Raw_Data!AP434="oui",1,0))</f>
        <v/>
      </c>
      <c r="W431" s="12" t="str">
        <f>IF(Raw_Data!AQ434="","",IF(Raw_Data!AQ434="oui",1,0))</f>
        <v/>
      </c>
      <c r="X431" s="12" t="str">
        <f>IF(Raw_Data!AR434="","",IF(Raw_Data!AR434="oui",1,0))</f>
        <v/>
      </c>
      <c r="Y431" s="12" t="str">
        <f>IF(Raw_Data!AS434="","",IF(Raw_Data!AS434="oui",1,0))</f>
        <v/>
      </c>
      <c r="Z431" s="12" t="str">
        <f>IF(Raw_Data!V434="","",IF(Raw_Data!V434="oui",1,0))</f>
        <v/>
      </c>
      <c r="AA431" s="12" t="str">
        <f>IF(Raw_Data!W434="","",IF(Raw_Data!W434="oui",1,0))</f>
        <v/>
      </c>
      <c r="AB431" s="12" t="str">
        <f>IF(Raw_Data!Q434="","",IF(Raw_Data!Q434="oui",1,0))</f>
        <v/>
      </c>
      <c r="AC431" s="12">
        <f>Raw_Data!AF434</f>
        <v>0</v>
      </c>
      <c r="AD431" s="12" t="str">
        <f t="shared" si="59"/>
        <v/>
      </c>
      <c r="AE431" s="12" t="str">
        <f t="shared" si="60"/>
        <v/>
      </c>
      <c r="AF431" s="12" t="str">
        <f t="shared" si="61"/>
        <v/>
      </c>
      <c r="AG431" s="12">
        <f t="shared" si="62"/>
        <v>0</v>
      </c>
    </row>
    <row r="432" spans="1:33" ht="15" customHeight="1" x14ac:dyDescent="0.25">
      <c r="A432" s="12" t="str">
        <f>IF(Raw_Data!B435="","",Raw_Data!B435)</f>
        <v/>
      </c>
      <c r="B432" s="12">
        <f>IF(Raw_Data!X435&lt;&gt;"",Raw_Data!X435,Raw_Data!C435)</f>
        <v>0</v>
      </c>
      <c r="C432" s="12" t="str">
        <f>IF(Raw_Data!G435="","",Raw_Data!G435)</f>
        <v/>
      </c>
      <c r="D432" s="12" t="str">
        <f>IF(Raw_Data!H435="","",Raw_Data!H435)</f>
        <v/>
      </c>
      <c r="E432" s="12" t="str">
        <f>IF(Raw_Data!I435="","",Raw_Data!I435)</f>
        <v/>
      </c>
      <c r="F432" s="12" t="str">
        <f>IF(Raw_Data!J435="","",Raw_Data!J435)</f>
        <v/>
      </c>
      <c r="G432" s="12" t="str">
        <f>IF(Raw_Data!AH435&lt;&gt;"",Raw_Data!AH435,IF(Raw_Data!K435&lt;&gt;"",Raw_Data!K435,""))</f>
        <v/>
      </c>
      <c r="H432" s="12" t="str">
        <f>IF(Raw_Data!AI435&lt;&gt;"",Raw_Data!AI435,IF(Raw_Data!L435&lt;&gt;"",Raw_Data!L435,""))</f>
        <v/>
      </c>
      <c r="I432" s="12" t="str">
        <f t="shared" si="54"/>
        <v/>
      </c>
      <c r="J432" s="12" t="str">
        <f>IF(Raw_Data!M435="","",Raw_Data!M435)</f>
        <v/>
      </c>
      <c r="K432" s="12">
        <f>IF(Raw_Data!AJ435&lt;&gt;"",Raw_Data!AJ435,Raw_Data!N435)</f>
        <v>0</v>
      </c>
      <c r="L432" s="12">
        <f t="shared" si="55"/>
        <v>1</v>
      </c>
      <c r="M432" s="12" t="str">
        <f>IF(Raw_Data!AK435="","",Raw_Data!AK435)</f>
        <v/>
      </c>
      <c r="N432" s="12" t="str">
        <f>IF(Raw_Data!T435="","",Raw_Data!T435)</f>
        <v/>
      </c>
      <c r="O432" s="12" t="str">
        <f>IF(Raw_Data!AB435&lt;&gt;"",Raw_Data!AB435,IF(N432="tres_insatisfait",1,IF(N432="insatisfait",2,IF(N432="neutre",3,IF(N432="satisfait",4,IF(N432="tres_satisfait",5,""))))))</f>
        <v/>
      </c>
      <c r="P432" s="12">
        <f>IF(Raw_Data!AL435&lt;&gt;"",Raw_Data!AL435,Raw_Data!R435)</f>
        <v>0</v>
      </c>
      <c r="Q432" s="12">
        <f t="shared" si="56"/>
        <v>0</v>
      </c>
      <c r="R432" s="12" t="str">
        <f>IF(Raw_Data!AM435="","",Raw_Data!AM435)</f>
        <v/>
      </c>
      <c r="S432" s="12" t="str">
        <f t="shared" si="57"/>
        <v/>
      </c>
      <c r="T432" s="12" t="str">
        <f>IF(Raw_Data!AN435="","",Raw_Data!AN435)</f>
        <v/>
      </c>
      <c r="U432" s="12" t="str">
        <f t="shared" si="58"/>
        <v/>
      </c>
      <c r="V432" s="12" t="str">
        <f>IF(Raw_Data!AP435="","",IF(Raw_Data!AP435="oui",1,0))</f>
        <v/>
      </c>
      <c r="W432" s="12" t="str">
        <f>IF(Raw_Data!AQ435="","",IF(Raw_Data!AQ435="oui",1,0))</f>
        <v/>
      </c>
      <c r="X432" s="12" t="str">
        <f>IF(Raw_Data!AR435="","",IF(Raw_Data!AR435="oui",1,0))</f>
        <v/>
      </c>
      <c r="Y432" s="12" t="str">
        <f>IF(Raw_Data!AS435="","",IF(Raw_Data!AS435="oui",1,0))</f>
        <v/>
      </c>
      <c r="Z432" s="12" t="str">
        <f>IF(Raw_Data!V435="","",IF(Raw_Data!V435="oui",1,0))</f>
        <v/>
      </c>
      <c r="AA432" s="12" t="str">
        <f>IF(Raw_Data!W435="","",IF(Raw_Data!W435="oui",1,0))</f>
        <v/>
      </c>
      <c r="AB432" s="12" t="str">
        <f>IF(Raw_Data!Q435="","",IF(Raw_Data!Q435="oui",1,0))</f>
        <v/>
      </c>
      <c r="AC432" s="12">
        <f>Raw_Data!AF435</f>
        <v>0</v>
      </c>
      <c r="AD432" s="12" t="str">
        <f t="shared" si="59"/>
        <v/>
      </c>
      <c r="AE432" s="12" t="str">
        <f t="shared" si="60"/>
        <v/>
      </c>
      <c r="AF432" s="12" t="str">
        <f t="shared" si="61"/>
        <v/>
      </c>
      <c r="AG432" s="12">
        <f t="shared" si="62"/>
        <v>0</v>
      </c>
    </row>
    <row r="433" spans="1:33" ht="15" customHeight="1" x14ac:dyDescent="0.25">
      <c r="A433" s="12" t="str">
        <f>IF(Raw_Data!B436="","",Raw_Data!B436)</f>
        <v/>
      </c>
      <c r="B433" s="12">
        <f>IF(Raw_Data!X436&lt;&gt;"",Raw_Data!X436,Raw_Data!C436)</f>
        <v>0</v>
      </c>
      <c r="C433" s="12" t="str">
        <f>IF(Raw_Data!G436="","",Raw_Data!G436)</f>
        <v/>
      </c>
      <c r="D433" s="12" t="str">
        <f>IF(Raw_Data!H436="","",Raw_Data!H436)</f>
        <v/>
      </c>
      <c r="E433" s="12" t="str">
        <f>IF(Raw_Data!I436="","",Raw_Data!I436)</f>
        <v/>
      </c>
      <c r="F433" s="12" t="str">
        <f>IF(Raw_Data!J436="","",Raw_Data!J436)</f>
        <v/>
      </c>
      <c r="G433" s="12" t="str">
        <f>IF(Raw_Data!AH436&lt;&gt;"",Raw_Data!AH436,IF(Raw_Data!K436&lt;&gt;"",Raw_Data!K436,""))</f>
        <v/>
      </c>
      <c r="H433" s="12" t="str">
        <f>IF(Raw_Data!AI436&lt;&gt;"",Raw_Data!AI436,IF(Raw_Data!L436&lt;&gt;"",Raw_Data!L436,""))</f>
        <v/>
      </c>
      <c r="I433" s="12" t="str">
        <f t="shared" si="54"/>
        <v/>
      </c>
      <c r="J433" s="12" t="str">
        <f>IF(Raw_Data!M436="","",Raw_Data!M436)</f>
        <v/>
      </c>
      <c r="K433" s="12">
        <f>IF(Raw_Data!AJ436&lt;&gt;"",Raw_Data!AJ436,Raw_Data!N436)</f>
        <v>0</v>
      </c>
      <c r="L433" s="12">
        <f t="shared" si="55"/>
        <v>1</v>
      </c>
      <c r="M433" s="12" t="str">
        <f>IF(Raw_Data!AK436="","",Raw_Data!AK436)</f>
        <v/>
      </c>
      <c r="N433" s="12" t="str">
        <f>IF(Raw_Data!T436="","",Raw_Data!T436)</f>
        <v/>
      </c>
      <c r="O433" s="12" t="str">
        <f>IF(Raw_Data!AB436&lt;&gt;"",Raw_Data!AB436,IF(N433="tres_insatisfait",1,IF(N433="insatisfait",2,IF(N433="neutre",3,IF(N433="satisfait",4,IF(N433="tres_satisfait",5,""))))))</f>
        <v/>
      </c>
      <c r="P433" s="12">
        <f>IF(Raw_Data!AL436&lt;&gt;"",Raw_Data!AL436,Raw_Data!R436)</f>
        <v>0</v>
      </c>
      <c r="Q433" s="12">
        <f t="shared" si="56"/>
        <v>0</v>
      </c>
      <c r="R433" s="12" t="str">
        <f>IF(Raw_Data!AM436="","",Raw_Data!AM436)</f>
        <v/>
      </c>
      <c r="S433" s="12" t="str">
        <f t="shared" si="57"/>
        <v/>
      </c>
      <c r="T433" s="12" t="str">
        <f>IF(Raw_Data!AN436="","",Raw_Data!AN436)</f>
        <v/>
      </c>
      <c r="U433" s="12" t="str">
        <f t="shared" si="58"/>
        <v/>
      </c>
      <c r="V433" s="12" t="str">
        <f>IF(Raw_Data!AP436="","",IF(Raw_Data!AP436="oui",1,0))</f>
        <v/>
      </c>
      <c r="W433" s="12" t="str">
        <f>IF(Raw_Data!AQ436="","",IF(Raw_Data!AQ436="oui",1,0))</f>
        <v/>
      </c>
      <c r="X433" s="12" t="str">
        <f>IF(Raw_Data!AR436="","",IF(Raw_Data!AR436="oui",1,0))</f>
        <v/>
      </c>
      <c r="Y433" s="12" t="str">
        <f>IF(Raw_Data!AS436="","",IF(Raw_Data!AS436="oui",1,0))</f>
        <v/>
      </c>
      <c r="Z433" s="12" t="str">
        <f>IF(Raw_Data!V436="","",IF(Raw_Data!V436="oui",1,0))</f>
        <v/>
      </c>
      <c r="AA433" s="12" t="str">
        <f>IF(Raw_Data!W436="","",IF(Raw_Data!W436="oui",1,0))</f>
        <v/>
      </c>
      <c r="AB433" s="12" t="str">
        <f>IF(Raw_Data!Q436="","",IF(Raw_Data!Q436="oui",1,0))</f>
        <v/>
      </c>
      <c r="AC433" s="12">
        <f>Raw_Data!AF436</f>
        <v>0</v>
      </c>
      <c r="AD433" s="12" t="str">
        <f t="shared" si="59"/>
        <v/>
      </c>
      <c r="AE433" s="12" t="str">
        <f t="shared" si="60"/>
        <v/>
      </c>
      <c r="AF433" s="12" t="str">
        <f t="shared" si="61"/>
        <v/>
      </c>
      <c r="AG433" s="12">
        <f t="shared" si="62"/>
        <v>0</v>
      </c>
    </row>
    <row r="434" spans="1:33" ht="15" customHeight="1" x14ac:dyDescent="0.25">
      <c r="A434" s="12" t="str">
        <f>IF(Raw_Data!B437="","",Raw_Data!B437)</f>
        <v/>
      </c>
      <c r="B434" s="12">
        <f>IF(Raw_Data!X437&lt;&gt;"",Raw_Data!X437,Raw_Data!C437)</f>
        <v>0</v>
      </c>
      <c r="C434" s="12" t="str">
        <f>IF(Raw_Data!G437="","",Raw_Data!G437)</f>
        <v/>
      </c>
      <c r="D434" s="12" t="str">
        <f>IF(Raw_Data!H437="","",Raw_Data!H437)</f>
        <v/>
      </c>
      <c r="E434" s="12" t="str">
        <f>IF(Raw_Data!I437="","",Raw_Data!I437)</f>
        <v/>
      </c>
      <c r="F434" s="12" t="str">
        <f>IF(Raw_Data!J437="","",Raw_Data!J437)</f>
        <v/>
      </c>
      <c r="G434" s="12" t="str">
        <f>IF(Raw_Data!AH437&lt;&gt;"",Raw_Data!AH437,IF(Raw_Data!K437&lt;&gt;"",Raw_Data!K437,""))</f>
        <v/>
      </c>
      <c r="H434" s="12" t="str">
        <f>IF(Raw_Data!AI437&lt;&gt;"",Raw_Data!AI437,IF(Raw_Data!L437&lt;&gt;"",Raw_Data!L437,""))</f>
        <v/>
      </c>
      <c r="I434" s="12" t="str">
        <f t="shared" si="54"/>
        <v/>
      </c>
      <c r="J434" s="12" t="str">
        <f>IF(Raw_Data!M437="","",Raw_Data!M437)</f>
        <v/>
      </c>
      <c r="K434" s="12">
        <f>IF(Raw_Data!AJ437&lt;&gt;"",Raw_Data!AJ437,Raw_Data!N437)</f>
        <v>0</v>
      </c>
      <c r="L434" s="12">
        <f t="shared" si="55"/>
        <v>1</v>
      </c>
      <c r="M434" s="12" t="str">
        <f>IF(Raw_Data!AK437="","",Raw_Data!AK437)</f>
        <v/>
      </c>
      <c r="N434" s="12" t="str">
        <f>IF(Raw_Data!T437="","",Raw_Data!T437)</f>
        <v/>
      </c>
      <c r="O434" s="12" t="str">
        <f>IF(Raw_Data!AB437&lt;&gt;"",Raw_Data!AB437,IF(N434="tres_insatisfait",1,IF(N434="insatisfait",2,IF(N434="neutre",3,IF(N434="satisfait",4,IF(N434="tres_satisfait",5,""))))))</f>
        <v/>
      </c>
      <c r="P434" s="12">
        <f>IF(Raw_Data!AL437&lt;&gt;"",Raw_Data!AL437,Raw_Data!R437)</f>
        <v>0</v>
      </c>
      <c r="Q434" s="12">
        <f t="shared" si="56"/>
        <v>0</v>
      </c>
      <c r="R434" s="12" t="str">
        <f>IF(Raw_Data!AM437="","",Raw_Data!AM437)</f>
        <v/>
      </c>
      <c r="S434" s="12" t="str">
        <f t="shared" si="57"/>
        <v/>
      </c>
      <c r="T434" s="12" t="str">
        <f>IF(Raw_Data!AN437="","",Raw_Data!AN437)</f>
        <v/>
      </c>
      <c r="U434" s="12" t="str">
        <f t="shared" si="58"/>
        <v/>
      </c>
      <c r="V434" s="12" t="str">
        <f>IF(Raw_Data!AP437="","",IF(Raw_Data!AP437="oui",1,0))</f>
        <v/>
      </c>
      <c r="W434" s="12" t="str">
        <f>IF(Raw_Data!AQ437="","",IF(Raw_Data!AQ437="oui",1,0))</f>
        <v/>
      </c>
      <c r="X434" s="12" t="str">
        <f>IF(Raw_Data!AR437="","",IF(Raw_Data!AR437="oui",1,0))</f>
        <v/>
      </c>
      <c r="Y434" s="12" t="str">
        <f>IF(Raw_Data!AS437="","",IF(Raw_Data!AS437="oui",1,0))</f>
        <v/>
      </c>
      <c r="Z434" s="12" t="str">
        <f>IF(Raw_Data!V437="","",IF(Raw_Data!V437="oui",1,0))</f>
        <v/>
      </c>
      <c r="AA434" s="12" t="str">
        <f>IF(Raw_Data!W437="","",IF(Raw_Data!W437="oui",1,0))</f>
        <v/>
      </c>
      <c r="AB434" s="12" t="str">
        <f>IF(Raw_Data!Q437="","",IF(Raw_Data!Q437="oui",1,0))</f>
        <v/>
      </c>
      <c r="AC434" s="12">
        <f>Raw_Data!AF437</f>
        <v>0</v>
      </c>
      <c r="AD434" s="12" t="str">
        <f t="shared" si="59"/>
        <v/>
      </c>
      <c r="AE434" s="12" t="str">
        <f t="shared" si="60"/>
        <v/>
      </c>
      <c r="AF434" s="12" t="str">
        <f t="shared" si="61"/>
        <v/>
      </c>
      <c r="AG434" s="12">
        <f t="shared" si="62"/>
        <v>0</v>
      </c>
    </row>
    <row r="435" spans="1:33" ht="15" customHeight="1" x14ac:dyDescent="0.25">
      <c r="A435" s="12" t="str">
        <f>IF(Raw_Data!B438="","",Raw_Data!B438)</f>
        <v/>
      </c>
      <c r="B435" s="12">
        <f>IF(Raw_Data!X438&lt;&gt;"",Raw_Data!X438,Raw_Data!C438)</f>
        <v>0</v>
      </c>
      <c r="C435" s="12" t="str">
        <f>IF(Raw_Data!G438="","",Raw_Data!G438)</f>
        <v/>
      </c>
      <c r="D435" s="12" t="str">
        <f>IF(Raw_Data!H438="","",Raw_Data!H438)</f>
        <v/>
      </c>
      <c r="E435" s="12" t="str">
        <f>IF(Raw_Data!I438="","",Raw_Data!I438)</f>
        <v/>
      </c>
      <c r="F435" s="12" t="str">
        <f>IF(Raw_Data!J438="","",Raw_Data!J438)</f>
        <v/>
      </c>
      <c r="G435" s="12" t="str">
        <f>IF(Raw_Data!AH438&lt;&gt;"",Raw_Data!AH438,IF(Raw_Data!K438&lt;&gt;"",Raw_Data!K438,""))</f>
        <v/>
      </c>
      <c r="H435" s="12" t="str">
        <f>IF(Raw_Data!AI438&lt;&gt;"",Raw_Data!AI438,IF(Raw_Data!L438&lt;&gt;"",Raw_Data!L438,""))</f>
        <v/>
      </c>
      <c r="I435" s="12" t="str">
        <f t="shared" si="54"/>
        <v/>
      </c>
      <c r="J435" s="12" t="str">
        <f>IF(Raw_Data!M438="","",Raw_Data!M438)</f>
        <v/>
      </c>
      <c r="K435" s="12">
        <f>IF(Raw_Data!AJ438&lt;&gt;"",Raw_Data!AJ438,Raw_Data!N438)</f>
        <v>0</v>
      </c>
      <c r="L435" s="12">
        <f t="shared" si="55"/>
        <v>1</v>
      </c>
      <c r="M435" s="12" t="str">
        <f>IF(Raw_Data!AK438="","",Raw_Data!AK438)</f>
        <v/>
      </c>
      <c r="N435" s="12" t="str">
        <f>IF(Raw_Data!T438="","",Raw_Data!T438)</f>
        <v/>
      </c>
      <c r="O435" s="12" t="str">
        <f>IF(Raw_Data!AB438&lt;&gt;"",Raw_Data!AB438,IF(N435="tres_insatisfait",1,IF(N435="insatisfait",2,IF(N435="neutre",3,IF(N435="satisfait",4,IF(N435="tres_satisfait",5,""))))))</f>
        <v/>
      </c>
      <c r="P435" s="12">
        <f>IF(Raw_Data!AL438&lt;&gt;"",Raw_Data!AL438,Raw_Data!R438)</f>
        <v>0</v>
      </c>
      <c r="Q435" s="12">
        <f t="shared" si="56"/>
        <v>0</v>
      </c>
      <c r="R435" s="12" t="str">
        <f>IF(Raw_Data!AM438="","",Raw_Data!AM438)</f>
        <v/>
      </c>
      <c r="S435" s="12" t="str">
        <f t="shared" si="57"/>
        <v/>
      </c>
      <c r="T435" s="12" t="str">
        <f>IF(Raw_Data!AN438="","",Raw_Data!AN438)</f>
        <v/>
      </c>
      <c r="U435" s="12" t="str">
        <f t="shared" si="58"/>
        <v/>
      </c>
      <c r="V435" s="12" t="str">
        <f>IF(Raw_Data!AP438="","",IF(Raw_Data!AP438="oui",1,0))</f>
        <v/>
      </c>
      <c r="W435" s="12" t="str">
        <f>IF(Raw_Data!AQ438="","",IF(Raw_Data!AQ438="oui",1,0))</f>
        <v/>
      </c>
      <c r="X435" s="12" t="str">
        <f>IF(Raw_Data!AR438="","",IF(Raw_Data!AR438="oui",1,0))</f>
        <v/>
      </c>
      <c r="Y435" s="12" t="str">
        <f>IF(Raw_Data!AS438="","",IF(Raw_Data!AS438="oui",1,0))</f>
        <v/>
      </c>
      <c r="Z435" s="12" t="str">
        <f>IF(Raw_Data!V438="","",IF(Raw_Data!V438="oui",1,0))</f>
        <v/>
      </c>
      <c r="AA435" s="12" t="str">
        <f>IF(Raw_Data!W438="","",IF(Raw_Data!W438="oui",1,0))</f>
        <v/>
      </c>
      <c r="AB435" s="12" t="str">
        <f>IF(Raw_Data!Q438="","",IF(Raw_Data!Q438="oui",1,0))</f>
        <v/>
      </c>
      <c r="AC435" s="12">
        <f>Raw_Data!AF438</f>
        <v>0</v>
      </c>
      <c r="AD435" s="12" t="str">
        <f t="shared" si="59"/>
        <v/>
      </c>
      <c r="AE435" s="12" t="str">
        <f t="shared" si="60"/>
        <v/>
      </c>
      <c r="AF435" s="12" t="str">
        <f t="shared" si="61"/>
        <v/>
      </c>
      <c r="AG435" s="12">
        <f t="shared" si="62"/>
        <v>0</v>
      </c>
    </row>
    <row r="436" spans="1:33" ht="15" customHeight="1" x14ac:dyDescent="0.25">
      <c r="A436" s="12" t="str">
        <f>IF(Raw_Data!B439="","",Raw_Data!B439)</f>
        <v/>
      </c>
      <c r="B436" s="12">
        <f>IF(Raw_Data!X439&lt;&gt;"",Raw_Data!X439,Raw_Data!C439)</f>
        <v>0</v>
      </c>
      <c r="C436" s="12" t="str">
        <f>IF(Raw_Data!G439="","",Raw_Data!G439)</f>
        <v/>
      </c>
      <c r="D436" s="12" t="str">
        <f>IF(Raw_Data!H439="","",Raw_Data!H439)</f>
        <v/>
      </c>
      <c r="E436" s="12" t="str">
        <f>IF(Raw_Data!I439="","",Raw_Data!I439)</f>
        <v/>
      </c>
      <c r="F436" s="12" t="str">
        <f>IF(Raw_Data!J439="","",Raw_Data!J439)</f>
        <v/>
      </c>
      <c r="G436" s="12" t="str">
        <f>IF(Raw_Data!AH439&lt;&gt;"",Raw_Data!AH439,IF(Raw_Data!K439&lt;&gt;"",Raw_Data!K439,""))</f>
        <v/>
      </c>
      <c r="H436" s="12" t="str">
        <f>IF(Raw_Data!AI439&lt;&gt;"",Raw_Data!AI439,IF(Raw_Data!L439&lt;&gt;"",Raw_Data!L439,""))</f>
        <v/>
      </c>
      <c r="I436" s="12" t="str">
        <f t="shared" si="54"/>
        <v/>
      </c>
      <c r="J436" s="12" t="str">
        <f>IF(Raw_Data!M439="","",Raw_Data!M439)</f>
        <v/>
      </c>
      <c r="K436" s="12">
        <f>IF(Raw_Data!AJ439&lt;&gt;"",Raw_Data!AJ439,Raw_Data!N439)</f>
        <v>0</v>
      </c>
      <c r="L436" s="12">
        <f t="shared" si="55"/>
        <v>1</v>
      </c>
      <c r="M436" s="12" t="str">
        <f>IF(Raw_Data!AK439="","",Raw_Data!AK439)</f>
        <v/>
      </c>
      <c r="N436" s="12" t="str">
        <f>IF(Raw_Data!T439="","",Raw_Data!T439)</f>
        <v/>
      </c>
      <c r="O436" s="12" t="str">
        <f>IF(Raw_Data!AB439&lt;&gt;"",Raw_Data!AB439,IF(N436="tres_insatisfait",1,IF(N436="insatisfait",2,IF(N436="neutre",3,IF(N436="satisfait",4,IF(N436="tres_satisfait",5,""))))))</f>
        <v/>
      </c>
      <c r="P436" s="12">
        <f>IF(Raw_Data!AL439&lt;&gt;"",Raw_Data!AL439,Raw_Data!R439)</f>
        <v>0</v>
      </c>
      <c r="Q436" s="12">
        <f t="shared" si="56"/>
        <v>0</v>
      </c>
      <c r="R436" s="12" t="str">
        <f>IF(Raw_Data!AM439="","",Raw_Data!AM439)</f>
        <v/>
      </c>
      <c r="S436" s="12" t="str">
        <f t="shared" si="57"/>
        <v/>
      </c>
      <c r="T436" s="12" t="str">
        <f>IF(Raw_Data!AN439="","",Raw_Data!AN439)</f>
        <v/>
      </c>
      <c r="U436" s="12" t="str">
        <f t="shared" si="58"/>
        <v/>
      </c>
      <c r="V436" s="12" t="str">
        <f>IF(Raw_Data!AP439="","",IF(Raw_Data!AP439="oui",1,0))</f>
        <v/>
      </c>
      <c r="W436" s="12" t="str">
        <f>IF(Raw_Data!AQ439="","",IF(Raw_Data!AQ439="oui",1,0))</f>
        <v/>
      </c>
      <c r="X436" s="12" t="str">
        <f>IF(Raw_Data!AR439="","",IF(Raw_Data!AR439="oui",1,0))</f>
        <v/>
      </c>
      <c r="Y436" s="12" t="str">
        <f>IF(Raw_Data!AS439="","",IF(Raw_Data!AS439="oui",1,0))</f>
        <v/>
      </c>
      <c r="Z436" s="12" t="str">
        <f>IF(Raw_Data!V439="","",IF(Raw_Data!V439="oui",1,0))</f>
        <v/>
      </c>
      <c r="AA436" s="12" t="str">
        <f>IF(Raw_Data!W439="","",IF(Raw_Data!W439="oui",1,0))</f>
        <v/>
      </c>
      <c r="AB436" s="12" t="str">
        <f>IF(Raw_Data!Q439="","",IF(Raw_Data!Q439="oui",1,0))</f>
        <v/>
      </c>
      <c r="AC436" s="12">
        <f>Raw_Data!AF439</f>
        <v>0</v>
      </c>
      <c r="AD436" s="12" t="str">
        <f t="shared" si="59"/>
        <v/>
      </c>
      <c r="AE436" s="12" t="str">
        <f t="shared" si="60"/>
        <v/>
      </c>
      <c r="AF436" s="12" t="str">
        <f t="shared" si="61"/>
        <v/>
      </c>
      <c r="AG436" s="12">
        <f t="shared" si="62"/>
        <v>0</v>
      </c>
    </row>
    <row r="437" spans="1:33" ht="15" customHeight="1" x14ac:dyDescent="0.25">
      <c r="A437" s="12" t="str">
        <f>IF(Raw_Data!B440="","",Raw_Data!B440)</f>
        <v/>
      </c>
      <c r="B437" s="12">
        <f>IF(Raw_Data!X440&lt;&gt;"",Raw_Data!X440,Raw_Data!C440)</f>
        <v>0</v>
      </c>
      <c r="C437" s="12" t="str">
        <f>IF(Raw_Data!G440="","",Raw_Data!G440)</f>
        <v/>
      </c>
      <c r="D437" s="12" t="str">
        <f>IF(Raw_Data!H440="","",Raw_Data!H440)</f>
        <v/>
      </c>
      <c r="E437" s="12" t="str">
        <f>IF(Raw_Data!I440="","",Raw_Data!I440)</f>
        <v/>
      </c>
      <c r="F437" s="12" t="str">
        <f>IF(Raw_Data!J440="","",Raw_Data!J440)</f>
        <v/>
      </c>
      <c r="G437" s="12" t="str">
        <f>IF(Raw_Data!AH440&lt;&gt;"",Raw_Data!AH440,IF(Raw_Data!K440&lt;&gt;"",Raw_Data!K440,""))</f>
        <v/>
      </c>
      <c r="H437" s="12" t="str">
        <f>IF(Raw_Data!AI440&lt;&gt;"",Raw_Data!AI440,IF(Raw_Data!L440&lt;&gt;"",Raw_Data!L440,""))</f>
        <v/>
      </c>
      <c r="I437" s="12" t="str">
        <f t="shared" si="54"/>
        <v/>
      </c>
      <c r="J437" s="12" t="str">
        <f>IF(Raw_Data!M440="","",Raw_Data!M440)</f>
        <v/>
      </c>
      <c r="K437" s="12">
        <f>IF(Raw_Data!AJ440&lt;&gt;"",Raw_Data!AJ440,Raw_Data!N440)</f>
        <v>0</v>
      </c>
      <c r="L437" s="12">
        <f t="shared" si="55"/>
        <v>1</v>
      </c>
      <c r="M437" s="12" t="str">
        <f>IF(Raw_Data!AK440="","",Raw_Data!AK440)</f>
        <v/>
      </c>
      <c r="N437" s="12" t="str">
        <f>IF(Raw_Data!T440="","",Raw_Data!T440)</f>
        <v/>
      </c>
      <c r="O437" s="12" t="str">
        <f>IF(Raw_Data!AB440&lt;&gt;"",Raw_Data!AB440,IF(N437="tres_insatisfait",1,IF(N437="insatisfait",2,IF(N437="neutre",3,IF(N437="satisfait",4,IF(N437="tres_satisfait",5,""))))))</f>
        <v/>
      </c>
      <c r="P437" s="12">
        <f>IF(Raw_Data!AL440&lt;&gt;"",Raw_Data!AL440,Raw_Data!R440)</f>
        <v>0</v>
      </c>
      <c r="Q437" s="12">
        <f t="shared" si="56"/>
        <v>0</v>
      </c>
      <c r="R437" s="12" t="str">
        <f>IF(Raw_Data!AM440="","",Raw_Data!AM440)</f>
        <v/>
      </c>
      <c r="S437" s="12" t="str">
        <f t="shared" si="57"/>
        <v/>
      </c>
      <c r="T437" s="12" t="str">
        <f>IF(Raw_Data!AN440="","",Raw_Data!AN440)</f>
        <v/>
      </c>
      <c r="U437" s="12" t="str">
        <f t="shared" si="58"/>
        <v/>
      </c>
      <c r="V437" s="12" t="str">
        <f>IF(Raw_Data!AP440="","",IF(Raw_Data!AP440="oui",1,0))</f>
        <v/>
      </c>
      <c r="W437" s="12" t="str">
        <f>IF(Raw_Data!AQ440="","",IF(Raw_Data!AQ440="oui",1,0))</f>
        <v/>
      </c>
      <c r="X437" s="12" t="str">
        <f>IF(Raw_Data!AR440="","",IF(Raw_Data!AR440="oui",1,0))</f>
        <v/>
      </c>
      <c r="Y437" s="12" t="str">
        <f>IF(Raw_Data!AS440="","",IF(Raw_Data!AS440="oui",1,0))</f>
        <v/>
      </c>
      <c r="Z437" s="12" t="str">
        <f>IF(Raw_Data!V440="","",IF(Raw_Data!V440="oui",1,0))</f>
        <v/>
      </c>
      <c r="AA437" s="12" t="str">
        <f>IF(Raw_Data!W440="","",IF(Raw_Data!W440="oui",1,0))</f>
        <v/>
      </c>
      <c r="AB437" s="12" t="str">
        <f>IF(Raw_Data!Q440="","",IF(Raw_Data!Q440="oui",1,0))</f>
        <v/>
      </c>
      <c r="AC437" s="12">
        <f>Raw_Data!AF440</f>
        <v>0</v>
      </c>
      <c r="AD437" s="12" t="str">
        <f t="shared" si="59"/>
        <v/>
      </c>
      <c r="AE437" s="12" t="str">
        <f t="shared" si="60"/>
        <v/>
      </c>
      <c r="AF437" s="12" t="str">
        <f t="shared" si="61"/>
        <v/>
      </c>
      <c r="AG437" s="12">
        <f t="shared" si="62"/>
        <v>0</v>
      </c>
    </row>
    <row r="438" spans="1:33" ht="15" customHeight="1" x14ac:dyDescent="0.25">
      <c r="A438" s="12" t="str">
        <f>IF(Raw_Data!B441="","",Raw_Data!B441)</f>
        <v/>
      </c>
      <c r="B438" s="12">
        <f>IF(Raw_Data!X441&lt;&gt;"",Raw_Data!X441,Raw_Data!C441)</f>
        <v>0</v>
      </c>
      <c r="C438" s="12" t="str">
        <f>IF(Raw_Data!G441="","",Raw_Data!G441)</f>
        <v/>
      </c>
      <c r="D438" s="12" t="str">
        <f>IF(Raw_Data!H441="","",Raw_Data!H441)</f>
        <v/>
      </c>
      <c r="E438" s="12" t="str">
        <f>IF(Raw_Data!I441="","",Raw_Data!I441)</f>
        <v/>
      </c>
      <c r="F438" s="12" t="str">
        <f>IF(Raw_Data!J441="","",Raw_Data!J441)</f>
        <v/>
      </c>
      <c r="G438" s="12" t="str">
        <f>IF(Raw_Data!AH441&lt;&gt;"",Raw_Data!AH441,IF(Raw_Data!K441&lt;&gt;"",Raw_Data!K441,""))</f>
        <v/>
      </c>
      <c r="H438" s="12" t="str">
        <f>IF(Raw_Data!AI441&lt;&gt;"",Raw_Data!AI441,IF(Raw_Data!L441&lt;&gt;"",Raw_Data!L441,""))</f>
        <v/>
      </c>
      <c r="I438" s="12" t="str">
        <f t="shared" si="54"/>
        <v/>
      </c>
      <c r="J438" s="12" t="str">
        <f>IF(Raw_Data!M441="","",Raw_Data!M441)</f>
        <v/>
      </c>
      <c r="K438" s="12">
        <f>IF(Raw_Data!AJ441&lt;&gt;"",Raw_Data!AJ441,Raw_Data!N441)</f>
        <v>0</v>
      </c>
      <c r="L438" s="12">
        <f t="shared" si="55"/>
        <v>1</v>
      </c>
      <c r="M438" s="12" t="str">
        <f>IF(Raw_Data!AK441="","",Raw_Data!AK441)</f>
        <v/>
      </c>
      <c r="N438" s="12" t="str">
        <f>IF(Raw_Data!T441="","",Raw_Data!T441)</f>
        <v/>
      </c>
      <c r="O438" s="12" t="str">
        <f>IF(Raw_Data!AB441&lt;&gt;"",Raw_Data!AB441,IF(N438="tres_insatisfait",1,IF(N438="insatisfait",2,IF(N438="neutre",3,IF(N438="satisfait",4,IF(N438="tres_satisfait",5,""))))))</f>
        <v/>
      </c>
      <c r="P438" s="12">
        <f>IF(Raw_Data!AL441&lt;&gt;"",Raw_Data!AL441,Raw_Data!R441)</f>
        <v>0</v>
      </c>
      <c r="Q438" s="12">
        <f t="shared" si="56"/>
        <v>0</v>
      </c>
      <c r="R438" s="12" t="str">
        <f>IF(Raw_Data!AM441="","",Raw_Data!AM441)</f>
        <v/>
      </c>
      <c r="S438" s="12" t="str">
        <f t="shared" si="57"/>
        <v/>
      </c>
      <c r="T438" s="12" t="str">
        <f>IF(Raw_Data!AN441="","",Raw_Data!AN441)</f>
        <v/>
      </c>
      <c r="U438" s="12" t="str">
        <f t="shared" si="58"/>
        <v/>
      </c>
      <c r="V438" s="12" t="str">
        <f>IF(Raw_Data!AP441="","",IF(Raw_Data!AP441="oui",1,0))</f>
        <v/>
      </c>
      <c r="W438" s="12" t="str">
        <f>IF(Raw_Data!AQ441="","",IF(Raw_Data!AQ441="oui",1,0))</f>
        <v/>
      </c>
      <c r="X438" s="12" t="str">
        <f>IF(Raw_Data!AR441="","",IF(Raw_Data!AR441="oui",1,0))</f>
        <v/>
      </c>
      <c r="Y438" s="12" t="str">
        <f>IF(Raw_Data!AS441="","",IF(Raw_Data!AS441="oui",1,0))</f>
        <v/>
      </c>
      <c r="Z438" s="12" t="str">
        <f>IF(Raw_Data!V441="","",IF(Raw_Data!V441="oui",1,0))</f>
        <v/>
      </c>
      <c r="AA438" s="12" t="str">
        <f>IF(Raw_Data!W441="","",IF(Raw_Data!W441="oui",1,0))</f>
        <v/>
      </c>
      <c r="AB438" s="12" t="str">
        <f>IF(Raw_Data!Q441="","",IF(Raw_Data!Q441="oui",1,0))</f>
        <v/>
      </c>
      <c r="AC438" s="12">
        <f>Raw_Data!AF441</f>
        <v>0</v>
      </c>
      <c r="AD438" s="12" t="str">
        <f t="shared" si="59"/>
        <v/>
      </c>
      <c r="AE438" s="12" t="str">
        <f t="shared" si="60"/>
        <v/>
      </c>
      <c r="AF438" s="12" t="str">
        <f t="shared" si="61"/>
        <v/>
      </c>
      <c r="AG438" s="12">
        <f t="shared" si="62"/>
        <v>0</v>
      </c>
    </row>
    <row r="439" spans="1:33" ht="15" customHeight="1" x14ac:dyDescent="0.25">
      <c r="A439" s="12" t="str">
        <f>IF(Raw_Data!B442="","",Raw_Data!B442)</f>
        <v/>
      </c>
      <c r="B439" s="12">
        <f>IF(Raw_Data!X442&lt;&gt;"",Raw_Data!X442,Raw_Data!C442)</f>
        <v>0</v>
      </c>
      <c r="C439" s="12" t="str">
        <f>IF(Raw_Data!G442="","",Raw_Data!G442)</f>
        <v/>
      </c>
      <c r="D439" s="12" t="str">
        <f>IF(Raw_Data!H442="","",Raw_Data!H442)</f>
        <v/>
      </c>
      <c r="E439" s="12" t="str">
        <f>IF(Raw_Data!I442="","",Raw_Data!I442)</f>
        <v/>
      </c>
      <c r="F439" s="12" t="str">
        <f>IF(Raw_Data!J442="","",Raw_Data!J442)</f>
        <v/>
      </c>
      <c r="G439" s="12" t="str">
        <f>IF(Raw_Data!AH442&lt;&gt;"",Raw_Data!AH442,IF(Raw_Data!K442&lt;&gt;"",Raw_Data!K442,""))</f>
        <v/>
      </c>
      <c r="H439" s="12" t="str">
        <f>IF(Raw_Data!AI442&lt;&gt;"",Raw_Data!AI442,IF(Raw_Data!L442&lt;&gt;"",Raw_Data!L442,""))</f>
        <v/>
      </c>
      <c r="I439" s="12" t="str">
        <f t="shared" si="54"/>
        <v/>
      </c>
      <c r="J439" s="12" t="str">
        <f>IF(Raw_Data!M442="","",Raw_Data!M442)</f>
        <v/>
      </c>
      <c r="K439" s="12">
        <f>IF(Raw_Data!AJ442&lt;&gt;"",Raw_Data!AJ442,Raw_Data!N442)</f>
        <v>0</v>
      </c>
      <c r="L439" s="12">
        <f t="shared" si="55"/>
        <v>1</v>
      </c>
      <c r="M439" s="12" t="str">
        <f>IF(Raw_Data!AK442="","",Raw_Data!AK442)</f>
        <v/>
      </c>
      <c r="N439" s="12" t="str">
        <f>IF(Raw_Data!T442="","",Raw_Data!T442)</f>
        <v/>
      </c>
      <c r="O439" s="12" t="str">
        <f>IF(Raw_Data!AB442&lt;&gt;"",Raw_Data!AB442,IF(N439="tres_insatisfait",1,IF(N439="insatisfait",2,IF(N439="neutre",3,IF(N439="satisfait",4,IF(N439="tres_satisfait",5,""))))))</f>
        <v/>
      </c>
      <c r="P439" s="12">
        <f>IF(Raw_Data!AL442&lt;&gt;"",Raw_Data!AL442,Raw_Data!R442)</f>
        <v>0</v>
      </c>
      <c r="Q439" s="12">
        <f t="shared" si="56"/>
        <v>0</v>
      </c>
      <c r="R439" s="12" t="str">
        <f>IF(Raw_Data!AM442="","",Raw_Data!AM442)</f>
        <v/>
      </c>
      <c r="S439" s="12" t="str">
        <f t="shared" si="57"/>
        <v/>
      </c>
      <c r="T439" s="12" t="str">
        <f>IF(Raw_Data!AN442="","",Raw_Data!AN442)</f>
        <v/>
      </c>
      <c r="U439" s="12" t="str">
        <f t="shared" si="58"/>
        <v/>
      </c>
      <c r="V439" s="12" t="str">
        <f>IF(Raw_Data!AP442="","",IF(Raw_Data!AP442="oui",1,0))</f>
        <v/>
      </c>
      <c r="W439" s="12" t="str">
        <f>IF(Raw_Data!AQ442="","",IF(Raw_Data!AQ442="oui",1,0))</f>
        <v/>
      </c>
      <c r="X439" s="12" t="str">
        <f>IF(Raw_Data!AR442="","",IF(Raw_Data!AR442="oui",1,0))</f>
        <v/>
      </c>
      <c r="Y439" s="12" t="str">
        <f>IF(Raw_Data!AS442="","",IF(Raw_Data!AS442="oui",1,0))</f>
        <v/>
      </c>
      <c r="Z439" s="12" t="str">
        <f>IF(Raw_Data!V442="","",IF(Raw_Data!V442="oui",1,0))</f>
        <v/>
      </c>
      <c r="AA439" s="12" t="str">
        <f>IF(Raw_Data!W442="","",IF(Raw_Data!W442="oui",1,0))</f>
        <v/>
      </c>
      <c r="AB439" s="12" t="str">
        <f>IF(Raw_Data!Q442="","",IF(Raw_Data!Q442="oui",1,0))</f>
        <v/>
      </c>
      <c r="AC439" s="12">
        <f>Raw_Data!AF442</f>
        <v>0</v>
      </c>
      <c r="AD439" s="12" t="str">
        <f t="shared" si="59"/>
        <v/>
      </c>
      <c r="AE439" s="12" t="str">
        <f t="shared" si="60"/>
        <v/>
      </c>
      <c r="AF439" s="12" t="str">
        <f t="shared" si="61"/>
        <v/>
      </c>
      <c r="AG439" s="12">
        <f t="shared" si="62"/>
        <v>0</v>
      </c>
    </row>
    <row r="440" spans="1:33" ht="15" customHeight="1" x14ac:dyDescent="0.25">
      <c r="A440" s="12" t="str">
        <f>IF(Raw_Data!B443="","",Raw_Data!B443)</f>
        <v/>
      </c>
      <c r="B440" s="12">
        <f>IF(Raw_Data!X443&lt;&gt;"",Raw_Data!X443,Raw_Data!C443)</f>
        <v>0</v>
      </c>
      <c r="C440" s="12" t="str">
        <f>IF(Raw_Data!G443="","",Raw_Data!G443)</f>
        <v/>
      </c>
      <c r="D440" s="12" t="str">
        <f>IF(Raw_Data!H443="","",Raw_Data!H443)</f>
        <v/>
      </c>
      <c r="E440" s="12" t="str">
        <f>IF(Raw_Data!I443="","",Raw_Data!I443)</f>
        <v/>
      </c>
      <c r="F440" s="12" t="str">
        <f>IF(Raw_Data!J443="","",Raw_Data!J443)</f>
        <v/>
      </c>
      <c r="G440" s="12" t="str">
        <f>IF(Raw_Data!AH443&lt;&gt;"",Raw_Data!AH443,IF(Raw_Data!K443&lt;&gt;"",Raw_Data!K443,""))</f>
        <v/>
      </c>
      <c r="H440" s="12" t="str">
        <f>IF(Raw_Data!AI443&lt;&gt;"",Raw_Data!AI443,IF(Raw_Data!L443&lt;&gt;"",Raw_Data!L443,""))</f>
        <v/>
      </c>
      <c r="I440" s="12" t="str">
        <f t="shared" si="54"/>
        <v/>
      </c>
      <c r="J440" s="12" t="str">
        <f>IF(Raw_Data!M443="","",Raw_Data!M443)</f>
        <v/>
      </c>
      <c r="K440" s="12">
        <f>IF(Raw_Data!AJ443&lt;&gt;"",Raw_Data!AJ443,Raw_Data!N443)</f>
        <v>0</v>
      </c>
      <c r="L440" s="12">
        <f t="shared" si="55"/>
        <v>1</v>
      </c>
      <c r="M440" s="12" t="str">
        <f>IF(Raw_Data!AK443="","",Raw_Data!AK443)</f>
        <v/>
      </c>
      <c r="N440" s="12" t="str">
        <f>IF(Raw_Data!T443="","",Raw_Data!T443)</f>
        <v/>
      </c>
      <c r="O440" s="12" t="str">
        <f>IF(Raw_Data!AB443&lt;&gt;"",Raw_Data!AB443,IF(N440="tres_insatisfait",1,IF(N440="insatisfait",2,IF(N440="neutre",3,IF(N440="satisfait",4,IF(N440="tres_satisfait",5,""))))))</f>
        <v/>
      </c>
      <c r="P440" s="12">
        <f>IF(Raw_Data!AL443&lt;&gt;"",Raw_Data!AL443,Raw_Data!R443)</f>
        <v>0</v>
      </c>
      <c r="Q440" s="12">
        <f t="shared" si="56"/>
        <v>0</v>
      </c>
      <c r="R440" s="12" t="str">
        <f>IF(Raw_Data!AM443="","",Raw_Data!AM443)</f>
        <v/>
      </c>
      <c r="S440" s="12" t="str">
        <f t="shared" si="57"/>
        <v/>
      </c>
      <c r="T440" s="12" t="str">
        <f>IF(Raw_Data!AN443="","",Raw_Data!AN443)</f>
        <v/>
      </c>
      <c r="U440" s="12" t="str">
        <f t="shared" si="58"/>
        <v/>
      </c>
      <c r="V440" s="12" t="str">
        <f>IF(Raw_Data!AP443="","",IF(Raw_Data!AP443="oui",1,0))</f>
        <v/>
      </c>
      <c r="W440" s="12" t="str">
        <f>IF(Raw_Data!AQ443="","",IF(Raw_Data!AQ443="oui",1,0))</f>
        <v/>
      </c>
      <c r="X440" s="12" t="str">
        <f>IF(Raw_Data!AR443="","",IF(Raw_Data!AR443="oui",1,0))</f>
        <v/>
      </c>
      <c r="Y440" s="12" t="str">
        <f>IF(Raw_Data!AS443="","",IF(Raw_Data!AS443="oui",1,0))</f>
        <v/>
      </c>
      <c r="Z440" s="12" t="str">
        <f>IF(Raw_Data!V443="","",IF(Raw_Data!V443="oui",1,0))</f>
        <v/>
      </c>
      <c r="AA440" s="12" t="str">
        <f>IF(Raw_Data!W443="","",IF(Raw_Data!W443="oui",1,0))</f>
        <v/>
      </c>
      <c r="AB440" s="12" t="str">
        <f>IF(Raw_Data!Q443="","",IF(Raw_Data!Q443="oui",1,0))</f>
        <v/>
      </c>
      <c r="AC440" s="12">
        <f>Raw_Data!AF443</f>
        <v>0</v>
      </c>
      <c r="AD440" s="12" t="str">
        <f t="shared" si="59"/>
        <v/>
      </c>
      <c r="AE440" s="12" t="str">
        <f t="shared" si="60"/>
        <v/>
      </c>
      <c r="AF440" s="12" t="str">
        <f t="shared" si="61"/>
        <v/>
      </c>
      <c r="AG440" s="12">
        <f t="shared" si="62"/>
        <v>0</v>
      </c>
    </row>
    <row r="441" spans="1:33" ht="15" customHeight="1" x14ac:dyDescent="0.25">
      <c r="A441" s="12" t="str">
        <f>IF(Raw_Data!B444="","",Raw_Data!B444)</f>
        <v/>
      </c>
      <c r="B441" s="12">
        <f>IF(Raw_Data!X444&lt;&gt;"",Raw_Data!X444,Raw_Data!C444)</f>
        <v>0</v>
      </c>
      <c r="C441" s="12" t="str">
        <f>IF(Raw_Data!G444="","",Raw_Data!G444)</f>
        <v/>
      </c>
      <c r="D441" s="12" t="str">
        <f>IF(Raw_Data!H444="","",Raw_Data!H444)</f>
        <v/>
      </c>
      <c r="E441" s="12" t="str">
        <f>IF(Raw_Data!I444="","",Raw_Data!I444)</f>
        <v/>
      </c>
      <c r="F441" s="12" t="str">
        <f>IF(Raw_Data!J444="","",Raw_Data!J444)</f>
        <v/>
      </c>
      <c r="G441" s="12" t="str">
        <f>IF(Raw_Data!AH444&lt;&gt;"",Raw_Data!AH444,IF(Raw_Data!K444&lt;&gt;"",Raw_Data!K444,""))</f>
        <v/>
      </c>
      <c r="H441" s="12" t="str">
        <f>IF(Raw_Data!AI444&lt;&gt;"",Raw_Data!AI444,IF(Raw_Data!L444&lt;&gt;"",Raw_Data!L444,""))</f>
        <v/>
      </c>
      <c r="I441" s="12" t="str">
        <f t="shared" si="54"/>
        <v/>
      </c>
      <c r="J441" s="12" t="str">
        <f>IF(Raw_Data!M444="","",Raw_Data!M444)</f>
        <v/>
      </c>
      <c r="K441" s="12">
        <f>IF(Raw_Data!AJ444&lt;&gt;"",Raw_Data!AJ444,Raw_Data!N444)</f>
        <v>0</v>
      </c>
      <c r="L441" s="12">
        <f t="shared" si="55"/>
        <v>1</v>
      </c>
      <c r="M441" s="12" t="str">
        <f>IF(Raw_Data!AK444="","",Raw_Data!AK444)</f>
        <v/>
      </c>
      <c r="N441" s="12" t="str">
        <f>IF(Raw_Data!T444="","",Raw_Data!T444)</f>
        <v/>
      </c>
      <c r="O441" s="12" t="str">
        <f>IF(Raw_Data!AB444&lt;&gt;"",Raw_Data!AB444,IF(N441="tres_insatisfait",1,IF(N441="insatisfait",2,IF(N441="neutre",3,IF(N441="satisfait",4,IF(N441="tres_satisfait",5,""))))))</f>
        <v/>
      </c>
      <c r="P441" s="12">
        <f>IF(Raw_Data!AL444&lt;&gt;"",Raw_Data!AL444,Raw_Data!R444)</f>
        <v>0</v>
      </c>
      <c r="Q441" s="12">
        <f t="shared" si="56"/>
        <v>0</v>
      </c>
      <c r="R441" s="12" t="str">
        <f>IF(Raw_Data!AM444="","",Raw_Data!AM444)</f>
        <v/>
      </c>
      <c r="S441" s="12" t="str">
        <f t="shared" si="57"/>
        <v/>
      </c>
      <c r="T441" s="12" t="str">
        <f>IF(Raw_Data!AN444="","",Raw_Data!AN444)</f>
        <v/>
      </c>
      <c r="U441" s="12" t="str">
        <f t="shared" si="58"/>
        <v/>
      </c>
      <c r="V441" s="12" t="str">
        <f>IF(Raw_Data!AP444="","",IF(Raw_Data!AP444="oui",1,0))</f>
        <v/>
      </c>
      <c r="W441" s="12" t="str">
        <f>IF(Raw_Data!AQ444="","",IF(Raw_Data!AQ444="oui",1,0))</f>
        <v/>
      </c>
      <c r="X441" s="12" t="str">
        <f>IF(Raw_Data!AR444="","",IF(Raw_Data!AR444="oui",1,0))</f>
        <v/>
      </c>
      <c r="Y441" s="12" t="str">
        <f>IF(Raw_Data!AS444="","",IF(Raw_Data!AS444="oui",1,0))</f>
        <v/>
      </c>
      <c r="Z441" s="12" t="str">
        <f>IF(Raw_Data!V444="","",IF(Raw_Data!V444="oui",1,0))</f>
        <v/>
      </c>
      <c r="AA441" s="12" t="str">
        <f>IF(Raw_Data!W444="","",IF(Raw_Data!W444="oui",1,0))</f>
        <v/>
      </c>
      <c r="AB441" s="12" t="str">
        <f>IF(Raw_Data!Q444="","",IF(Raw_Data!Q444="oui",1,0))</f>
        <v/>
      </c>
      <c r="AC441" s="12">
        <f>Raw_Data!AF444</f>
        <v>0</v>
      </c>
      <c r="AD441" s="12" t="str">
        <f t="shared" si="59"/>
        <v/>
      </c>
      <c r="AE441" s="12" t="str">
        <f t="shared" si="60"/>
        <v/>
      </c>
      <c r="AF441" s="12" t="str">
        <f t="shared" si="61"/>
        <v/>
      </c>
      <c r="AG441" s="12">
        <f t="shared" si="62"/>
        <v>0</v>
      </c>
    </row>
    <row r="442" spans="1:33" ht="15" customHeight="1" x14ac:dyDescent="0.25">
      <c r="A442" s="12" t="str">
        <f>IF(Raw_Data!B445="","",Raw_Data!B445)</f>
        <v/>
      </c>
      <c r="B442" s="12">
        <f>IF(Raw_Data!X445&lt;&gt;"",Raw_Data!X445,Raw_Data!C445)</f>
        <v>0</v>
      </c>
      <c r="C442" s="12" t="str">
        <f>IF(Raw_Data!G445="","",Raw_Data!G445)</f>
        <v/>
      </c>
      <c r="D442" s="12" t="str">
        <f>IF(Raw_Data!H445="","",Raw_Data!H445)</f>
        <v/>
      </c>
      <c r="E442" s="12" t="str">
        <f>IF(Raw_Data!I445="","",Raw_Data!I445)</f>
        <v/>
      </c>
      <c r="F442" s="12" t="str">
        <f>IF(Raw_Data!J445="","",Raw_Data!J445)</f>
        <v/>
      </c>
      <c r="G442" s="12" t="str">
        <f>IF(Raw_Data!AH445&lt;&gt;"",Raw_Data!AH445,IF(Raw_Data!K445&lt;&gt;"",Raw_Data!K445,""))</f>
        <v/>
      </c>
      <c r="H442" s="12" t="str">
        <f>IF(Raw_Data!AI445&lt;&gt;"",Raw_Data!AI445,IF(Raw_Data!L445&lt;&gt;"",Raw_Data!L445,""))</f>
        <v/>
      </c>
      <c r="I442" s="12" t="str">
        <f t="shared" si="54"/>
        <v/>
      </c>
      <c r="J442" s="12" t="str">
        <f>IF(Raw_Data!M445="","",Raw_Data!M445)</f>
        <v/>
      </c>
      <c r="K442" s="12">
        <f>IF(Raw_Data!AJ445&lt;&gt;"",Raw_Data!AJ445,Raw_Data!N445)</f>
        <v>0</v>
      </c>
      <c r="L442" s="12">
        <f t="shared" si="55"/>
        <v>1</v>
      </c>
      <c r="M442" s="12" t="str">
        <f>IF(Raw_Data!AK445="","",Raw_Data!AK445)</f>
        <v/>
      </c>
      <c r="N442" s="12" t="str">
        <f>IF(Raw_Data!T445="","",Raw_Data!T445)</f>
        <v/>
      </c>
      <c r="O442" s="12" t="str">
        <f>IF(Raw_Data!AB445&lt;&gt;"",Raw_Data!AB445,IF(N442="tres_insatisfait",1,IF(N442="insatisfait",2,IF(N442="neutre",3,IF(N442="satisfait",4,IF(N442="tres_satisfait",5,""))))))</f>
        <v/>
      </c>
      <c r="P442" s="12">
        <f>IF(Raw_Data!AL445&lt;&gt;"",Raw_Data!AL445,Raw_Data!R445)</f>
        <v>0</v>
      </c>
      <c r="Q442" s="12">
        <f t="shared" si="56"/>
        <v>0</v>
      </c>
      <c r="R442" s="12" t="str">
        <f>IF(Raw_Data!AM445="","",Raw_Data!AM445)</f>
        <v/>
      </c>
      <c r="S442" s="12" t="str">
        <f t="shared" si="57"/>
        <v/>
      </c>
      <c r="T442" s="12" t="str">
        <f>IF(Raw_Data!AN445="","",Raw_Data!AN445)</f>
        <v/>
      </c>
      <c r="U442" s="12" t="str">
        <f t="shared" si="58"/>
        <v/>
      </c>
      <c r="V442" s="12" t="str">
        <f>IF(Raw_Data!AP445="","",IF(Raw_Data!AP445="oui",1,0))</f>
        <v/>
      </c>
      <c r="W442" s="12" t="str">
        <f>IF(Raw_Data!AQ445="","",IF(Raw_Data!AQ445="oui",1,0))</f>
        <v/>
      </c>
      <c r="X442" s="12" t="str">
        <f>IF(Raw_Data!AR445="","",IF(Raw_Data!AR445="oui",1,0))</f>
        <v/>
      </c>
      <c r="Y442" s="12" t="str">
        <f>IF(Raw_Data!AS445="","",IF(Raw_Data!AS445="oui",1,0))</f>
        <v/>
      </c>
      <c r="Z442" s="12" t="str">
        <f>IF(Raw_Data!V445="","",IF(Raw_Data!V445="oui",1,0))</f>
        <v/>
      </c>
      <c r="AA442" s="12" t="str">
        <f>IF(Raw_Data!W445="","",IF(Raw_Data!W445="oui",1,0))</f>
        <v/>
      </c>
      <c r="AB442" s="12" t="str">
        <f>IF(Raw_Data!Q445="","",IF(Raw_Data!Q445="oui",1,0))</f>
        <v/>
      </c>
      <c r="AC442" s="12">
        <f>Raw_Data!AF445</f>
        <v>0</v>
      </c>
      <c r="AD442" s="12" t="str">
        <f t="shared" si="59"/>
        <v/>
      </c>
      <c r="AE442" s="12" t="str">
        <f t="shared" si="60"/>
        <v/>
      </c>
      <c r="AF442" s="12" t="str">
        <f t="shared" si="61"/>
        <v/>
      </c>
      <c r="AG442" s="12">
        <f t="shared" si="62"/>
        <v>0</v>
      </c>
    </row>
    <row r="443" spans="1:33" ht="15" customHeight="1" x14ac:dyDescent="0.25">
      <c r="A443" s="12" t="str">
        <f>IF(Raw_Data!B446="","",Raw_Data!B446)</f>
        <v/>
      </c>
      <c r="B443" s="12">
        <f>IF(Raw_Data!X446&lt;&gt;"",Raw_Data!X446,Raw_Data!C446)</f>
        <v>0</v>
      </c>
      <c r="C443" s="12" t="str">
        <f>IF(Raw_Data!G446="","",Raw_Data!G446)</f>
        <v/>
      </c>
      <c r="D443" s="12" t="str">
        <f>IF(Raw_Data!H446="","",Raw_Data!H446)</f>
        <v/>
      </c>
      <c r="E443" s="12" t="str">
        <f>IF(Raw_Data!I446="","",Raw_Data!I446)</f>
        <v/>
      </c>
      <c r="F443" s="12" t="str">
        <f>IF(Raw_Data!J446="","",Raw_Data!J446)</f>
        <v/>
      </c>
      <c r="G443" s="12" t="str">
        <f>IF(Raw_Data!AH446&lt;&gt;"",Raw_Data!AH446,IF(Raw_Data!K446&lt;&gt;"",Raw_Data!K446,""))</f>
        <v/>
      </c>
      <c r="H443" s="12" t="str">
        <f>IF(Raw_Data!AI446&lt;&gt;"",Raw_Data!AI446,IF(Raw_Data!L446&lt;&gt;"",Raw_Data!L446,""))</f>
        <v/>
      </c>
      <c r="I443" s="12" t="str">
        <f t="shared" si="54"/>
        <v/>
      </c>
      <c r="J443" s="12" t="str">
        <f>IF(Raw_Data!M446="","",Raw_Data!M446)</f>
        <v/>
      </c>
      <c r="K443" s="12">
        <f>IF(Raw_Data!AJ446&lt;&gt;"",Raw_Data!AJ446,Raw_Data!N446)</f>
        <v>0</v>
      </c>
      <c r="L443" s="12">
        <f t="shared" si="55"/>
        <v>1</v>
      </c>
      <c r="M443" s="12" t="str">
        <f>IF(Raw_Data!AK446="","",Raw_Data!AK446)</f>
        <v/>
      </c>
      <c r="N443" s="12" t="str">
        <f>IF(Raw_Data!T446="","",Raw_Data!T446)</f>
        <v/>
      </c>
      <c r="O443" s="12" t="str">
        <f>IF(Raw_Data!AB446&lt;&gt;"",Raw_Data!AB446,IF(N443="tres_insatisfait",1,IF(N443="insatisfait",2,IF(N443="neutre",3,IF(N443="satisfait",4,IF(N443="tres_satisfait",5,""))))))</f>
        <v/>
      </c>
      <c r="P443" s="12">
        <f>IF(Raw_Data!AL446&lt;&gt;"",Raw_Data!AL446,Raw_Data!R446)</f>
        <v>0</v>
      </c>
      <c r="Q443" s="12">
        <f t="shared" si="56"/>
        <v>0</v>
      </c>
      <c r="R443" s="12" t="str">
        <f>IF(Raw_Data!AM446="","",Raw_Data!AM446)</f>
        <v/>
      </c>
      <c r="S443" s="12" t="str">
        <f t="shared" si="57"/>
        <v/>
      </c>
      <c r="T443" s="12" t="str">
        <f>IF(Raw_Data!AN446="","",Raw_Data!AN446)</f>
        <v/>
      </c>
      <c r="U443" s="12" t="str">
        <f t="shared" si="58"/>
        <v/>
      </c>
      <c r="V443" s="12" t="str">
        <f>IF(Raw_Data!AP446="","",IF(Raw_Data!AP446="oui",1,0))</f>
        <v/>
      </c>
      <c r="W443" s="12" t="str">
        <f>IF(Raw_Data!AQ446="","",IF(Raw_Data!AQ446="oui",1,0))</f>
        <v/>
      </c>
      <c r="X443" s="12" t="str">
        <f>IF(Raw_Data!AR446="","",IF(Raw_Data!AR446="oui",1,0))</f>
        <v/>
      </c>
      <c r="Y443" s="12" t="str">
        <f>IF(Raw_Data!AS446="","",IF(Raw_Data!AS446="oui",1,0))</f>
        <v/>
      </c>
      <c r="Z443" s="12" t="str">
        <f>IF(Raw_Data!V446="","",IF(Raw_Data!V446="oui",1,0))</f>
        <v/>
      </c>
      <c r="AA443" s="12" t="str">
        <f>IF(Raw_Data!W446="","",IF(Raw_Data!W446="oui",1,0))</f>
        <v/>
      </c>
      <c r="AB443" s="12" t="str">
        <f>IF(Raw_Data!Q446="","",IF(Raw_Data!Q446="oui",1,0))</f>
        <v/>
      </c>
      <c r="AC443" s="12">
        <f>Raw_Data!AF446</f>
        <v>0</v>
      </c>
      <c r="AD443" s="12" t="str">
        <f t="shared" si="59"/>
        <v/>
      </c>
      <c r="AE443" s="12" t="str">
        <f t="shared" si="60"/>
        <v/>
      </c>
      <c r="AF443" s="12" t="str">
        <f t="shared" si="61"/>
        <v/>
      </c>
      <c r="AG443" s="12">
        <f t="shared" si="62"/>
        <v>0</v>
      </c>
    </row>
    <row r="444" spans="1:33" ht="15" customHeight="1" x14ac:dyDescent="0.25">
      <c r="A444" s="12" t="str">
        <f>IF(Raw_Data!B447="","",Raw_Data!B447)</f>
        <v/>
      </c>
      <c r="B444" s="12">
        <f>IF(Raw_Data!X447&lt;&gt;"",Raw_Data!X447,Raw_Data!C447)</f>
        <v>0</v>
      </c>
      <c r="C444" s="12" t="str">
        <f>IF(Raw_Data!G447="","",Raw_Data!G447)</f>
        <v/>
      </c>
      <c r="D444" s="12" t="str">
        <f>IF(Raw_Data!H447="","",Raw_Data!H447)</f>
        <v/>
      </c>
      <c r="E444" s="12" t="str">
        <f>IF(Raw_Data!I447="","",Raw_Data!I447)</f>
        <v/>
      </c>
      <c r="F444" s="12" t="str">
        <f>IF(Raw_Data!J447="","",Raw_Data!J447)</f>
        <v/>
      </c>
      <c r="G444" s="12" t="str">
        <f>IF(Raw_Data!AH447&lt;&gt;"",Raw_Data!AH447,IF(Raw_Data!K447&lt;&gt;"",Raw_Data!K447,""))</f>
        <v/>
      </c>
      <c r="H444" s="12" t="str">
        <f>IF(Raw_Data!AI447&lt;&gt;"",Raw_Data!AI447,IF(Raw_Data!L447&lt;&gt;"",Raw_Data!L447,""))</f>
        <v/>
      </c>
      <c r="I444" s="12" t="str">
        <f t="shared" si="54"/>
        <v/>
      </c>
      <c r="J444" s="12" t="str">
        <f>IF(Raw_Data!M447="","",Raw_Data!M447)</f>
        <v/>
      </c>
      <c r="K444" s="12">
        <f>IF(Raw_Data!AJ447&lt;&gt;"",Raw_Data!AJ447,Raw_Data!N447)</f>
        <v>0</v>
      </c>
      <c r="L444" s="12">
        <f t="shared" si="55"/>
        <v>1</v>
      </c>
      <c r="M444" s="12" t="str">
        <f>IF(Raw_Data!AK447="","",Raw_Data!AK447)</f>
        <v/>
      </c>
      <c r="N444" s="12" t="str">
        <f>IF(Raw_Data!T447="","",Raw_Data!T447)</f>
        <v/>
      </c>
      <c r="O444" s="12" t="str">
        <f>IF(Raw_Data!AB447&lt;&gt;"",Raw_Data!AB447,IF(N444="tres_insatisfait",1,IF(N444="insatisfait",2,IF(N444="neutre",3,IF(N444="satisfait",4,IF(N444="tres_satisfait",5,""))))))</f>
        <v/>
      </c>
      <c r="P444" s="12">
        <f>IF(Raw_Data!AL447&lt;&gt;"",Raw_Data!AL447,Raw_Data!R447)</f>
        <v>0</v>
      </c>
      <c r="Q444" s="12">
        <f t="shared" si="56"/>
        <v>0</v>
      </c>
      <c r="R444" s="12" t="str">
        <f>IF(Raw_Data!AM447="","",Raw_Data!AM447)</f>
        <v/>
      </c>
      <c r="S444" s="12" t="str">
        <f t="shared" si="57"/>
        <v/>
      </c>
      <c r="T444" s="12" t="str">
        <f>IF(Raw_Data!AN447="","",Raw_Data!AN447)</f>
        <v/>
      </c>
      <c r="U444" s="12" t="str">
        <f t="shared" si="58"/>
        <v/>
      </c>
      <c r="V444" s="12" t="str">
        <f>IF(Raw_Data!AP447="","",IF(Raw_Data!AP447="oui",1,0))</f>
        <v/>
      </c>
      <c r="W444" s="12" t="str">
        <f>IF(Raw_Data!AQ447="","",IF(Raw_Data!AQ447="oui",1,0))</f>
        <v/>
      </c>
      <c r="X444" s="12" t="str">
        <f>IF(Raw_Data!AR447="","",IF(Raw_Data!AR447="oui",1,0))</f>
        <v/>
      </c>
      <c r="Y444" s="12" t="str">
        <f>IF(Raw_Data!AS447="","",IF(Raw_Data!AS447="oui",1,0))</f>
        <v/>
      </c>
      <c r="Z444" s="12" t="str">
        <f>IF(Raw_Data!V447="","",IF(Raw_Data!V447="oui",1,0))</f>
        <v/>
      </c>
      <c r="AA444" s="12" t="str">
        <f>IF(Raw_Data!W447="","",IF(Raw_Data!W447="oui",1,0))</f>
        <v/>
      </c>
      <c r="AB444" s="12" t="str">
        <f>IF(Raw_Data!Q447="","",IF(Raw_Data!Q447="oui",1,0))</f>
        <v/>
      </c>
      <c r="AC444" s="12">
        <f>Raw_Data!AF447</f>
        <v>0</v>
      </c>
      <c r="AD444" s="12" t="str">
        <f t="shared" si="59"/>
        <v/>
      </c>
      <c r="AE444" s="12" t="str">
        <f t="shared" si="60"/>
        <v/>
      </c>
      <c r="AF444" s="12" t="str">
        <f t="shared" si="61"/>
        <v/>
      </c>
      <c r="AG444" s="12">
        <f t="shared" si="62"/>
        <v>0</v>
      </c>
    </row>
    <row r="445" spans="1:33" ht="15" customHeight="1" x14ac:dyDescent="0.25">
      <c r="A445" s="12" t="str">
        <f>IF(Raw_Data!B448="","",Raw_Data!B448)</f>
        <v/>
      </c>
      <c r="B445" s="12">
        <f>IF(Raw_Data!X448&lt;&gt;"",Raw_Data!X448,Raw_Data!C448)</f>
        <v>0</v>
      </c>
      <c r="C445" s="12" t="str">
        <f>IF(Raw_Data!G448="","",Raw_Data!G448)</f>
        <v/>
      </c>
      <c r="D445" s="12" t="str">
        <f>IF(Raw_Data!H448="","",Raw_Data!H448)</f>
        <v/>
      </c>
      <c r="E445" s="12" t="str">
        <f>IF(Raw_Data!I448="","",Raw_Data!I448)</f>
        <v/>
      </c>
      <c r="F445" s="12" t="str">
        <f>IF(Raw_Data!J448="","",Raw_Data!J448)</f>
        <v/>
      </c>
      <c r="G445" s="12" t="str">
        <f>IF(Raw_Data!AH448&lt;&gt;"",Raw_Data!AH448,IF(Raw_Data!K448&lt;&gt;"",Raw_Data!K448,""))</f>
        <v/>
      </c>
      <c r="H445" s="12" t="str">
        <f>IF(Raw_Data!AI448&lt;&gt;"",Raw_Data!AI448,IF(Raw_Data!L448&lt;&gt;"",Raw_Data!L448,""))</f>
        <v/>
      </c>
      <c r="I445" s="12" t="str">
        <f t="shared" si="54"/>
        <v/>
      </c>
      <c r="J445" s="12" t="str">
        <f>IF(Raw_Data!M448="","",Raw_Data!M448)</f>
        <v/>
      </c>
      <c r="K445" s="12">
        <f>IF(Raw_Data!AJ448&lt;&gt;"",Raw_Data!AJ448,Raw_Data!N448)</f>
        <v>0</v>
      </c>
      <c r="L445" s="12">
        <f t="shared" si="55"/>
        <v>1</v>
      </c>
      <c r="M445" s="12" t="str">
        <f>IF(Raw_Data!AK448="","",Raw_Data!AK448)</f>
        <v/>
      </c>
      <c r="N445" s="12" t="str">
        <f>IF(Raw_Data!T448="","",Raw_Data!T448)</f>
        <v/>
      </c>
      <c r="O445" s="12" t="str">
        <f>IF(Raw_Data!AB448&lt;&gt;"",Raw_Data!AB448,IF(N445="tres_insatisfait",1,IF(N445="insatisfait",2,IF(N445="neutre",3,IF(N445="satisfait",4,IF(N445="tres_satisfait",5,""))))))</f>
        <v/>
      </c>
      <c r="P445" s="12">
        <f>IF(Raw_Data!AL448&lt;&gt;"",Raw_Data!AL448,Raw_Data!R448)</f>
        <v>0</v>
      </c>
      <c r="Q445" s="12">
        <f t="shared" si="56"/>
        <v>0</v>
      </c>
      <c r="R445" s="12" t="str">
        <f>IF(Raw_Data!AM448="","",Raw_Data!AM448)</f>
        <v/>
      </c>
      <c r="S445" s="12" t="str">
        <f t="shared" si="57"/>
        <v/>
      </c>
      <c r="T445" s="12" t="str">
        <f>IF(Raw_Data!AN448="","",Raw_Data!AN448)</f>
        <v/>
      </c>
      <c r="U445" s="12" t="str">
        <f t="shared" si="58"/>
        <v/>
      </c>
      <c r="V445" s="12" t="str">
        <f>IF(Raw_Data!AP448="","",IF(Raw_Data!AP448="oui",1,0))</f>
        <v/>
      </c>
      <c r="W445" s="12" t="str">
        <f>IF(Raw_Data!AQ448="","",IF(Raw_Data!AQ448="oui",1,0))</f>
        <v/>
      </c>
      <c r="X445" s="12" t="str">
        <f>IF(Raw_Data!AR448="","",IF(Raw_Data!AR448="oui",1,0))</f>
        <v/>
      </c>
      <c r="Y445" s="12" t="str">
        <f>IF(Raw_Data!AS448="","",IF(Raw_Data!AS448="oui",1,0))</f>
        <v/>
      </c>
      <c r="Z445" s="12" t="str">
        <f>IF(Raw_Data!V448="","",IF(Raw_Data!V448="oui",1,0))</f>
        <v/>
      </c>
      <c r="AA445" s="12" t="str">
        <f>IF(Raw_Data!W448="","",IF(Raw_Data!W448="oui",1,0))</f>
        <v/>
      </c>
      <c r="AB445" s="12" t="str">
        <f>IF(Raw_Data!Q448="","",IF(Raw_Data!Q448="oui",1,0))</f>
        <v/>
      </c>
      <c r="AC445" s="12">
        <f>Raw_Data!AF448</f>
        <v>0</v>
      </c>
      <c r="AD445" s="12" t="str">
        <f t="shared" si="59"/>
        <v/>
      </c>
      <c r="AE445" s="12" t="str">
        <f t="shared" si="60"/>
        <v/>
      </c>
      <c r="AF445" s="12" t="str">
        <f t="shared" si="61"/>
        <v/>
      </c>
      <c r="AG445" s="12">
        <f t="shared" si="62"/>
        <v>0</v>
      </c>
    </row>
    <row r="446" spans="1:33" ht="15" customHeight="1" x14ac:dyDescent="0.25">
      <c r="A446" s="12" t="str">
        <f>IF(Raw_Data!B449="","",Raw_Data!B449)</f>
        <v/>
      </c>
      <c r="B446" s="12">
        <f>IF(Raw_Data!X449&lt;&gt;"",Raw_Data!X449,Raw_Data!C449)</f>
        <v>0</v>
      </c>
      <c r="C446" s="12" t="str">
        <f>IF(Raw_Data!G449="","",Raw_Data!G449)</f>
        <v/>
      </c>
      <c r="D446" s="12" t="str">
        <f>IF(Raw_Data!H449="","",Raw_Data!H449)</f>
        <v/>
      </c>
      <c r="E446" s="12" t="str">
        <f>IF(Raw_Data!I449="","",Raw_Data!I449)</f>
        <v/>
      </c>
      <c r="F446" s="12" t="str">
        <f>IF(Raw_Data!J449="","",Raw_Data!J449)</f>
        <v/>
      </c>
      <c r="G446" s="12" t="str">
        <f>IF(Raw_Data!AH449&lt;&gt;"",Raw_Data!AH449,IF(Raw_Data!K449&lt;&gt;"",Raw_Data!K449,""))</f>
        <v/>
      </c>
      <c r="H446" s="12" t="str">
        <f>IF(Raw_Data!AI449&lt;&gt;"",Raw_Data!AI449,IF(Raw_Data!L449&lt;&gt;"",Raw_Data!L449,""))</f>
        <v/>
      </c>
      <c r="I446" s="12" t="str">
        <f t="shared" si="54"/>
        <v/>
      </c>
      <c r="J446" s="12" t="str">
        <f>IF(Raw_Data!M449="","",Raw_Data!M449)</f>
        <v/>
      </c>
      <c r="K446" s="12">
        <f>IF(Raw_Data!AJ449&lt;&gt;"",Raw_Data!AJ449,Raw_Data!N449)</f>
        <v>0</v>
      </c>
      <c r="L446" s="12">
        <f t="shared" si="55"/>
        <v>1</v>
      </c>
      <c r="M446" s="12" t="str">
        <f>IF(Raw_Data!AK449="","",Raw_Data!AK449)</f>
        <v/>
      </c>
      <c r="N446" s="12" t="str">
        <f>IF(Raw_Data!T449="","",Raw_Data!T449)</f>
        <v/>
      </c>
      <c r="O446" s="12" t="str">
        <f>IF(Raw_Data!AB449&lt;&gt;"",Raw_Data!AB449,IF(N446="tres_insatisfait",1,IF(N446="insatisfait",2,IF(N446="neutre",3,IF(N446="satisfait",4,IF(N446="tres_satisfait",5,""))))))</f>
        <v/>
      </c>
      <c r="P446" s="12">
        <f>IF(Raw_Data!AL449&lt;&gt;"",Raw_Data!AL449,Raw_Data!R449)</f>
        <v>0</v>
      </c>
      <c r="Q446" s="12">
        <f t="shared" si="56"/>
        <v>0</v>
      </c>
      <c r="R446" s="12" t="str">
        <f>IF(Raw_Data!AM449="","",Raw_Data!AM449)</f>
        <v/>
      </c>
      <c r="S446" s="12" t="str">
        <f t="shared" si="57"/>
        <v/>
      </c>
      <c r="T446" s="12" t="str">
        <f>IF(Raw_Data!AN449="","",Raw_Data!AN449)</f>
        <v/>
      </c>
      <c r="U446" s="12" t="str">
        <f t="shared" si="58"/>
        <v/>
      </c>
      <c r="V446" s="12" t="str">
        <f>IF(Raw_Data!AP449="","",IF(Raw_Data!AP449="oui",1,0))</f>
        <v/>
      </c>
      <c r="W446" s="12" t="str">
        <f>IF(Raw_Data!AQ449="","",IF(Raw_Data!AQ449="oui",1,0))</f>
        <v/>
      </c>
      <c r="X446" s="12" t="str">
        <f>IF(Raw_Data!AR449="","",IF(Raw_Data!AR449="oui",1,0))</f>
        <v/>
      </c>
      <c r="Y446" s="12" t="str">
        <f>IF(Raw_Data!AS449="","",IF(Raw_Data!AS449="oui",1,0))</f>
        <v/>
      </c>
      <c r="Z446" s="12" t="str">
        <f>IF(Raw_Data!V449="","",IF(Raw_Data!V449="oui",1,0))</f>
        <v/>
      </c>
      <c r="AA446" s="12" t="str">
        <f>IF(Raw_Data!W449="","",IF(Raw_Data!W449="oui",1,0))</f>
        <v/>
      </c>
      <c r="AB446" s="12" t="str">
        <f>IF(Raw_Data!Q449="","",IF(Raw_Data!Q449="oui",1,0))</f>
        <v/>
      </c>
      <c r="AC446" s="12">
        <f>Raw_Data!AF449</f>
        <v>0</v>
      </c>
      <c r="AD446" s="12" t="str">
        <f t="shared" si="59"/>
        <v/>
      </c>
      <c r="AE446" s="12" t="str">
        <f t="shared" si="60"/>
        <v/>
      </c>
      <c r="AF446" s="12" t="str">
        <f t="shared" si="61"/>
        <v/>
      </c>
      <c r="AG446" s="12">
        <f t="shared" si="62"/>
        <v>0</v>
      </c>
    </row>
    <row r="447" spans="1:33" ht="15" customHeight="1" x14ac:dyDescent="0.25">
      <c r="A447" s="12" t="str">
        <f>IF(Raw_Data!B450="","",Raw_Data!B450)</f>
        <v/>
      </c>
      <c r="B447" s="12">
        <f>IF(Raw_Data!X450&lt;&gt;"",Raw_Data!X450,Raw_Data!C450)</f>
        <v>0</v>
      </c>
      <c r="C447" s="12" t="str">
        <f>IF(Raw_Data!G450="","",Raw_Data!G450)</f>
        <v/>
      </c>
      <c r="D447" s="12" t="str">
        <f>IF(Raw_Data!H450="","",Raw_Data!H450)</f>
        <v/>
      </c>
      <c r="E447" s="12" t="str">
        <f>IF(Raw_Data!I450="","",Raw_Data!I450)</f>
        <v/>
      </c>
      <c r="F447" s="12" t="str">
        <f>IF(Raw_Data!J450="","",Raw_Data!J450)</f>
        <v/>
      </c>
      <c r="G447" s="12" t="str">
        <f>IF(Raw_Data!AH450&lt;&gt;"",Raw_Data!AH450,IF(Raw_Data!K450&lt;&gt;"",Raw_Data!K450,""))</f>
        <v/>
      </c>
      <c r="H447" s="12" t="str">
        <f>IF(Raw_Data!AI450&lt;&gt;"",Raw_Data!AI450,IF(Raw_Data!L450&lt;&gt;"",Raw_Data!L450,""))</f>
        <v/>
      </c>
      <c r="I447" s="12" t="str">
        <f t="shared" si="54"/>
        <v/>
      </c>
      <c r="J447" s="12" t="str">
        <f>IF(Raw_Data!M450="","",Raw_Data!M450)</f>
        <v/>
      </c>
      <c r="K447" s="12">
        <f>IF(Raw_Data!AJ450&lt;&gt;"",Raw_Data!AJ450,Raw_Data!N450)</f>
        <v>0</v>
      </c>
      <c r="L447" s="12">
        <f t="shared" si="55"/>
        <v>1</v>
      </c>
      <c r="M447" s="12" t="str">
        <f>IF(Raw_Data!AK450="","",Raw_Data!AK450)</f>
        <v/>
      </c>
      <c r="N447" s="12" t="str">
        <f>IF(Raw_Data!T450="","",Raw_Data!T450)</f>
        <v/>
      </c>
      <c r="O447" s="12" t="str">
        <f>IF(Raw_Data!AB450&lt;&gt;"",Raw_Data!AB450,IF(N447="tres_insatisfait",1,IF(N447="insatisfait",2,IF(N447="neutre",3,IF(N447="satisfait",4,IF(N447="tres_satisfait",5,""))))))</f>
        <v/>
      </c>
      <c r="P447" s="12">
        <f>IF(Raw_Data!AL450&lt;&gt;"",Raw_Data!AL450,Raw_Data!R450)</f>
        <v>0</v>
      </c>
      <c r="Q447" s="12">
        <f t="shared" si="56"/>
        <v>0</v>
      </c>
      <c r="R447" s="12" t="str">
        <f>IF(Raw_Data!AM450="","",Raw_Data!AM450)</f>
        <v/>
      </c>
      <c r="S447" s="12" t="str">
        <f t="shared" si="57"/>
        <v/>
      </c>
      <c r="T447" s="12" t="str">
        <f>IF(Raw_Data!AN450="","",Raw_Data!AN450)</f>
        <v/>
      </c>
      <c r="U447" s="12" t="str">
        <f t="shared" si="58"/>
        <v/>
      </c>
      <c r="V447" s="12" t="str">
        <f>IF(Raw_Data!AP450="","",IF(Raw_Data!AP450="oui",1,0))</f>
        <v/>
      </c>
      <c r="W447" s="12" t="str">
        <f>IF(Raw_Data!AQ450="","",IF(Raw_Data!AQ450="oui",1,0))</f>
        <v/>
      </c>
      <c r="X447" s="12" t="str">
        <f>IF(Raw_Data!AR450="","",IF(Raw_Data!AR450="oui",1,0))</f>
        <v/>
      </c>
      <c r="Y447" s="12" t="str">
        <f>IF(Raw_Data!AS450="","",IF(Raw_Data!AS450="oui",1,0))</f>
        <v/>
      </c>
      <c r="Z447" s="12" t="str">
        <f>IF(Raw_Data!V450="","",IF(Raw_Data!V450="oui",1,0))</f>
        <v/>
      </c>
      <c r="AA447" s="12" t="str">
        <f>IF(Raw_Data!W450="","",IF(Raw_Data!W450="oui",1,0))</f>
        <v/>
      </c>
      <c r="AB447" s="12" t="str">
        <f>IF(Raw_Data!Q450="","",IF(Raw_Data!Q450="oui",1,0))</f>
        <v/>
      </c>
      <c r="AC447" s="12">
        <f>Raw_Data!AF450</f>
        <v>0</v>
      </c>
      <c r="AD447" s="12" t="str">
        <f t="shared" si="59"/>
        <v/>
      </c>
      <c r="AE447" s="12" t="str">
        <f t="shared" si="60"/>
        <v/>
      </c>
      <c r="AF447" s="12" t="str">
        <f t="shared" si="61"/>
        <v/>
      </c>
      <c r="AG447" s="12">
        <f t="shared" si="62"/>
        <v>0</v>
      </c>
    </row>
    <row r="448" spans="1:33" ht="15" customHeight="1" x14ac:dyDescent="0.25">
      <c r="A448" s="12" t="str">
        <f>IF(Raw_Data!B451="","",Raw_Data!B451)</f>
        <v/>
      </c>
      <c r="B448" s="12">
        <f>IF(Raw_Data!X451&lt;&gt;"",Raw_Data!X451,Raw_Data!C451)</f>
        <v>0</v>
      </c>
      <c r="C448" s="12" t="str">
        <f>IF(Raw_Data!G451="","",Raw_Data!G451)</f>
        <v/>
      </c>
      <c r="D448" s="12" t="str">
        <f>IF(Raw_Data!H451="","",Raw_Data!H451)</f>
        <v/>
      </c>
      <c r="E448" s="12" t="str">
        <f>IF(Raw_Data!I451="","",Raw_Data!I451)</f>
        <v/>
      </c>
      <c r="F448" s="12" t="str">
        <f>IF(Raw_Data!J451="","",Raw_Data!J451)</f>
        <v/>
      </c>
      <c r="G448" s="12" t="str">
        <f>IF(Raw_Data!AH451&lt;&gt;"",Raw_Data!AH451,IF(Raw_Data!K451&lt;&gt;"",Raw_Data!K451,""))</f>
        <v/>
      </c>
      <c r="H448" s="12" t="str">
        <f>IF(Raw_Data!AI451&lt;&gt;"",Raw_Data!AI451,IF(Raw_Data!L451&lt;&gt;"",Raw_Data!L451,""))</f>
        <v/>
      </c>
      <c r="I448" s="12" t="str">
        <f t="shared" si="54"/>
        <v/>
      </c>
      <c r="J448" s="12" t="str">
        <f>IF(Raw_Data!M451="","",Raw_Data!M451)</f>
        <v/>
      </c>
      <c r="K448" s="12">
        <f>IF(Raw_Data!AJ451&lt;&gt;"",Raw_Data!AJ451,Raw_Data!N451)</f>
        <v>0</v>
      </c>
      <c r="L448" s="12">
        <f t="shared" si="55"/>
        <v>1</v>
      </c>
      <c r="M448" s="12" t="str">
        <f>IF(Raw_Data!AK451="","",Raw_Data!AK451)</f>
        <v/>
      </c>
      <c r="N448" s="12" t="str">
        <f>IF(Raw_Data!T451="","",Raw_Data!T451)</f>
        <v/>
      </c>
      <c r="O448" s="12" t="str">
        <f>IF(Raw_Data!AB451&lt;&gt;"",Raw_Data!AB451,IF(N448="tres_insatisfait",1,IF(N448="insatisfait",2,IF(N448="neutre",3,IF(N448="satisfait",4,IF(N448="tres_satisfait",5,""))))))</f>
        <v/>
      </c>
      <c r="P448" s="12">
        <f>IF(Raw_Data!AL451&lt;&gt;"",Raw_Data!AL451,Raw_Data!R451)</f>
        <v>0</v>
      </c>
      <c r="Q448" s="12">
        <f t="shared" si="56"/>
        <v>0</v>
      </c>
      <c r="R448" s="12" t="str">
        <f>IF(Raw_Data!AM451="","",Raw_Data!AM451)</f>
        <v/>
      </c>
      <c r="S448" s="12" t="str">
        <f t="shared" si="57"/>
        <v/>
      </c>
      <c r="T448" s="12" t="str">
        <f>IF(Raw_Data!AN451="","",Raw_Data!AN451)</f>
        <v/>
      </c>
      <c r="U448" s="12" t="str">
        <f t="shared" si="58"/>
        <v/>
      </c>
      <c r="V448" s="12" t="str">
        <f>IF(Raw_Data!AP451="","",IF(Raw_Data!AP451="oui",1,0))</f>
        <v/>
      </c>
      <c r="W448" s="12" t="str">
        <f>IF(Raw_Data!AQ451="","",IF(Raw_Data!AQ451="oui",1,0))</f>
        <v/>
      </c>
      <c r="X448" s="12" t="str">
        <f>IF(Raw_Data!AR451="","",IF(Raw_Data!AR451="oui",1,0))</f>
        <v/>
      </c>
      <c r="Y448" s="12" t="str">
        <f>IF(Raw_Data!AS451="","",IF(Raw_Data!AS451="oui",1,0))</f>
        <v/>
      </c>
      <c r="Z448" s="12" t="str">
        <f>IF(Raw_Data!V451="","",IF(Raw_Data!V451="oui",1,0))</f>
        <v/>
      </c>
      <c r="AA448" s="12" t="str">
        <f>IF(Raw_Data!W451="","",IF(Raw_Data!W451="oui",1,0))</f>
        <v/>
      </c>
      <c r="AB448" s="12" t="str">
        <f>IF(Raw_Data!Q451="","",IF(Raw_Data!Q451="oui",1,0))</f>
        <v/>
      </c>
      <c r="AC448" s="12">
        <f>Raw_Data!AF451</f>
        <v>0</v>
      </c>
      <c r="AD448" s="12" t="str">
        <f t="shared" si="59"/>
        <v/>
      </c>
      <c r="AE448" s="12" t="str">
        <f t="shared" si="60"/>
        <v/>
      </c>
      <c r="AF448" s="12" t="str">
        <f t="shared" si="61"/>
        <v/>
      </c>
      <c r="AG448" s="12">
        <f t="shared" si="62"/>
        <v>0</v>
      </c>
    </row>
    <row r="449" spans="1:33" ht="15" customHeight="1" x14ac:dyDescent="0.25">
      <c r="A449" s="12" t="str">
        <f>IF(Raw_Data!B452="","",Raw_Data!B452)</f>
        <v/>
      </c>
      <c r="B449" s="12">
        <f>IF(Raw_Data!X452&lt;&gt;"",Raw_Data!X452,Raw_Data!C452)</f>
        <v>0</v>
      </c>
      <c r="C449" s="12" t="str">
        <f>IF(Raw_Data!G452="","",Raw_Data!G452)</f>
        <v/>
      </c>
      <c r="D449" s="12" t="str">
        <f>IF(Raw_Data!H452="","",Raw_Data!H452)</f>
        <v/>
      </c>
      <c r="E449" s="12" t="str">
        <f>IF(Raw_Data!I452="","",Raw_Data!I452)</f>
        <v/>
      </c>
      <c r="F449" s="12" t="str">
        <f>IF(Raw_Data!J452="","",Raw_Data!J452)</f>
        <v/>
      </c>
      <c r="G449" s="12" t="str">
        <f>IF(Raw_Data!AH452&lt;&gt;"",Raw_Data!AH452,IF(Raw_Data!K452&lt;&gt;"",Raw_Data!K452,""))</f>
        <v/>
      </c>
      <c r="H449" s="12" t="str">
        <f>IF(Raw_Data!AI452&lt;&gt;"",Raw_Data!AI452,IF(Raw_Data!L452&lt;&gt;"",Raw_Data!L452,""))</f>
        <v/>
      </c>
      <c r="I449" s="12" t="str">
        <f t="shared" si="54"/>
        <v/>
      </c>
      <c r="J449" s="12" t="str">
        <f>IF(Raw_Data!M452="","",Raw_Data!M452)</f>
        <v/>
      </c>
      <c r="K449" s="12">
        <f>IF(Raw_Data!AJ452&lt;&gt;"",Raw_Data!AJ452,Raw_Data!N452)</f>
        <v>0</v>
      </c>
      <c r="L449" s="12">
        <f t="shared" si="55"/>
        <v>1</v>
      </c>
      <c r="M449" s="12" t="str">
        <f>IF(Raw_Data!AK452="","",Raw_Data!AK452)</f>
        <v/>
      </c>
      <c r="N449" s="12" t="str">
        <f>IF(Raw_Data!T452="","",Raw_Data!T452)</f>
        <v/>
      </c>
      <c r="O449" s="12" t="str">
        <f>IF(Raw_Data!AB452&lt;&gt;"",Raw_Data!AB452,IF(N449="tres_insatisfait",1,IF(N449="insatisfait",2,IF(N449="neutre",3,IF(N449="satisfait",4,IF(N449="tres_satisfait",5,""))))))</f>
        <v/>
      </c>
      <c r="P449" s="12">
        <f>IF(Raw_Data!AL452&lt;&gt;"",Raw_Data!AL452,Raw_Data!R452)</f>
        <v>0</v>
      </c>
      <c r="Q449" s="12">
        <f t="shared" si="56"/>
        <v>0</v>
      </c>
      <c r="R449" s="12" t="str">
        <f>IF(Raw_Data!AM452="","",Raw_Data!AM452)</f>
        <v/>
      </c>
      <c r="S449" s="12" t="str">
        <f t="shared" si="57"/>
        <v/>
      </c>
      <c r="T449" s="12" t="str">
        <f>IF(Raw_Data!AN452="","",Raw_Data!AN452)</f>
        <v/>
      </c>
      <c r="U449" s="12" t="str">
        <f t="shared" si="58"/>
        <v/>
      </c>
      <c r="V449" s="12" t="str">
        <f>IF(Raw_Data!AP452="","",IF(Raw_Data!AP452="oui",1,0))</f>
        <v/>
      </c>
      <c r="W449" s="12" t="str">
        <f>IF(Raw_Data!AQ452="","",IF(Raw_Data!AQ452="oui",1,0))</f>
        <v/>
      </c>
      <c r="X449" s="12" t="str">
        <f>IF(Raw_Data!AR452="","",IF(Raw_Data!AR452="oui",1,0))</f>
        <v/>
      </c>
      <c r="Y449" s="12" t="str">
        <f>IF(Raw_Data!AS452="","",IF(Raw_Data!AS452="oui",1,0))</f>
        <v/>
      </c>
      <c r="Z449" s="12" t="str">
        <f>IF(Raw_Data!V452="","",IF(Raw_Data!V452="oui",1,0))</f>
        <v/>
      </c>
      <c r="AA449" s="12" t="str">
        <f>IF(Raw_Data!W452="","",IF(Raw_Data!W452="oui",1,0))</f>
        <v/>
      </c>
      <c r="AB449" s="12" t="str">
        <f>IF(Raw_Data!Q452="","",IF(Raw_Data!Q452="oui",1,0))</f>
        <v/>
      </c>
      <c r="AC449" s="12">
        <f>Raw_Data!AF452</f>
        <v>0</v>
      </c>
      <c r="AD449" s="12" t="str">
        <f t="shared" si="59"/>
        <v/>
      </c>
      <c r="AE449" s="12" t="str">
        <f t="shared" si="60"/>
        <v/>
      </c>
      <c r="AF449" s="12" t="str">
        <f t="shared" si="61"/>
        <v/>
      </c>
      <c r="AG449" s="12">
        <f t="shared" si="62"/>
        <v>0</v>
      </c>
    </row>
    <row r="450" spans="1:33" ht="15" customHeight="1" x14ac:dyDescent="0.25">
      <c r="A450" s="12" t="str">
        <f>IF(Raw_Data!B453="","",Raw_Data!B453)</f>
        <v/>
      </c>
      <c r="B450" s="12">
        <f>IF(Raw_Data!X453&lt;&gt;"",Raw_Data!X453,Raw_Data!C453)</f>
        <v>0</v>
      </c>
      <c r="C450" s="12" t="str">
        <f>IF(Raw_Data!G453="","",Raw_Data!G453)</f>
        <v/>
      </c>
      <c r="D450" s="12" t="str">
        <f>IF(Raw_Data!H453="","",Raw_Data!H453)</f>
        <v/>
      </c>
      <c r="E450" s="12" t="str">
        <f>IF(Raw_Data!I453="","",Raw_Data!I453)</f>
        <v/>
      </c>
      <c r="F450" s="12" t="str">
        <f>IF(Raw_Data!J453="","",Raw_Data!J453)</f>
        <v/>
      </c>
      <c r="G450" s="12" t="str">
        <f>IF(Raw_Data!AH453&lt;&gt;"",Raw_Data!AH453,IF(Raw_Data!K453&lt;&gt;"",Raw_Data!K453,""))</f>
        <v/>
      </c>
      <c r="H450" s="12" t="str">
        <f>IF(Raw_Data!AI453&lt;&gt;"",Raw_Data!AI453,IF(Raw_Data!L453&lt;&gt;"",Raw_Data!L453,""))</f>
        <v/>
      </c>
      <c r="I450" s="12" t="str">
        <f t="shared" ref="I450:I513" si="63">IF(H450="","",IF(H450&lt;18,"&lt;18 ans",IF(H450&lt;60,"18-59 ans","60 ans et +")))</f>
        <v/>
      </c>
      <c r="J450" s="12" t="str">
        <f>IF(Raw_Data!M453="","",Raw_Data!M453)</f>
        <v/>
      </c>
      <c r="K450" s="12">
        <f>IF(Raw_Data!AJ453&lt;&gt;"",Raw_Data!AJ453,Raw_Data!N453)</f>
        <v>0</v>
      </c>
      <c r="L450" s="12">
        <f t="shared" ref="L450:L513" si="64">IF(K450="",0,1)</f>
        <v>1</v>
      </c>
      <c r="M450" s="12" t="str">
        <f>IF(Raw_Data!AK453="","",Raw_Data!AK453)</f>
        <v/>
      </c>
      <c r="N450" s="12" t="str">
        <f>IF(Raw_Data!T453="","",Raw_Data!T453)</f>
        <v/>
      </c>
      <c r="O450" s="12" t="str">
        <f>IF(Raw_Data!AB453&lt;&gt;"",Raw_Data!AB453,IF(N450="tres_insatisfait",1,IF(N450="insatisfait",2,IF(N450="neutre",3,IF(N450="satisfait",4,IF(N450="tres_satisfait",5,""))))))</f>
        <v/>
      </c>
      <c r="P450" s="12">
        <f>IF(Raw_Data!AL453&lt;&gt;"",Raw_Data!AL453,Raw_Data!R453)</f>
        <v>0</v>
      </c>
      <c r="Q450" s="12">
        <f t="shared" ref="Q450:Q513" si="65">IF(P450="","",IF(P450="oui",1,0))</f>
        <v>0</v>
      </c>
      <c r="R450" s="12" t="str">
        <f>IF(Raw_Data!AM453="","",Raw_Data!AM453)</f>
        <v/>
      </c>
      <c r="S450" s="12" t="str">
        <f t="shared" ref="S450:S513" si="66">IF(R450="","",IF(R450="oui",1,0))</f>
        <v/>
      </c>
      <c r="T450" s="12" t="str">
        <f>IF(Raw_Data!AN453="","",Raw_Data!AN453)</f>
        <v/>
      </c>
      <c r="U450" s="12" t="str">
        <f t="shared" ref="U450:U513" si="67">IF(T450="","",IF(T450="oui",1,0))</f>
        <v/>
      </c>
      <c r="V450" s="12" t="str">
        <f>IF(Raw_Data!AP453="","",IF(Raw_Data!AP453="oui",1,0))</f>
        <v/>
      </c>
      <c r="W450" s="12" t="str">
        <f>IF(Raw_Data!AQ453="","",IF(Raw_Data!AQ453="oui",1,0))</f>
        <v/>
      </c>
      <c r="X450" s="12" t="str">
        <f>IF(Raw_Data!AR453="","",IF(Raw_Data!AR453="oui",1,0))</f>
        <v/>
      </c>
      <c r="Y450" s="12" t="str">
        <f>IF(Raw_Data!AS453="","",IF(Raw_Data!AS453="oui",1,0))</f>
        <v/>
      </c>
      <c r="Z450" s="12" t="str">
        <f>IF(Raw_Data!V453="","",IF(Raw_Data!V453="oui",1,0))</f>
        <v/>
      </c>
      <c r="AA450" s="12" t="str">
        <f>IF(Raw_Data!W453="","",IF(Raw_Data!W453="oui",1,0))</f>
        <v/>
      </c>
      <c r="AB450" s="12" t="str">
        <f>IF(Raw_Data!Q453="","",IF(Raw_Data!Q453="oui",1,0))</f>
        <v/>
      </c>
      <c r="AC450" s="12">
        <f>Raw_Data!AF453</f>
        <v>0</v>
      </c>
      <c r="AD450" s="12" t="str">
        <f t="shared" ref="AD450:AD513" si="68">IF(A450="","",F450&amp;"|"&amp;E450&amp;"|"&amp;TEXT(B450,"YYYY-MM-DD"))</f>
        <v/>
      </c>
      <c r="AE450" s="12" t="str">
        <f t="shared" ref="AE450:AE513" si="69">IF(AD450="","",IF(COUNTIF($AD$2:$AD$1000,AD450)&gt;1,1,0))</f>
        <v/>
      </c>
      <c r="AF450" s="12" t="str">
        <f t="shared" ref="AF450:AF513" si="70">IF(A450="","",IF(OR(C450="",D450="",G450="",H450="",N450=""),1,0))</f>
        <v/>
      </c>
      <c r="AG450" s="12">
        <f t="shared" ref="AG450:AG513" si="71">IF(A450="",0,1)</f>
        <v>0</v>
      </c>
    </row>
    <row r="451" spans="1:33" ht="15" customHeight="1" x14ac:dyDescent="0.25">
      <c r="A451" s="12" t="str">
        <f>IF(Raw_Data!B454="","",Raw_Data!B454)</f>
        <v/>
      </c>
      <c r="B451" s="12">
        <f>IF(Raw_Data!X454&lt;&gt;"",Raw_Data!X454,Raw_Data!C454)</f>
        <v>0</v>
      </c>
      <c r="C451" s="12" t="str">
        <f>IF(Raw_Data!G454="","",Raw_Data!G454)</f>
        <v/>
      </c>
      <c r="D451" s="12" t="str">
        <f>IF(Raw_Data!H454="","",Raw_Data!H454)</f>
        <v/>
      </c>
      <c r="E451" s="12" t="str">
        <f>IF(Raw_Data!I454="","",Raw_Data!I454)</f>
        <v/>
      </c>
      <c r="F451" s="12" t="str">
        <f>IF(Raw_Data!J454="","",Raw_Data!J454)</f>
        <v/>
      </c>
      <c r="G451" s="12" t="str">
        <f>IF(Raw_Data!AH454&lt;&gt;"",Raw_Data!AH454,IF(Raw_Data!K454&lt;&gt;"",Raw_Data!K454,""))</f>
        <v/>
      </c>
      <c r="H451" s="12" t="str">
        <f>IF(Raw_Data!AI454&lt;&gt;"",Raw_Data!AI454,IF(Raw_Data!L454&lt;&gt;"",Raw_Data!L454,""))</f>
        <v/>
      </c>
      <c r="I451" s="12" t="str">
        <f t="shared" si="63"/>
        <v/>
      </c>
      <c r="J451" s="12" t="str">
        <f>IF(Raw_Data!M454="","",Raw_Data!M454)</f>
        <v/>
      </c>
      <c r="K451" s="12">
        <f>IF(Raw_Data!AJ454&lt;&gt;"",Raw_Data!AJ454,Raw_Data!N454)</f>
        <v>0</v>
      </c>
      <c r="L451" s="12">
        <f t="shared" si="64"/>
        <v>1</v>
      </c>
      <c r="M451" s="12" t="str">
        <f>IF(Raw_Data!AK454="","",Raw_Data!AK454)</f>
        <v/>
      </c>
      <c r="N451" s="12" t="str">
        <f>IF(Raw_Data!T454="","",Raw_Data!T454)</f>
        <v/>
      </c>
      <c r="O451" s="12" t="str">
        <f>IF(Raw_Data!AB454&lt;&gt;"",Raw_Data!AB454,IF(N451="tres_insatisfait",1,IF(N451="insatisfait",2,IF(N451="neutre",3,IF(N451="satisfait",4,IF(N451="tres_satisfait",5,""))))))</f>
        <v/>
      </c>
      <c r="P451" s="12">
        <f>IF(Raw_Data!AL454&lt;&gt;"",Raw_Data!AL454,Raw_Data!R454)</f>
        <v>0</v>
      </c>
      <c r="Q451" s="12">
        <f t="shared" si="65"/>
        <v>0</v>
      </c>
      <c r="R451" s="12" t="str">
        <f>IF(Raw_Data!AM454="","",Raw_Data!AM454)</f>
        <v/>
      </c>
      <c r="S451" s="12" t="str">
        <f t="shared" si="66"/>
        <v/>
      </c>
      <c r="T451" s="12" t="str">
        <f>IF(Raw_Data!AN454="","",Raw_Data!AN454)</f>
        <v/>
      </c>
      <c r="U451" s="12" t="str">
        <f t="shared" si="67"/>
        <v/>
      </c>
      <c r="V451" s="12" t="str">
        <f>IF(Raw_Data!AP454="","",IF(Raw_Data!AP454="oui",1,0))</f>
        <v/>
      </c>
      <c r="W451" s="12" t="str">
        <f>IF(Raw_Data!AQ454="","",IF(Raw_Data!AQ454="oui",1,0))</f>
        <v/>
      </c>
      <c r="X451" s="12" t="str">
        <f>IF(Raw_Data!AR454="","",IF(Raw_Data!AR454="oui",1,0))</f>
        <v/>
      </c>
      <c r="Y451" s="12" t="str">
        <f>IF(Raw_Data!AS454="","",IF(Raw_Data!AS454="oui",1,0))</f>
        <v/>
      </c>
      <c r="Z451" s="12" t="str">
        <f>IF(Raw_Data!V454="","",IF(Raw_Data!V454="oui",1,0))</f>
        <v/>
      </c>
      <c r="AA451" s="12" t="str">
        <f>IF(Raw_Data!W454="","",IF(Raw_Data!W454="oui",1,0))</f>
        <v/>
      </c>
      <c r="AB451" s="12" t="str">
        <f>IF(Raw_Data!Q454="","",IF(Raw_Data!Q454="oui",1,0))</f>
        <v/>
      </c>
      <c r="AC451" s="12">
        <f>Raw_Data!AF454</f>
        <v>0</v>
      </c>
      <c r="AD451" s="12" t="str">
        <f t="shared" si="68"/>
        <v/>
      </c>
      <c r="AE451" s="12" t="str">
        <f t="shared" si="69"/>
        <v/>
      </c>
      <c r="AF451" s="12" t="str">
        <f t="shared" si="70"/>
        <v/>
      </c>
      <c r="AG451" s="12">
        <f t="shared" si="71"/>
        <v>0</v>
      </c>
    </row>
    <row r="452" spans="1:33" ht="15" customHeight="1" x14ac:dyDescent="0.25">
      <c r="A452" s="12" t="str">
        <f>IF(Raw_Data!B455="","",Raw_Data!B455)</f>
        <v/>
      </c>
      <c r="B452" s="12">
        <f>IF(Raw_Data!X455&lt;&gt;"",Raw_Data!X455,Raw_Data!C455)</f>
        <v>0</v>
      </c>
      <c r="C452" s="12" t="str">
        <f>IF(Raw_Data!G455="","",Raw_Data!G455)</f>
        <v/>
      </c>
      <c r="D452" s="12" t="str">
        <f>IF(Raw_Data!H455="","",Raw_Data!H455)</f>
        <v/>
      </c>
      <c r="E452" s="12" t="str">
        <f>IF(Raw_Data!I455="","",Raw_Data!I455)</f>
        <v/>
      </c>
      <c r="F452" s="12" t="str">
        <f>IF(Raw_Data!J455="","",Raw_Data!J455)</f>
        <v/>
      </c>
      <c r="G452" s="12" t="str">
        <f>IF(Raw_Data!AH455&lt;&gt;"",Raw_Data!AH455,IF(Raw_Data!K455&lt;&gt;"",Raw_Data!K455,""))</f>
        <v/>
      </c>
      <c r="H452" s="12" t="str">
        <f>IF(Raw_Data!AI455&lt;&gt;"",Raw_Data!AI455,IF(Raw_Data!L455&lt;&gt;"",Raw_Data!L455,""))</f>
        <v/>
      </c>
      <c r="I452" s="12" t="str">
        <f t="shared" si="63"/>
        <v/>
      </c>
      <c r="J452" s="12" t="str">
        <f>IF(Raw_Data!M455="","",Raw_Data!M455)</f>
        <v/>
      </c>
      <c r="K452" s="12">
        <f>IF(Raw_Data!AJ455&lt;&gt;"",Raw_Data!AJ455,Raw_Data!N455)</f>
        <v>0</v>
      </c>
      <c r="L452" s="12">
        <f t="shared" si="64"/>
        <v>1</v>
      </c>
      <c r="M452" s="12" t="str">
        <f>IF(Raw_Data!AK455="","",Raw_Data!AK455)</f>
        <v/>
      </c>
      <c r="N452" s="12" t="str">
        <f>IF(Raw_Data!T455="","",Raw_Data!T455)</f>
        <v/>
      </c>
      <c r="O452" s="12" t="str">
        <f>IF(Raw_Data!AB455&lt;&gt;"",Raw_Data!AB455,IF(N452="tres_insatisfait",1,IF(N452="insatisfait",2,IF(N452="neutre",3,IF(N452="satisfait",4,IF(N452="tres_satisfait",5,""))))))</f>
        <v/>
      </c>
      <c r="P452" s="12">
        <f>IF(Raw_Data!AL455&lt;&gt;"",Raw_Data!AL455,Raw_Data!R455)</f>
        <v>0</v>
      </c>
      <c r="Q452" s="12">
        <f t="shared" si="65"/>
        <v>0</v>
      </c>
      <c r="R452" s="12" t="str">
        <f>IF(Raw_Data!AM455="","",Raw_Data!AM455)</f>
        <v/>
      </c>
      <c r="S452" s="12" t="str">
        <f t="shared" si="66"/>
        <v/>
      </c>
      <c r="T452" s="12" t="str">
        <f>IF(Raw_Data!AN455="","",Raw_Data!AN455)</f>
        <v/>
      </c>
      <c r="U452" s="12" t="str">
        <f t="shared" si="67"/>
        <v/>
      </c>
      <c r="V452" s="12" t="str">
        <f>IF(Raw_Data!AP455="","",IF(Raw_Data!AP455="oui",1,0))</f>
        <v/>
      </c>
      <c r="W452" s="12" t="str">
        <f>IF(Raw_Data!AQ455="","",IF(Raw_Data!AQ455="oui",1,0))</f>
        <v/>
      </c>
      <c r="X452" s="12" t="str">
        <f>IF(Raw_Data!AR455="","",IF(Raw_Data!AR455="oui",1,0))</f>
        <v/>
      </c>
      <c r="Y452" s="12" t="str">
        <f>IF(Raw_Data!AS455="","",IF(Raw_Data!AS455="oui",1,0))</f>
        <v/>
      </c>
      <c r="Z452" s="12" t="str">
        <f>IF(Raw_Data!V455="","",IF(Raw_Data!V455="oui",1,0))</f>
        <v/>
      </c>
      <c r="AA452" s="12" t="str">
        <f>IF(Raw_Data!W455="","",IF(Raw_Data!W455="oui",1,0))</f>
        <v/>
      </c>
      <c r="AB452" s="12" t="str">
        <f>IF(Raw_Data!Q455="","",IF(Raw_Data!Q455="oui",1,0))</f>
        <v/>
      </c>
      <c r="AC452" s="12">
        <f>Raw_Data!AF455</f>
        <v>0</v>
      </c>
      <c r="AD452" s="12" t="str">
        <f t="shared" si="68"/>
        <v/>
      </c>
      <c r="AE452" s="12" t="str">
        <f t="shared" si="69"/>
        <v/>
      </c>
      <c r="AF452" s="12" t="str">
        <f t="shared" si="70"/>
        <v/>
      </c>
      <c r="AG452" s="12">
        <f t="shared" si="71"/>
        <v>0</v>
      </c>
    </row>
    <row r="453" spans="1:33" ht="15" customHeight="1" x14ac:dyDescent="0.25">
      <c r="A453" s="12" t="str">
        <f>IF(Raw_Data!B456="","",Raw_Data!B456)</f>
        <v/>
      </c>
      <c r="B453" s="12">
        <f>IF(Raw_Data!X456&lt;&gt;"",Raw_Data!X456,Raw_Data!C456)</f>
        <v>0</v>
      </c>
      <c r="C453" s="12" t="str">
        <f>IF(Raw_Data!G456="","",Raw_Data!G456)</f>
        <v/>
      </c>
      <c r="D453" s="12" t="str">
        <f>IF(Raw_Data!H456="","",Raw_Data!H456)</f>
        <v/>
      </c>
      <c r="E453" s="12" t="str">
        <f>IF(Raw_Data!I456="","",Raw_Data!I456)</f>
        <v/>
      </c>
      <c r="F453" s="12" t="str">
        <f>IF(Raw_Data!J456="","",Raw_Data!J456)</f>
        <v/>
      </c>
      <c r="G453" s="12" t="str">
        <f>IF(Raw_Data!AH456&lt;&gt;"",Raw_Data!AH456,IF(Raw_Data!K456&lt;&gt;"",Raw_Data!K456,""))</f>
        <v/>
      </c>
      <c r="H453" s="12" t="str">
        <f>IF(Raw_Data!AI456&lt;&gt;"",Raw_Data!AI456,IF(Raw_Data!L456&lt;&gt;"",Raw_Data!L456,""))</f>
        <v/>
      </c>
      <c r="I453" s="12" t="str">
        <f t="shared" si="63"/>
        <v/>
      </c>
      <c r="J453" s="12" t="str">
        <f>IF(Raw_Data!M456="","",Raw_Data!M456)</f>
        <v/>
      </c>
      <c r="K453" s="12">
        <f>IF(Raw_Data!AJ456&lt;&gt;"",Raw_Data!AJ456,Raw_Data!N456)</f>
        <v>0</v>
      </c>
      <c r="L453" s="12">
        <f t="shared" si="64"/>
        <v>1</v>
      </c>
      <c r="M453" s="12" t="str">
        <f>IF(Raw_Data!AK456="","",Raw_Data!AK456)</f>
        <v/>
      </c>
      <c r="N453" s="12" t="str">
        <f>IF(Raw_Data!T456="","",Raw_Data!T456)</f>
        <v/>
      </c>
      <c r="O453" s="12" t="str">
        <f>IF(Raw_Data!AB456&lt;&gt;"",Raw_Data!AB456,IF(N453="tres_insatisfait",1,IF(N453="insatisfait",2,IF(N453="neutre",3,IF(N453="satisfait",4,IF(N453="tres_satisfait",5,""))))))</f>
        <v/>
      </c>
      <c r="P453" s="12">
        <f>IF(Raw_Data!AL456&lt;&gt;"",Raw_Data!AL456,Raw_Data!R456)</f>
        <v>0</v>
      </c>
      <c r="Q453" s="12">
        <f t="shared" si="65"/>
        <v>0</v>
      </c>
      <c r="R453" s="12" t="str">
        <f>IF(Raw_Data!AM456="","",Raw_Data!AM456)</f>
        <v/>
      </c>
      <c r="S453" s="12" t="str">
        <f t="shared" si="66"/>
        <v/>
      </c>
      <c r="T453" s="12" t="str">
        <f>IF(Raw_Data!AN456="","",Raw_Data!AN456)</f>
        <v/>
      </c>
      <c r="U453" s="12" t="str">
        <f t="shared" si="67"/>
        <v/>
      </c>
      <c r="V453" s="12" t="str">
        <f>IF(Raw_Data!AP456="","",IF(Raw_Data!AP456="oui",1,0))</f>
        <v/>
      </c>
      <c r="W453" s="12" t="str">
        <f>IF(Raw_Data!AQ456="","",IF(Raw_Data!AQ456="oui",1,0))</f>
        <v/>
      </c>
      <c r="X453" s="12" t="str">
        <f>IF(Raw_Data!AR456="","",IF(Raw_Data!AR456="oui",1,0))</f>
        <v/>
      </c>
      <c r="Y453" s="12" t="str">
        <f>IF(Raw_Data!AS456="","",IF(Raw_Data!AS456="oui",1,0))</f>
        <v/>
      </c>
      <c r="Z453" s="12" t="str">
        <f>IF(Raw_Data!V456="","",IF(Raw_Data!V456="oui",1,0))</f>
        <v/>
      </c>
      <c r="AA453" s="12" t="str">
        <f>IF(Raw_Data!W456="","",IF(Raw_Data!W456="oui",1,0))</f>
        <v/>
      </c>
      <c r="AB453" s="12" t="str">
        <f>IF(Raw_Data!Q456="","",IF(Raw_Data!Q456="oui",1,0))</f>
        <v/>
      </c>
      <c r="AC453" s="12">
        <f>Raw_Data!AF456</f>
        <v>0</v>
      </c>
      <c r="AD453" s="12" t="str">
        <f t="shared" si="68"/>
        <v/>
      </c>
      <c r="AE453" s="12" t="str">
        <f t="shared" si="69"/>
        <v/>
      </c>
      <c r="AF453" s="12" t="str">
        <f t="shared" si="70"/>
        <v/>
      </c>
      <c r="AG453" s="12">
        <f t="shared" si="71"/>
        <v>0</v>
      </c>
    </row>
    <row r="454" spans="1:33" ht="15" customHeight="1" x14ac:dyDescent="0.25">
      <c r="A454" s="12" t="str">
        <f>IF(Raw_Data!B457="","",Raw_Data!B457)</f>
        <v/>
      </c>
      <c r="B454" s="12">
        <f>IF(Raw_Data!X457&lt;&gt;"",Raw_Data!X457,Raw_Data!C457)</f>
        <v>0</v>
      </c>
      <c r="C454" s="12" t="str">
        <f>IF(Raw_Data!G457="","",Raw_Data!G457)</f>
        <v/>
      </c>
      <c r="D454" s="12" t="str">
        <f>IF(Raw_Data!H457="","",Raw_Data!H457)</f>
        <v/>
      </c>
      <c r="E454" s="12" t="str">
        <f>IF(Raw_Data!I457="","",Raw_Data!I457)</f>
        <v/>
      </c>
      <c r="F454" s="12" t="str">
        <f>IF(Raw_Data!J457="","",Raw_Data!J457)</f>
        <v/>
      </c>
      <c r="G454" s="12" t="str">
        <f>IF(Raw_Data!AH457&lt;&gt;"",Raw_Data!AH457,IF(Raw_Data!K457&lt;&gt;"",Raw_Data!K457,""))</f>
        <v/>
      </c>
      <c r="H454" s="12" t="str">
        <f>IF(Raw_Data!AI457&lt;&gt;"",Raw_Data!AI457,IF(Raw_Data!L457&lt;&gt;"",Raw_Data!L457,""))</f>
        <v/>
      </c>
      <c r="I454" s="12" t="str">
        <f t="shared" si="63"/>
        <v/>
      </c>
      <c r="J454" s="12" t="str">
        <f>IF(Raw_Data!M457="","",Raw_Data!M457)</f>
        <v/>
      </c>
      <c r="K454" s="12">
        <f>IF(Raw_Data!AJ457&lt;&gt;"",Raw_Data!AJ457,Raw_Data!N457)</f>
        <v>0</v>
      </c>
      <c r="L454" s="12">
        <f t="shared" si="64"/>
        <v>1</v>
      </c>
      <c r="M454" s="12" t="str">
        <f>IF(Raw_Data!AK457="","",Raw_Data!AK457)</f>
        <v/>
      </c>
      <c r="N454" s="12" t="str">
        <f>IF(Raw_Data!T457="","",Raw_Data!T457)</f>
        <v/>
      </c>
      <c r="O454" s="12" t="str">
        <f>IF(Raw_Data!AB457&lt;&gt;"",Raw_Data!AB457,IF(N454="tres_insatisfait",1,IF(N454="insatisfait",2,IF(N454="neutre",3,IF(N454="satisfait",4,IF(N454="tres_satisfait",5,""))))))</f>
        <v/>
      </c>
      <c r="P454" s="12">
        <f>IF(Raw_Data!AL457&lt;&gt;"",Raw_Data!AL457,Raw_Data!R457)</f>
        <v>0</v>
      </c>
      <c r="Q454" s="12">
        <f t="shared" si="65"/>
        <v>0</v>
      </c>
      <c r="R454" s="12" t="str">
        <f>IF(Raw_Data!AM457="","",Raw_Data!AM457)</f>
        <v/>
      </c>
      <c r="S454" s="12" t="str">
        <f t="shared" si="66"/>
        <v/>
      </c>
      <c r="T454" s="12" t="str">
        <f>IF(Raw_Data!AN457="","",Raw_Data!AN457)</f>
        <v/>
      </c>
      <c r="U454" s="12" t="str">
        <f t="shared" si="67"/>
        <v/>
      </c>
      <c r="V454" s="12" t="str">
        <f>IF(Raw_Data!AP457="","",IF(Raw_Data!AP457="oui",1,0))</f>
        <v/>
      </c>
      <c r="W454" s="12" t="str">
        <f>IF(Raw_Data!AQ457="","",IF(Raw_Data!AQ457="oui",1,0))</f>
        <v/>
      </c>
      <c r="X454" s="12" t="str">
        <f>IF(Raw_Data!AR457="","",IF(Raw_Data!AR457="oui",1,0))</f>
        <v/>
      </c>
      <c r="Y454" s="12" t="str">
        <f>IF(Raw_Data!AS457="","",IF(Raw_Data!AS457="oui",1,0))</f>
        <v/>
      </c>
      <c r="Z454" s="12" t="str">
        <f>IF(Raw_Data!V457="","",IF(Raw_Data!V457="oui",1,0))</f>
        <v/>
      </c>
      <c r="AA454" s="12" t="str">
        <f>IF(Raw_Data!W457="","",IF(Raw_Data!W457="oui",1,0))</f>
        <v/>
      </c>
      <c r="AB454" s="12" t="str">
        <f>IF(Raw_Data!Q457="","",IF(Raw_Data!Q457="oui",1,0))</f>
        <v/>
      </c>
      <c r="AC454" s="12">
        <f>Raw_Data!AF457</f>
        <v>0</v>
      </c>
      <c r="AD454" s="12" t="str">
        <f t="shared" si="68"/>
        <v/>
      </c>
      <c r="AE454" s="12" t="str">
        <f t="shared" si="69"/>
        <v/>
      </c>
      <c r="AF454" s="12" t="str">
        <f t="shared" si="70"/>
        <v/>
      </c>
      <c r="AG454" s="12">
        <f t="shared" si="71"/>
        <v>0</v>
      </c>
    </row>
    <row r="455" spans="1:33" ht="15" customHeight="1" x14ac:dyDescent="0.25">
      <c r="A455" s="12" t="str">
        <f>IF(Raw_Data!B458="","",Raw_Data!B458)</f>
        <v/>
      </c>
      <c r="B455" s="12">
        <f>IF(Raw_Data!X458&lt;&gt;"",Raw_Data!X458,Raw_Data!C458)</f>
        <v>0</v>
      </c>
      <c r="C455" s="12" t="str">
        <f>IF(Raw_Data!G458="","",Raw_Data!G458)</f>
        <v/>
      </c>
      <c r="D455" s="12" t="str">
        <f>IF(Raw_Data!H458="","",Raw_Data!H458)</f>
        <v/>
      </c>
      <c r="E455" s="12" t="str">
        <f>IF(Raw_Data!I458="","",Raw_Data!I458)</f>
        <v/>
      </c>
      <c r="F455" s="12" t="str">
        <f>IF(Raw_Data!J458="","",Raw_Data!J458)</f>
        <v/>
      </c>
      <c r="G455" s="12" t="str">
        <f>IF(Raw_Data!AH458&lt;&gt;"",Raw_Data!AH458,IF(Raw_Data!K458&lt;&gt;"",Raw_Data!K458,""))</f>
        <v/>
      </c>
      <c r="H455" s="12" t="str">
        <f>IF(Raw_Data!AI458&lt;&gt;"",Raw_Data!AI458,IF(Raw_Data!L458&lt;&gt;"",Raw_Data!L458,""))</f>
        <v/>
      </c>
      <c r="I455" s="12" t="str">
        <f t="shared" si="63"/>
        <v/>
      </c>
      <c r="J455" s="12" t="str">
        <f>IF(Raw_Data!M458="","",Raw_Data!M458)</f>
        <v/>
      </c>
      <c r="K455" s="12">
        <f>IF(Raw_Data!AJ458&lt;&gt;"",Raw_Data!AJ458,Raw_Data!N458)</f>
        <v>0</v>
      </c>
      <c r="L455" s="12">
        <f t="shared" si="64"/>
        <v>1</v>
      </c>
      <c r="M455" s="12" t="str">
        <f>IF(Raw_Data!AK458="","",Raw_Data!AK458)</f>
        <v/>
      </c>
      <c r="N455" s="12" t="str">
        <f>IF(Raw_Data!T458="","",Raw_Data!T458)</f>
        <v/>
      </c>
      <c r="O455" s="12" t="str">
        <f>IF(Raw_Data!AB458&lt;&gt;"",Raw_Data!AB458,IF(N455="tres_insatisfait",1,IF(N455="insatisfait",2,IF(N455="neutre",3,IF(N455="satisfait",4,IF(N455="tres_satisfait",5,""))))))</f>
        <v/>
      </c>
      <c r="P455" s="12">
        <f>IF(Raw_Data!AL458&lt;&gt;"",Raw_Data!AL458,Raw_Data!R458)</f>
        <v>0</v>
      </c>
      <c r="Q455" s="12">
        <f t="shared" si="65"/>
        <v>0</v>
      </c>
      <c r="R455" s="12" t="str">
        <f>IF(Raw_Data!AM458="","",Raw_Data!AM458)</f>
        <v/>
      </c>
      <c r="S455" s="12" t="str">
        <f t="shared" si="66"/>
        <v/>
      </c>
      <c r="T455" s="12" t="str">
        <f>IF(Raw_Data!AN458="","",Raw_Data!AN458)</f>
        <v/>
      </c>
      <c r="U455" s="12" t="str">
        <f t="shared" si="67"/>
        <v/>
      </c>
      <c r="V455" s="12" t="str">
        <f>IF(Raw_Data!AP458="","",IF(Raw_Data!AP458="oui",1,0))</f>
        <v/>
      </c>
      <c r="W455" s="12" t="str">
        <f>IF(Raw_Data!AQ458="","",IF(Raw_Data!AQ458="oui",1,0))</f>
        <v/>
      </c>
      <c r="X455" s="12" t="str">
        <f>IF(Raw_Data!AR458="","",IF(Raw_Data!AR458="oui",1,0))</f>
        <v/>
      </c>
      <c r="Y455" s="12" t="str">
        <f>IF(Raw_Data!AS458="","",IF(Raw_Data!AS458="oui",1,0))</f>
        <v/>
      </c>
      <c r="Z455" s="12" t="str">
        <f>IF(Raw_Data!V458="","",IF(Raw_Data!V458="oui",1,0))</f>
        <v/>
      </c>
      <c r="AA455" s="12" t="str">
        <f>IF(Raw_Data!W458="","",IF(Raw_Data!W458="oui",1,0))</f>
        <v/>
      </c>
      <c r="AB455" s="12" t="str">
        <f>IF(Raw_Data!Q458="","",IF(Raw_Data!Q458="oui",1,0))</f>
        <v/>
      </c>
      <c r="AC455" s="12">
        <f>Raw_Data!AF458</f>
        <v>0</v>
      </c>
      <c r="AD455" s="12" t="str">
        <f t="shared" si="68"/>
        <v/>
      </c>
      <c r="AE455" s="12" t="str">
        <f t="shared" si="69"/>
        <v/>
      </c>
      <c r="AF455" s="12" t="str">
        <f t="shared" si="70"/>
        <v/>
      </c>
      <c r="AG455" s="12">
        <f t="shared" si="71"/>
        <v>0</v>
      </c>
    </row>
    <row r="456" spans="1:33" ht="15" customHeight="1" x14ac:dyDescent="0.25">
      <c r="A456" s="12" t="str">
        <f>IF(Raw_Data!B459="","",Raw_Data!B459)</f>
        <v/>
      </c>
      <c r="B456" s="12">
        <f>IF(Raw_Data!X459&lt;&gt;"",Raw_Data!X459,Raw_Data!C459)</f>
        <v>0</v>
      </c>
      <c r="C456" s="12" t="str">
        <f>IF(Raw_Data!G459="","",Raw_Data!G459)</f>
        <v/>
      </c>
      <c r="D456" s="12" t="str">
        <f>IF(Raw_Data!H459="","",Raw_Data!H459)</f>
        <v/>
      </c>
      <c r="E456" s="12" t="str">
        <f>IF(Raw_Data!I459="","",Raw_Data!I459)</f>
        <v/>
      </c>
      <c r="F456" s="12" t="str">
        <f>IF(Raw_Data!J459="","",Raw_Data!J459)</f>
        <v/>
      </c>
      <c r="G456" s="12" t="str">
        <f>IF(Raw_Data!AH459&lt;&gt;"",Raw_Data!AH459,IF(Raw_Data!K459&lt;&gt;"",Raw_Data!K459,""))</f>
        <v/>
      </c>
      <c r="H456" s="12" t="str">
        <f>IF(Raw_Data!AI459&lt;&gt;"",Raw_Data!AI459,IF(Raw_Data!L459&lt;&gt;"",Raw_Data!L459,""))</f>
        <v/>
      </c>
      <c r="I456" s="12" t="str">
        <f t="shared" si="63"/>
        <v/>
      </c>
      <c r="J456" s="12" t="str">
        <f>IF(Raw_Data!M459="","",Raw_Data!M459)</f>
        <v/>
      </c>
      <c r="K456" s="12">
        <f>IF(Raw_Data!AJ459&lt;&gt;"",Raw_Data!AJ459,Raw_Data!N459)</f>
        <v>0</v>
      </c>
      <c r="L456" s="12">
        <f t="shared" si="64"/>
        <v>1</v>
      </c>
      <c r="M456" s="12" t="str">
        <f>IF(Raw_Data!AK459="","",Raw_Data!AK459)</f>
        <v/>
      </c>
      <c r="N456" s="12" t="str">
        <f>IF(Raw_Data!T459="","",Raw_Data!T459)</f>
        <v/>
      </c>
      <c r="O456" s="12" t="str">
        <f>IF(Raw_Data!AB459&lt;&gt;"",Raw_Data!AB459,IF(N456="tres_insatisfait",1,IF(N456="insatisfait",2,IF(N456="neutre",3,IF(N456="satisfait",4,IF(N456="tres_satisfait",5,""))))))</f>
        <v/>
      </c>
      <c r="P456" s="12">
        <f>IF(Raw_Data!AL459&lt;&gt;"",Raw_Data!AL459,Raw_Data!R459)</f>
        <v>0</v>
      </c>
      <c r="Q456" s="12">
        <f t="shared" si="65"/>
        <v>0</v>
      </c>
      <c r="R456" s="12" t="str">
        <f>IF(Raw_Data!AM459="","",Raw_Data!AM459)</f>
        <v/>
      </c>
      <c r="S456" s="12" t="str">
        <f t="shared" si="66"/>
        <v/>
      </c>
      <c r="T456" s="12" t="str">
        <f>IF(Raw_Data!AN459="","",Raw_Data!AN459)</f>
        <v/>
      </c>
      <c r="U456" s="12" t="str">
        <f t="shared" si="67"/>
        <v/>
      </c>
      <c r="V456" s="12" t="str">
        <f>IF(Raw_Data!AP459="","",IF(Raw_Data!AP459="oui",1,0))</f>
        <v/>
      </c>
      <c r="W456" s="12" t="str">
        <f>IF(Raw_Data!AQ459="","",IF(Raw_Data!AQ459="oui",1,0))</f>
        <v/>
      </c>
      <c r="X456" s="12" t="str">
        <f>IF(Raw_Data!AR459="","",IF(Raw_Data!AR459="oui",1,0))</f>
        <v/>
      </c>
      <c r="Y456" s="12" t="str">
        <f>IF(Raw_Data!AS459="","",IF(Raw_Data!AS459="oui",1,0))</f>
        <v/>
      </c>
      <c r="Z456" s="12" t="str">
        <f>IF(Raw_Data!V459="","",IF(Raw_Data!V459="oui",1,0))</f>
        <v/>
      </c>
      <c r="AA456" s="12" t="str">
        <f>IF(Raw_Data!W459="","",IF(Raw_Data!W459="oui",1,0))</f>
        <v/>
      </c>
      <c r="AB456" s="12" t="str">
        <f>IF(Raw_Data!Q459="","",IF(Raw_Data!Q459="oui",1,0))</f>
        <v/>
      </c>
      <c r="AC456" s="12">
        <f>Raw_Data!AF459</f>
        <v>0</v>
      </c>
      <c r="AD456" s="12" t="str">
        <f t="shared" si="68"/>
        <v/>
      </c>
      <c r="AE456" s="12" t="str">
        <f t="shared" si="69"/>
        <v/>
      </c>
      <c r="AF456" s="12" t="str">
        <f t="shared" si="70"/>
        <v/>
      </c>
      <c r="AG456" s="12">
        <f t="shared" si="71"/>
        <v>0</v>
      </c>
    </row>
    <row r="457" spans="1:33" ht="15" customHeight="1" x14ac:dyDescent="0.25">
      <c r="A457" s="12" t="str">
        <f>IF(Raw_Data!B460="","",Raw_Data!B460)</f>
        <v/>
      </c>
      <c r="B457" s="12">
        <f>IF(Raw_Data!X460&lt;&gt;"",Raw_Data!X460,Raw_Data!C460)</f>
        <v>0</v>
      </c>
      <c r="C457" s="12" t="str">
        <f>IF(Raw_Data!G460="","",Raw_Data!G460)</f>
        <v/>
      </c>
      <c r="D457" s="12" t="str">
        <f>IF(Raw_Data!H460="","",Raw_Data!H460)</f>
        <v/>
      </c>
      <c r="E457" s="12" t="str">
        <f>IF(Raw_Data!I460="","",Raw_Data!I460)</f>
        <v/>
      </c>
      <c r="F457" s="12" t="str">
        <f>IF(Raw_Data!J460="","",Raw_Data!J460)</f>
        <v/>
      </c>
      <c r="G457" s="12" t="str">
        <f>IF(Raw_Data!AH460&lt;&gt;"",Raw_Data!AH460,IF(Raw_Data!K460&lt;&gt;"",Raw_Data!K460,""))</f>
        <v/>
      </c>
      <c r="H457" s="12" t="str">
        <f>IF(Raw_Data!AI460&lt;&gt;"",Raw_Data!AI460,IF(Raw_Data!L460&lt;&gt;"",Raw_Data!L460,""))</f>
        <v/>
      </c>
      <c r="I457" s="12" t="str">
        <f t="shared" si="63"/>
        <v/>
      </c>
      <c r="J457" s="12" t="str">
        <f>IF(Raw_Data!M460="","",Raw_Data!M460)</f>
        <v/>
      </c>
      <c r="K457" s="12">
        <f>IF(Raw_Data!AJ460&lt;&gt;"",Raw_Data!AJ460,Raw_Data!N460)</f>
        <v>0</v>
      </c>
      <c r="L457" s="12">
        <f t="shared" si="64"/>
        <v>1</v>
      </c>
      <c r="M457" s="12" t="str">
        <f>IF(Raw_Data!AK460="","",Raw_Data!AK460)</f>
        <v/>
      </c>
      <c r="N457" s="12" t="str">
        <f>IF(Raw_Data!T460="","",Raw_Data!T460)</f>
        <v/>
      </c>
      <c r="O457" s="12" t="str">
        <f>IF(Raw_Data!AB460&lt;&gt;"",Raw_Data!AB460,IF(N457="tres_insatisfait",1,IF(N457="insatisfait",2,IF(N457="neutre",3,IF(N457="satisfait",4,IF(N457="tres_satisfait",5,""))))))</f>
        <v/>
      </c>
      <c r="P457" s="12">
        <f>IF(Raw_Data!AL460&lt;&gt;"",Raw_Data!AL460,Raw_Data!R460)</f>
        <v>0</v>
      </c>
      <c r="Q457" s="12">
        <f t="shared" si="65"/>
        <v>0</v>
      </c>
      <c r="R457" s="12" t="str">
        <f>IF(Raw_Data!AM460="","",Raw_Data!AM460)</f>
        <v/>
      </c>
      <c r="S457" s="12" t="str">
        <f t="shared" si="66"/>
        <v/>
      </c>
      <c r="T457" s="12" t="str">
        <f>IF(Raw_Data!AN460="","",Raw_Data!AN460)</f>
        <v/>
      </c>
      <c r="U457" s="12" t="str">
        <f t="shared" si="67"/>
        <v/>
      </c>
      <c r="V457" s="12" t="str">
        <f>IF(Raw_Data!AP460="","",IF(Raw_Data!AP460="oui",1,0))</f>
        <v/>
      </c>
      <c r="W457" s="12" t="str">
        <f>IF(Raw_Data!AQ460="","",IF(Raw_Data!AQ460="oui",1,0))</f>
        <v/>
      </c>
      <c r="X457" s="12" t="str">
        <f>IF(Raw_Data!AR460="","",IF(Raw_Data!AR460="oui",1,0))</f>
        <v/>
      </c>
      <c r="Y457" s="12" t="str">
        <f>IF(Raw_Data!AS460="","",IF(Raw_Data!AS460="oui",1,0))</f>
        <v/>
      </c>
      <c r="Z457" s="12" t="str">
        <f>IF(Raw_Data!V460="","",IF(Raw_Data!V460="oui",1,0))</f>
        <v/>
      </c>
      <c r="AA457" s="12" t="str">
        <f>IF(Raw_Data!W460="","",IF(Raw_Data!W460="oui",1,0))</f>
        <v/>
      </c>
      <c r="AB457" s="12" t="str">
        <f>IF(Raw_Data!Q460="","",IF(Raw_Data!Q460="oui",1,0))</f>
        <v/>
      </c>
      <c r="AC457" s="12">
        <f>Raw_Data!AF460</f>
        <v>0</v>
      </c>
      <c r="AD457" s="12" t="str">
        <f t="shared" si="68"/>
        <v/>
      </c>
      <c r="AE457" s="12" t="str">
        <f t="shared" si="69"/>
        <v/>
      </c>
      <c r="AF457" s="12" t="str">
        <f t="shared" si="70"/>
        <v/>
      </c>
      <c r="AG457" s="12">
        <f t="shared" si="71"/>
        <v>0</v>
      </c>
    </row>
    <row r="458" spans="1:33" ht="15" customHeight="1" x14ac:dyDescent="0.25">
      <c r="A458" s="12" t="str">
        <f>IF(Raw_Data!B461="","",Raw_Data!B461)</f>
        <v/>
      </c>
      <c r="B458" s="12">
        <f>IF(Raw_Data!X461&lt;&gt;"",Raw_Data!X461,Raw_Data!C461)</f>
        <v>0</v>
      </c>
      <c r="C458" s="12" t="str">
        <f>IF(Raw_Data!G461="","",Raw_Data!G461)</f>
        <v/>
      </c>
      <c r="D458" s="12" t="str">
        <f>IF(Raw_Data!H461="","",Raw_Data!H461)</f>
        <v/>
      </c>
      <c r="E458" s="12" t="str">
        <f>IF(Raw_Data!I461="","",Raw_Data!I461)</f>
        <v/>
      </c>
      <c r="F458" s="12" t="str">
        <f>IF(Raw_Data!J461="","",Raw_Data!J461)</f>
        <v/>
      </c>
      <c r="G458" s="12" t="str">
        <f>IF(Raw_Data!AH461&lt;&gt;"",Raw_Data!AH461,IF(Raw_Data!K461&lt;&gt;"",Raw_Data!K461,""))</f>
        <v/>
      </c>
      <c r="H458" s="12" t="str">
        <f>IF(Raw_Data!AI461&lt;&gt;"",Raw_Data!AI461,IF(Raw_Data!L461&lt;&gt;"",Raw_Data!L461,""))</f>
        <v/>
      </c>
      <c r="I458" s="12" t="str">
        <f t="shared" si="63"/>
        <v/>
      </c>
      <c r="J458" s="12" t="str">
        <f>IF(Raw_Data!M461="","",Raw_Data!M461)</f>
        <v/>
      </c>
      <c r="K458" s="12">
        <f>IF(Raw_Data!AJ461&lt;&gt;"",Raw_Data!AJ461,Raw_Data!N461)</f>
        <v>0</v>
      </c>
      <c r="L458" s="12">
        <f t="shared" si="64"/>
        <v>1</v>
      </c>
      <c r="M458" s="12" t="str">
        <f>IF(Raw_Data!AK461="","",Raw_Data!AK461)</f>
        <v/>
      </c>
      <c r="N458" s="12" t="str">
        <f>IF(Raw_Data!T461="","",Raw_Data!T461)</f>
        <v/>
      </c>
      <c r="O458" s="12" t="str">
        <f>IF(Raw_Data!AB461&lt;&gt;"",Raw_Data!AB461,IF(N458="tres_insatisfait",1,IF(N458="insatisfait",2,IF(N458="neutre",3,IF(N458="satisfait",4,IF(N458="tres_satisfait",5,""))))))</f>
        <v/>
      </c>
      <c r="P458" s="12">
        <f>IF(Raw_Data!AL461&lt;&gt;"",Raw_Data!AL461,Raw_Data!R461)</f>
        <v>0</v>
      </c>
      <c r="Q458" s="12">
        <f t="shared" si="65"/>
        <v>0</v>
      </c>
      <c r="R458" s="12" t="str">
        <f>IF(Raw_Data!AM461="","",Raw_Data!AM461)</f>
        <v/>
      </c>
      <c r="S458" s="12" t="str">
        <f t="shared" si="66"/>
        <v/>
      </c>
      <c r="T458" s="12" t="str">
        <f>IF(Raw_Data!AN461="","",Raw_Data!AN461)</f>
        <v/>
      </c>
      <c r="U458" s="12" t="str">
        <f t="shared" si="67"/>
        <v/>
      </c>
      <c r="V458" s="12" t="str">
        <f>IF(Raw_Data!AP461="","",IF(Raw_Data!AP461="oui",1,0))</f>
        <v/>
      </c>
      <c r="W458" s="12" t="str">
        <f>IF(Raw_Data!AQ461="","",IF(Raw_Data!AQ461="oui",1,0))</f>
        <v/>
      </c>
      <c r="X458" s="12" t="str">
        <f>IF(Raw_Data!AR461="","",IF(Raw_Data!AR461="oui",1,0))</f>
        <v/>
      </c>
      <c r="Y458" s="12" t="str">
        <f>IF(Raw_Data!AS461="","",IF(Raw_Data!AS461="oui",1,0))</f>
        <v/>
      </c>
      <c r="Z458" s="12" t="str">
        <f>IF(Raw_Data!V461="","",IF(Raw_Data!V461="oui",1,0))</f>
        <v/>
      </c>
      <c r="AA458" s="12" t="str">
        <f>IF(Raw_Data!W461="","",IF(Raw_Data!W461="oui",1,0))</f>
        <v/>
      </c>
      <c r="AB458" s="12" t="str">
        <f>IF(Raw_Data!Q461="","",IF(Raw_Data!Q461="oui",1,0))</f>
        <v/>
      </c>
      <c r="AC458" s="12">
        <f>Raw_Data!AF461</f>
        <v>0</v>
      </c>
      <c r="AD458" s="12" t="str">
        <f t="shared" si="68"/>
        <v/>
      </c>
      <c r="AE458" s="12" t="str">
        <f t="shared" si="69"/>
        <v/>
      </c>
      <c r="AF458" s="12" t="str">
        <f t="shared" si="70"/>
        <v/>
      </c>
      <c r="AG458" s="12">
        <f t="shared" si="71"/>
        <v>0</v>
      </c>
    </row>
    <row r="459" spans="1:33" ht="15" customHeight="1" x14ac:dyDescent="0.25">
      <c r="A459" s="12" t="str">
        <f>IF(Raw_Data!B462="","",Raw_Data!B462)</f>
        <v/>
      </c>
      <c r="B459" s="12">
        <f>IF(Raw_Data!X462&lt;&gt;"",Raw_Data!X462,Raw_Data!C462)</f>
        <v>0</v>
      </c>
      <c r="C459" s="12" t="str">
        <f>IF(Raw_Data!G462="","",Raw_Data!G462)</f>
        <v/>
      </c>
      <c r="D459" s="12" t="str">
        <f>IF(Raw_Data!H462="","",Raw_Data!H462)</f>
        <v/>
      </c>
      <c r="E459" s="12" t="str">
        <f>IF(Raw_Data!I462="","",Raw_Data!I462)</f>
        <v/>
      </c>
      <c r="F459" s="12" t="str">
        <f>IF(Raw_Data!J462="","",Raw_Data!J462)</f>
        <v/>
      </c>
      <c r="G459" s="12" t="str">
        <f>IF(Raw_Data!AH462&lt;&gt;"",Raw_Data!AH462,IF(Raw_Data!K462&lt;&gt;"",Raw_Data!K462,""))</f>
        <v/>
      </c>
      <c r="H459" s="12" t="str">
        <f>IF(Raw_Data!AI462&lt;&gt;"",Raw_Data!AI462,IF(Raw_Data!L462&lt;&gt;"",Raw_Data!L462,""))</f>
        <v/>
      </c>
      <c r="I459" s="12" t="str">
        <f t="shared" si="63"/>
        <v/>
      </c>
      <c r="J459" s="12" t="str">
        <f>IF(Raw_Data!M462="","",Raw_Data!M462)</f>
        <v/>
      </c>
      <c r="K459" s="12">
        <f>IF(Raw_Data!AJ462&lt;&gt;"",Raw_Data!AJ462,Raw_Data!N462)</f>
        <v>0</v>
      </c>
      <c r="L459" s="12">
        <f t="shared" si="64"/>
        <v>1</v>
      </c>
      <c r="M459" s="12" t="str">
        <f>IF(Raw_Data!AK462="","",Raw_Data!AK462)</f>
        <v/>
      </c>
      <c r="N459" s="12" t="str">
        <f>IF(Raw_Data!T462="","",Raw_Data!T462)</f>
        <v/>
      </c>
      <c r="O459" s="12" t="str">
        <f>IF(Raw_Data!AB462&lt;&gt;"",Raw_Data!AB462,IF(N459="tres_insatisfait",1,IF(N459="insatisfait",2,IF(N459="neutre",3,IF(N459="satisfait",4,IF(N459="tres_satisfait",5,""))))))</f>
        <v/>
      </c>
      <c r="P459" s="12">
        <f>IF(Raw_Data!AL462&lt;&gt;"",Raw_Data!AL462,Raw_Data!R462)</f>
        <v>0</v>
      </c>
      <c r="Q459" s="12">
        <f t="shared" si="65"/>
        <v>0</v>
      </c>
      <c r="R459" s="12" t="str">
        <f>IF(Raw_Data!AM462="","",Raw_Data!AM462)</f>
        <v/>
      </c>
      <c r="S459" s="12" t="str">
        <f t="shared" si="66"/>
        <v/>
      </c>
      <c r="T459" s="12" t="str">
        <f>IF(Raw_Data!AN462="","",Raw_Data!AN462)</f>
        <v/>
      </c>
      <c r="U459" s="12" t="str">
        <f t="shared" si="67"/>
        <v/>
      </c>
      <c r="V459" s="12" t="str">
        <f>IF(Raw_Data!AP462="","",IF(Raw_Data!AP462="oui",1,0))</f>
        <v/>
      </c>
      <c r="W459" s="12" t="str">
        <f>IF(Raw_Data!AQ462="","",IF(Raw_Data!AQ462="oui",1,0))</f>
        <v/>
      </c>
      <c r="X459" s="12" t="str">
        <f>IF(Raw_Data!AR462="","",IF(Raw_Data!AR462="oui",1,0))</f>
        <v/>
      </c>
      <c r="Y459" s="12" t="str">
        <f>IF(Raw_Data!AS462="","",IF(Raw_Data!AS462="oui",1,0))</f>
        <v/>
      </c>
      <c r="Z459" s="12" t="str">
        <f>IF(Raw_Data!V462="","",IF(Raw_Data!V462="oui",1,0))</f>
        <v/>
      </c>
      <c r="AA459" s="12" t="str">
        <f>IF(Raw_Data!W462="","",IF(Raw_Data!W462="oui",1,0))</f>
        <v/>
      </c>
      <c r="AB459" s="12" t="str">
        <f>IF(Raw_Data!Q462="","",IF(Raw_Data!Q462="oui",1,0))</f>
        <v/>
      </c>
      <c r="AC459" s="12">
        <f>Raw_Data!AF462</f>
        <v>0</v>
      </c>
      <c r="AD459" s="12" t="str">
        <f t="shared" si="68"/>
        <v/>
      </c>
      <c r="AE459" s="12" t="str">
        <f t="shared" si="69"/>
        <v/>
      </c>
      <c r="AF459" s="12" t="str">
        <f t="shared" si="70"/>
        <v/>
      </c>
      <c r="AG459" s="12">
        <f t="shared" si="71"/>
        <v>0</v>
      </c>
    </row>
    <row r="460" spans="1:33" ht="15" customHeight="1" x14ac:dyDescent="0.25">
      <c r="A460" s="12" t="str">
        <f>IF(Raw_Data!B463="","",Raw_Data!B463)</f>
        <v/>
      </c>
      <c r="B460" s="12">
        <f>IF(Raw_Data!X463&lt;&gt;"",Raw_Data!X463,Raw_Data!C463)</f>
        <v>0</v>
      </c>
      <c r="C460" s="12" t="str">
        <f>IF(Raw_Data!G463="","",Raw_Data!G463)</f>
        <v/>
      </c>
      <c r="D460" s="12" t="str">
        <f>IF(Raw_Data!H463="","",Raw_Data!H463)</f>
        <v/>
      </c>
      <c r="E460" s="12" t="str">
        <f>IF(Raw_Data!I463="","",Raw_Data!I463)</f>
        <v/>
      </c>
      <c r="F460" s="12" t="str">
        <f>IF(Raw_Data!J463="","",Raw_Data!J463)</f>
        <v/>
      </c>
      <c r="G460" s="12" t="str">
        <f>IF(Raw_Data!AH463&lt;&gt;"",Raw_Data!AH463,IF(Raw_Data!K463&lt;&gt;"",Raw_Data!K463,""))</f>
        <v/>
      </c>
      <c r="H460" s="12" t="str">
        <f>IF(Raw_Data!AI463&lt;&gt;"",Raw_Data!AI463,IF(Raw_Data!L463&lt;&gt;"",Raw_Data!L463,""))</f>
        <v/>
      </c>
      <c r="I460" s="12" t="str">
        <f t="shared" si="63"/>
        <v/>
      </c>
      <c r="J460" s="12" t="str">
        <f>IF(Raw_Data!M463="","",Raw_Data!M463)</f>
        <v/>
      </c>
      <c r="K460" s="12">
        <f>IF(Raw_Data!AJ463&lt;&gt;"",Raw_Data!AJ463,Raw_Data!N463)</f>
        <v>0</v>
      </c>
      <c r="L460" s="12">
        <f t="shared" si="64"/>
        <v>1</v>
      </c>
      <c r="M460" s="12" t="str">
        <f>IF(Raw_Data!AK463="","",Raw_Data!AK463)</f>
        <v/>
      </c>
      <c r="N460" s="12" t="str">
        <f>IF(Raw_Data!T463="","",Raw_Data!T463)</f>
        <v/>
      </c>
      <c r="O460" s="12" t="str">
        <f>IF(Raw_Data!AB463&lt;&gt;"",Raw_Data!AB463,IF(N460="tres_insatisfait",1,IF(N460="insatisfait",2,IF(N460="neutre",3,IF(N460="satisfait",4,IF(N460="tres_satisfait",5,""))))))</f>
        <v/>
      </c>
      <c r="P460" s="12">
        <f>IF(Raw_Data!AL463&lt;&gt;"",Raw_Data!AL463,Raw_Data!R463)</f>
        <v>0</v>
      </c>
      <c r="Q460" s="12">
        <f t="shared" si="65"/>
        <v>0</v>
      </c>
      <c r="R460" s="12" t="str">
        <f>IF(Raw_Data!AM463="","",Raw_Data!AM463)</f>
        <v/>
      </c>
      <c r="S460" s="12" t="str">
        <f t="shared" si="66"/>
        <v/>
      </c>
      <c r="T460" s="12" t="str">
        <f>IF(Raw_Data!AN463="","",Raw_Data!AN463)</f>
        <v/>
      </c>
      <c r="U460" s="12" t="str">
        <f t="shared" si="67"/>
        <v/>
      </c>
      <c r="V460" s="12" t="str">
        <f>IF(Raw_Data!AP463="","",IF(Raw_Data!AP463="oui",1,0))</f>
        <v/>
      </c>
      <c r="W460" s="12" t="str">
        <f>IF(Raw_Data!AQ463="","",IF(Raw_Data!AQ463="oui",1,0))</f>
        <v/>
      </c>
      <c r="X460" s="12" t="str">
        <f>IF(Raw_Data!AR463="","",IF(Raw_Data!AR463="oui",1,0))</f>
        <v/>
      </c>
      <c r="Y460" s="12" t="str">
        <f>IF(Raw_Data!AS463="","",IF(Raw_Data!AS463="oui",1,0))</f>
        <v/>
      </c>
      <c r="Z460" s="12" t="str">
        <f>IF(Raw_Data!V463="","",IF(Raw_Data!V463="oui",1,0))</f>
        <v/>
      </c>
      <c r="AA460" s="12" t="str">
        <f>IF(Raw_Data!W463="","",IF(Raw_Data!W463="oui",1,0))</f>
        <v/>
      </c>
      <c r="AB460" s="12" t="str">
        <f>IF(Raw_Data!Q463="","",IF(Raw_Data!Q463="oui",1,0))</f>
        <v/>
      </c>
      <c r="AC460" s="12">
        <f>Raw_Data!AF463</f>
        <v>0</v>
      </c>
      <c r="AD460" s="12" t="str">
        <f t="shared" si="68"/>
        <v/>
      </c>
      <c r="AE460" s="12" t="str">
        <f t="shared" si="69"/>
        <v/>
      </c>
      <c r="AF460" s="12" t="str">
        <f t="shared" si="70"/>
        <v/>
      </c>
      <c r="AG460" s="12">
        <f t="shared" si="71"/>
        <v>0</v>
      </c>
    </row>
    <row r="461" spans="1:33" ht="15" customHeight="1" x14ac:dyDescent="0.25">
      <c r="A461" s="12" t="str">
        <f>IF(Raw_Data!B464="","",Raw_Data!B464)</f>
        <v/>
      </c>
      <c r="B461" s="12">
        <f>IF(Raw_Data!X464&lt;&gt;"",Raw_Data!X464,Raw_Data!C464)</f>
        <v>0</v>
      </c>
      <c r="C461" s="12" t="str">
        <f>IF(Raw_Data!G464="","",Raw_Data!G464)</f>
        <v/>
      </c>
      <c r="D461" s="12" t="str">
        <f>IF(Raw_Data!H464="","",Raw_Data!H464)</f>
        <v/>
      </c>
      <c r="E461" s="12" t="str">
        <f>IF(Raw_Data!I464="","",Raw_Data!I464)</f>
        <v/>
      </c>
      <c r="F461" s="12" t="str">
        <f>IF(Raw_Data!J464="","",Raw_Data!J464)</f>
        <v/>
      </c>
      <c r="G461" s="12" t="str">
        <f>IF(Raw_Data!AH464&lt;&gt;"",Raw_Data!AH464,IF(Raw_Data!K464&lt;&gt;"",Raw_Data!K464,""))</f>
        <v/>
      </c>
      <c r="H461" s="12" t="str">
        <f>IF(Raw_Data!AI464&lt;&gt;"",Raw_Data!AI464,IF(Raw_Data!L464&lt;&gt;"",Raw_Data!L464,""))</f>
        <v/>
      </c>
      <c r="I461" s="12" t="str">
        <f t="shared" si="63"/>
        <v/>
      </c>
      <c r="J461" s="12" t="str">
        <f>IF(Raw_Data!M464="","",Raw_Data!M464)</f>
        <v/>
      </c>
      <c r="K461" s="12">
        <f>IF(Raw_Data!AJ464&lt;&gt;"",Raw_Data!AJ464,Raw_Data!N464)</f>
        <v>0</v>
      </c>
      <c r="L461" s="12">
        <f t="shared" si="64"/>
        <v>1</v>
      </c>
      <c r="M461" s="12" t="str">
        <f>IF(Raw_Data!AK464="","",Raw_Data!AK464)</f>
        <v/>
      </c>
      <c r="N461" s="12" t="str">
        <f>IF(Raw_Data!T464="","",Raw_Data!T464)</f>
        <v/>
      </c>
      <c r="O461" s="12" t="str">
        <f>IF(Raw_Data!AB464&lt;&gt;"",Raw_Data!AB464,IF(N461="tres_insatisfait",1,IF(N461="insatisfait",2,IF(N461="neutre",3,IF(N461="satisfait",4,IF(N461="tres_satisfait",5,""))))))</f>
        <v/>
      </c>
      <c r="P461" s="12">
        <f>IF(Raw_Data!AL464&lt;&gt;"",Raw_Data!AL464,Raw_Data!R464)</f>
        <v>0</v>
      </c>
      <c r="Q461" s="12">
        <f t="shared" si="65"/>
        <v>0</v>
      </c>
      <c r="R461" s="12" t="str">
        <f>IF(Raw_Data!AM464="","",Raw_Data!AM464)</f>
        <v/>
      </c>
      <c r="S461" s="12" t="str">
        <f t="shared" si="66"/>
        <v/>
      </c>
      <c r="T461" s="12" t="str">
        <f>IF(Raw_Data!AN464="","",Raw_Data!AN464)</f>
        <v/>
      </c>
      <c r="U461" s="12" t="str">
        <f t="shared" si="67"/>
        <v/>
      </c>
      <c r="V461" s="12" t="str">
        <f>IF(Raw_Data!AP464="","",IF(Raw_Data!AP464="oui",1,0))</f>
        <v/>
      </c>
      <c r="W461" s="12" t="str">
        <f>IF(Raw_Data!AQ464="","",IF(Raw_Data!AQ464="oui",1,0))</f>
        <v/>
      </c>
      <c r="X461" s="12" t="str">
        <f>IF(Raw_Data!AR464="","",IF(Raw_Data!AR464="oui",1,0))</f>
        <v/>
      </c>
      <c r="Y461" s="12" t="str">
        <f>IF(Raw_Data!AS464="","",IF(Raw_Data!AS464="oui",1,0))</f>
        <v/>
      </c>
      <c r="Z461" s="12" t="str">
        <f>IF(Raw_Data!V464="","",IF(Raw_Data!V464="oui",1,0))</f>
        <v/>
      </c>
      <c r="AA461" s="12" t="str">
        <f>IF(Raw_Data!W464="","",IF(Raw_Data!W464="oui",1,0))</f>
        <v/>
      </c>
      <c r="AB461" s="12" t="str">
        <f>IF(Raw_Data!Q464="","",IF(Raw_Data!Q464="oui",1,0))</f>
        <v/>
      </c>
      <c r="AC461" s="12">
        <f>Raw_Data!AF464</f>
        <v>0</v>
      </c>
      <c r="AD461" s="12" t="str">
        <f t="shared" si="68"/>
        <v/>
      </c>
      <c r="AE461" s="12" t="str">
        <f t="shared" si="69"/>
        <v/>
      </c>
      <c r="AF461" s="12" t="str">
        <f t="shared" si="70"/>
        <v/>
      </c>
      <c r="AG461" s="12">
        <f t="shared" si="71"/>
        <v>0</v>
      </c>
    </row>
    <row r="462" spans="1:33" ht="15" customHeight="1" x14ac:dyDescent="0.25">
      <c r="A462" s="12" t="str">
        <f>IF(Raw_Data!B465="","",Raw_Data!B465)</f>
        <v/>
      </c>
      <c r="B462" s="12">
        <f>IF(Raw_Data!X465&lt;&gt;"",Raw_Data!X465,Raw_Data!C465)</f>
        <v>0</v>
      </c>
      <c r="C462" s="12" t="str">
        <f>IF(Raw_Data!G465="","",Raw_Data!G465)</f>
        <v/>
      </c>
      <c r="D462" s="12" t="str">
        <f>IF(Raw_Data!H465="","",Raw_Data!H465)</f>
        <v/>
      </c>
      <c r="E462" s="12" t="str">
        <f>IF(Raw_Data!I465="","",Raw_Data!I465)</f>
        <v/>
      </c>
      <c r="F462" s="12" t="str">
        <f>IF(Raw_Data!J465="","",Raw_Data!J465)</f>
        <v/>
      </c>
      <c r="G462" s="12" t="str">
        <f>IF(Raw_Data!AH465&lt;&gt;"",Raw_Data!AH465,IF(Raw_Data!K465&lt;&gt;"",Raw_Data!K465,""))</f>
        <v/>
      </c>
      <c r="H462" s="12" t="str">
        <f>IF(Raw_Data!AI465&lt;&gt;"",Raw_Data!AI465,IF(Raw_Data!L465&lt;&gt;"",Raw_Data!L465,""))</f>
        <v/>
      </c>
      <c r="I462" s="12" t="str">
        <f t="shared" si="63"/>
        <v/>
      </c>
      <c r="J462" s="12" t="str">
        <f>IF(Raw_Data!M465="","",Raw_Data!M465)</f>
        <v/>
      </c>
      <c r="K462" s="12">
        <f>IF(Raw_Data!AJ465&lt;&gt;"",Raw_Data!AJ465,Raw_Data!N465)</f>
        <v>0</v>
      </c>
      <c r="L462" s="12">
        <f t="shared" si="64"/>
        <v>1</v>
      </c>
      <c r="M462" s="12" t="str">
        <f>IF(Raw_Data!AK465="","",Raw_Data!AK465)</f>
        <v/>
      </c>
      <c r="N462" s="12" t="str">
        <f>IF(Raw_Data!T465="","",Raw_Data!T465)</f>
        <v/>
      </c>
      <c r="O462" s="12" t="str">
        <f>IF(Raw_Data!AB465&lt;&gt;"",Raw_Data!AB465,IF(N462="tres_insatisfait",1,IF(N462="insatisfait",2,IF(N462="neutre",3,IF(N462="satisfait",4,IF(N462="tres_satisfait",5,""))))))</f>
        <v/>
      </c>
      <c r="P462" s="12">
        <f>IF(Raw_Data!AL465&lt;&gt;"",Raw_Data!AL465,Raw_Data!R465)</f>
        <v>0</v>
      </c>
      <c r="Q462" s="12">
        <f t="shared" si="65"/>
        <v>0</v>
      </c>
      <c r="R462" s="12" t="str">
        <f>IF(Raw_Data!AM465="","",Raw_Data!AM465)</f>
        <v/>
      </c>
      <c r="S462" s="12" t="str">
        <f t="shared" si="66"/>
        <v/>
      </c>
      <c r="T462" s="12" t="str">
        <f>IF(Raw_Data!AN465="","",Raw_Data!AN465)</f>
        <v/>
      </c>
      <c r="U462" s="12" t="str">
        <f t="shared" si="67"/>
        <v/>
      </c>
      <c r="V462" s="12" t="str">
        <f>IF(Raw_Data!AP465="","",IF(Raw_Data!AP465="oui",1,0))</f>
        <v/>
      </c>
      <c r="W462" s="12" t="str">
        <f>IF(Raw_Data!AQ465="","",IF(Raw_Data!AQ465="oui",1,0))</f>
        <v/>
      </c>
      <c r="X462" s="12" t="str">
        <f>IF(Raw_Data!AR465="","",IF(Raw_Data!AR465="oui",1,0))</f>
        <v/>
      </c>
      <c r="Y462" s="12" t="str">
        <f>IF(Raw_Data!AS465="","",IF(Raw_Data!AS465="oui",1,0))</f>
        <v/>
      </c>
      <c r="Z462" s="12" t="str">
        <f>IF(Raw_Data!V465="","",IF(Raw_Data!V465="oui",1,0))</f>
        <v/>
      </c>
      <c r="AA462" s="12" t="str">
        <f>IF(Raw_Data!W465="","",IF(Raw_Data!W465="oui",1,0))</f>
        <v/>
      </c>
      <c r="AB462" s="12" t="str">
        <f>IF(Raw_Data!Q465="","",IF(Raw_Data!Q465="oui",1,0))</f>
        <v/>
      </c>
      <c r="AC462" s="12">
        <f>Raw_Data!AF465</f>
        <v>0</v>
      </c>
      <c r="AD462" s="12" t="str">
        <f t="shared" si="68"/>
        <v/>
      </c>
      <c r="AE462" s="12" t="str">
        <f t="shared" si="69"/>
        <v/>
      </c>
      <c r="AF462" s="12" t="str">
        <f t="shared" si="70"/>
        <v/>
      </c>
      <c r="AG462" s="12">
        <f t="shared" si="71"/>
        <v>0</v>
      </c>
    </row>
    <row r="463" spans="1:33" ht="15" customHeight="1" x14ac:dyDescent="0.25">
      <c r="A463" s="12" t="str">
        <f>IF(Raw_Data!B466="","",Raw_Data!B466)</f>
        <v/>
      </c>
      <c r="B463" s="12">
        <f>IF(Raw_Data!X466&lt;&gt;"",Raw_Data!X466,Raw_Data!C466)</f>
        <v>0</v>
      </c>
      <c r="C463" s="12" t="str">
        <f>IF(Raw_Data!G466="","",Raw_Data!G466)</f>
        <v/>
      </c>
      <c r="D463" s="12" t="str">
        <f>IF(Raw_Data!H466="","",Raw_Data!H466)</f>
        <v/>
      </c>
      <c r="E463" s="12" t="str">
        <f>IF(Raw_Data!I466="","",Raw_Data!I466)</f>
        <v/>
      </c>
      <c r="F463" s="12" t="str">
        <f>IF(Raw_Data!J466="","",Raw_Data!J466)</f>
        <v/>
      </c>
      <c r="G463" s="12" t="str">
        <f>IF(Raw_Data!AH466&lt;&gt;"",Raw_Data!AH466,IF(Raw_Data!K466&lt;&gt;"",Raw_Data!K466,""))</f>
        <v/>
      </c>
      <c r="H463" s="12" t="str">
        <f>IF(Raw_Data!AI466&lt;&gt;"",Raw_Data!AI466,IF(Raw_Data!L466&lt;&gt;"",Raw_Data!L466,""))</f>
        <v/>
      </c>
      <c r="I463" s="12" t="str">
        <f t="shared" si="63"/>
        <v/>
      </c>
      <c r="J463" s="12" t="str">
        <f>IF(Raw_Data!M466="","",Raw_Data!M466)</f>
        <v/>
      </c>
      <c r="K463" s="12">
        <f>IF(Raw_Data!AJ466&lt;&gt;"",Raw_Data!AJ466,Raw_Data!N466)</f>
        <v>0</v>
      </c>
      <c r="L463" s="12">
        <f t="shared" si="64"/>
        <v>1</v>
      </c>
      <c r="M463" s="12" t="str">
        <f>IF(Raw_Data!AK466="","",Raw_Data!AK466)</f>
        <v/>
      </c>
      <c r="N463" s="12" t="str">
        <f>IF(Raw_Data!T466="","",Raw_Data!T466)</f>
        <v/>
      </c>
      <c r="O463" s="12" t="str">
        <f>IF(Raw_Data!AB466&lt;&gt;"",Raw_Data!AB466,IF(N463="tres_insatisfait",1,IF(N463="insatisfait",2,IF(N463="neutre",3,IF(N463="satisfait",4,IF(N463="tres_satisfait",5,""))))))</f>
        <v/>
      </c>
      <c r="P463" s="12">
        <f>IF(Raw_Data!AL466&lt;&gt;"",Raw_Data!AL466,Raw_Data!R466)</f>
        <v>0</v>
      </c>
      <c r="Q463" s="12">
        <f t="shared" si="65"/>
        <v>0</v>
      </c>
      <c r="R463" s="12" t="str">
        <f>IF(Raw_Data!AM466="","",Raw_Data!AM466)</f>
        <v/>
      </c>
      <c r="S463" s="12" t="str">
        <f t="shared" si="66"/>
        <v/>
      </c>
      <c r="T463" s="12" t="str">
        <f>IF(Raw_Data!AN466="","",Raw_Data!AN466)</f>
        <v/>
      </c>
      <c r="U463" s="12" t="str">
        <f t="shared" si="67"/>
        <v/>
      </c>
      <c r="V463" s="12" t="str">
        <f>IF(Raw_Data!AP466="","",IF(Raw_Data!AP466="oui",1,0))</f>
        <v/>
      </c>
      <c r="W463" s="12" t="str">
        <f>IF(Raw_Data!AQ466="","",IF(Raw_Data!AQ466="oui",1,0))</f>
        <v/>
      </c>
      <c r="X463" s="12" t="str">
        <f>IF(Raw_Data!AR466="","",IF(Raw_Data!AR466="oui",1,0))</f>
        <v/>
      </c>
      <c r="Y463" s="12" t="str">
        <f>IF(Raw_Data!AS466="","",IF(Raw_Data!AS466="oui",1,0))</f>
        <v/>
      </c>
      <c r="Z463" s="12" t="str">
        <f>IF(Raw_Data!V466="","",IF(Raw_Data!V466="oui",1,0))</f>
        <v/>
      </c>
      <c r="AA463" s="12" t="str">
        <f>IF(Raw_Data!W466="","",IF(Raw_Data!W466="oui",1,0))</f>
        <v/>
      </c>
      <c r="AB463" s="12" t="str">
        <f>IF(Raw_Data!Q466="","",IF(Raw_Data!Q466="oui",1,0))</f>
        <v/>
      </c>
      <c r="AC463" s="12">
        <f>Raw_Data!AF466</f>
        <v>0</v>
      </c>
      <c r="AD463" s="12" t="str">
        <f t="shared" si="68"/>
        <v/>
      </c>
      <c r="AE463" s="12" t="str">
        <f t="shared" si="69"/>
        <v/>
      </c>
      <c r="AF463" s="12" t="str">
        <f t="shared" si="70"/>
        <v/>
      </c>
      <c r="AG463" s="12">
        <f t="shared" si="71"/>
        <v>0</v>
      </c>
    </row>
    <row r="464" spans="1:33" ht="15" customHeight="1" x14ac:dyDescent="0.25">
      <c r="A464" s="12" t="str">
        <f>IF(Raw_Data!B467="","",Raw_Data!B467)</f>
        <v/>
      </c>
      <c r="B464" s="12">
        <f>IF(Raw_Data!X467&lt;&gt;"",Raw_Data!X467,Raw_Data!C467)</f>
        <v>0</v>
      </c>
      <c r="C464" s="12" t="str">
        <f>IF(Raw_Data!G467="","",Raw_Data!G467)</f>
        <v/>
      </c>
      <c r="D464" s="12" t="str">
        <f>IF(Raw_Data!H467="","",Raw_Data!H467)</f>
        <v/>
      </c>
      <c r="E464" s="12" t="str">
        <f>IF(Raw_Data!I467="","",Raw_Data!I467)</f>
        <v/>
      </c>
      <c r="F464" s="12" t="str">
        <f>IF(Raw_Data!J467="","",Raw_Data!J467)</f>
        <v/>
      </c>
      <c r="G464" s="12" t="str">
        <f>IF(Raw_Data!AH467&lt;&gt;"",Raw_Data!AH467,IF(Raw_Data!K467&lt;&gt;"",Raw_Data!K467,""))</f>
        <v/>
      </c>
      <c r="H464" s="12" t="str">
        <f>IF(Raw_Data!AI467&lt;&gt;"",Raw_Data!AI467,IF(Raw_Data!L467&lt;&gt;"",Raw_Data!L467,""))</f>
        <v/>
      </c>
      <c r="I464" s="12" t="str">
        <f t="shared" si="63"/>
        <v/>
      </c>
      <c r="J464" s="12" t="str">
        <f>IF(Raw_Data!M467="","",Raw_Data!M467)</f>
        <v/>
      </c>
      <c r="K464" s="12">
        <f>IF(Raw_Data!AJ467&lt;&gt;"",Raw_Data!AJ467,Raw_Data!N467)</f>
        <v>0</v>
      </c>
      <c r="L464" s="12">
        <f t="shared" si="64"/>
        <v>1</v>
      </c>
      <c r="M464" s="12" t="str">
        <f>IF(Raw_Data!AK467="","",Raw_Data!AK467)</f>
        <v/>
      </c>
      <c r="N464" s="12" t="str">
        <f>IF(Raw_Data!T467="","",Raw_Data!T467)</f>
        <v/>
      </c>
      <c r="O464" s="12" t="str">
        <f>IF(Raw_Data!AB467&lt;&gt;"",Raw_Data!AB467,IF(N464="tres_insatisfait",1,IF(N464="insatisfait",2,IF(N464="neutre",3,IF(N464="satisfait",4,IF(N464="tres_satisfait",5,""))))))</f>
        <v/>
      </c>
      <c r="P464" s="12">
        <f>IF(Raw_Data!AL467&lt;&gt;"",Raw_Data!AL467,Raw_Data!R467)</f>
        <v>0</v>
      </c>
      <c r="Q464" s="12">
        <f t="shared" si="65"/>
        <v>0</v>
      </c>
      <c r="R464" s="12" t="str">
        <f>IF(Raw_Data!AM467="","",Raw_Data!AM467)</f>
        <v/>
      </c>
      <c r="S464" s="12" t="str">
        <f t="shared" si="66"/>
        <v/>
      </c>
      <c r="T464" s="12" t="str">
        <f>IF(Raw_Data!AN467="","",Raw_Data!AN467)</f>
        <v/>
      </c>
      <c r="U464" s="12" t="str">
        <f t="shared" si="67"/>
        <v/>
      </c>
      <c r="V464" s="12" t="str">
        <f>IF(Raw_Data!AP467="","",IF(Raw_Data!AP467="oui",1,0))</f>
        <v/>
      </c>
      <c r="W464" s="12" t="str">
        <f>IF(Raw_Data!AQ467="","",IF(Raw_Data!AQ467="oui",1,0))</f>
        <v/>
      </c>
      <c r="X464" s="12" t="str">
        <f>IF(Raw_Data!AR467="","",IF(Raw_Data!AR467="oui",1,0))</f>
        <v/>
      </c>
      <c r="Y464" s="12" t="str">
        <f>IF(Raw_Data!AS467="","",IF(Raw_Data!AS467="oui",1,0))</f>
        <v/>
      </c>
      <c r="Z464" s="12" t="str">
        <f>IF(Raw_Data!V467="","",IF(Raw_Data!V467="oui",1,0))</f>
        <v/>
      </c>
      <c r="AA464" s="12" t="str">
        <f>IF(Raw_Data!W467="","",IF(Raw_Data!W467="oui",1,0))</f>
        <v/>
      </c>
      <c r="AB464" s="12" t="str">
        <f>IF(Raw_Data!Q467="","",IF(Raw_Data!Q467="oui",1,0))</f>
        <v/>
      </c>
      <c r="AC464" s="12">
        <f>Raw_Data!AF467</f>
        <v>0</v>
      </c>
      <c r="AD464" s="12" t="str">
        <f t="shared" si="68"/>
        <v/>
      </c>
      <c r="AE464" s="12" t="str">
        <f t="shared" si="69"/>
        <v/>
      </c>
      <c r="AF464" s="12" t="str">
        <f t="shared" si="70"/>
        <v/>
      </c>
      <c r="AG464" s="12">
        <f t="shared" si="71"/>
        <v>0</v>
      </c>
    </row>
    <row r="465" spans="1:33" ht="15" customHeight="1" x14ac:dyDescent="0.25">
      <c r="A465" s="12" t="str">
        <f>IF(Raw_Data!B468="","",Raw_Data!B468)</f>
        <v/>
      </c>
      <c r="B465" s="12">
        <f>IF(Raw_Data!X468&lt;&gt;"",Raw_Data!X468,Raw_Data!C468)</f>
        <v>0</v>
      </c>
      <c r="C465" s="12" t="str">
        <f>IF(Raw_Data!G468="","",Raw_Data!G468)</f>
        <v/>
      </c>
      <c r="D465" s="12" t="str">
        <f>IF(Raw_Data!H468="","",Raw_Data!H468)</f>
        <v/>
      </c>
      <c r="E465" s="12" t="str">
        <f>IF(Raw_Data!I468="","",Raw_Data!I468)</f>
        <v/>
      </c>
      <c r="F465" s="12" t="str">
        <f>IF(Raw_Data!J468="","",Raw_Data!J468)</f>
        <v/>
      </c>
      <c r="G465" s="12" t="str">
        <f>IF(Raw_Data!AH468&lt;&gt;"",Raw_Data!AH468,IF(Raw_Data!K468&lt;&gt;"",Raw_Data!K468,""))</f>
        <v/>
      </c>
      <c r="H465" s="12" t="str">
        <f>IF(Raw_Data!AI468&lt;&gt;"",Raw_Data!AI468,IF(Raw_Data!L468&lt;&gt;"",Raw_Data!L468,""))</f>
        <v/>
      </c>
      <c r="I465" s="12" t="str">
        <f t="shared" si="63"/>
        <v/>
      </c>
      <c r="J465" s="12" t="str">
        <f>IF(Raw_Data!M468="","",Raw_Data!M468)</f>
        <v/>
      </c>
      <c r="K465" s="12">
        <f>IF(Raw_Data!AJ468&lt;&gt;"",Raw_Data!AJ468,Raw_Data!N468)</f>
        <v>0</v>
      </c>
      <c r="L465" s="12">
        <f t="shared" si="64"/>
        <v>1</v>
      </c>
      <c r="M465" s="12" t="str">
        <f>IF(Raw_Data!AK468="","",Raw_Data!AK468)</f>
        <v/>
      </c>
      <c r="N465" s="12" t="str">
        <f>IF(Raw_Data!T468="","",Raw_Data!T468)</f>
        <v/>
      </c>
      <c r="O465" s="12" t="str">
        <f>IF(Raw_Data!AB468&lt;&gt;"",Raw_Data!AB468,IF(N465="tres_insatisfait",1,IF(N465="insatisfait",2,IF(N465="neutre",3,IF(N465="satisfait",4,IF(N465="tres_satisfait",5,""))))))</f>
        <v/>
      </c>
      <c r="P465" s="12">
        <f>IF(Raw_Data!AL468&lt;&gt;"",Raw_Data!AL468,Raw_Data!R468)</f>
        <v>0</v>
      </c>
      <c r="Q465" s="12">
        <f t="shared" si="65"/>
        <v>0</v>
      </c>
      <c r="R465" s="12" t="str">
        <f>IF(Raw_Data!AM468="","",Raw_Data!AM468)</f>
        <v/>
      </c>
      <c r="S465" s="12" t="str">
        <f t="shared" si="66"/>
        <v/>
      </c>
      <c r="T465" s="12" t="str">
        <f>IF(Raw_Data!AN468="","",Raw_Data!AN468)</f>
        <v/>
      </c>
      <c r="U465" s="12" t="str">
        <f t="shared" si="67"/>
        <v/>
      </c>
      <c r="V465" s="12" t="str">
        <f>IF(Raw_Data!AP468="","",IF(Raw_Data!AP468="oui",1,0))</f>
        <v/>
      </c>
      <c r="W465" s="12" t="str">
        <f>IF(Raw_Data!AQ468="","",IF(Raw_Data!AQ468="oui",1,0))</f>
        <v/>
      </c>
      <c r="X465" s="12" t="str">
        <f>IF(Raw_Data!AR468="","",IF(Raw_Data!AR468="oui",1,0))</f>
        <v/>
      </c>
      <c r="Y465" s="12" t="str">
        <f>IF(Raw_Data!AS468="","",IF(Raw_Data!AS468="oui",1,0))</f>
        <v/>
      </c>
      <c r="Z465" s="12" t="str">
        <f>IF(Raw_Data!V468="","",IF(Raw_Data!V468="oui",1,0))</f>
        <v/>
      </c>
      <c r="AA465" s="12" t="str">
        <f>IF(Raw_Data!W468="","",IF(Raw_Data!W468="oui",1,0))</f>
        <v/>
      </c>
      <c r="AB465" s="12" t="str">
        <f>IF(Raw_Data!Q468="","",IF(Raw_Data!Q468="oui",1,0))</f>
        <v/>
      </c>
      <c r="AC465" s="12">
        <f>Raw_Data!AF468</f>
        <v>0</v>
      </c>
      <c r="AD465" s="12" t="str">
        <f t="shared" si="68"/>
        <v/>
      </c>
      <c r="AE465" s="12" t="str">
        <f t="shared" si="69"/>
        <v/>
      </c>
      <c r="AF465" s="12" t="str">
        <f t="shared" si="70"/>
        <v/>
      </c>
      <c r="AG465" s="12">
        <f t="shared" si="71"/>
        <v>0</v>
      </c>
    </row>
    <row r="466" spans="1:33" ht="15" customHeight="1" x14ac:dyDescent="0.25">
      <c r="A466" s="12" t="str">
        <f>IF(Raw_Data!B469="","",Raw_Data!B469)</f>
        <v/>
      </c>
      <c r="B466" s="12">
        <f>IF(Raw_Data!X469&lt;&gt;"",Raw_Data!X469,Raw_Data!C469)</f>
        <v>0</v>
      </c>
      <c r="C466" s="12" t="str">
        <f>IF(Raw_Data!G469="","",Raw_Data!G469)</f>
        <v/>
      </c>
      <c r="D466" s="12" t="str">
        <f>IF(Raw_Data!H469="","",Raw_Data!H469)</f>
        <v/>
      </c>
      <c r="E466" s="12" t="str">
        <f>IF(Raw_Data!I469="","",Raw_Data!I469)</f>
        <v/>
      </c>
      <c r="F466" s="12" t="str">
        <f>IF(Raw_Data!J469="","",Raw_Data!J469)</f>
        <v/>
      </c>
      <c r="G466" s="12" t="str">
        <f>IF(Raw_Data!AH469&lt;&gt;"",Raw_Data!AH469,IF(Raw_Data!K469&lt;&gt;"",Raw_Data!K469,""))</f>
        <v/>
      </c>
      <c r="H466" s="12" t="str">
        <f>IF(Raw_Data!AI469&lt;&gt;"",Raw_Data!AI469,IF(Raw_Data!L469&lt;&gt;"",Raw_Data!L469,""))</f>
        <v/>
      </c>
      <c r="I466" s="12" t="str">
        <f t="shared" si="63"/>
        <v/>
      </c>
      <c r="J466" s="12" t="str">
        <f>IF(Raw_Data!M469="","",Raw_Data!M469)</f>
        <v/>
      </c>
      <c r="K466" s="12">
        <f>IF(Raw_Data!AJ469&lt;&gt;"",Raw_Data!AJ469,Raw_Data!N469)</f>
        <v>0</v>
      </c>
      <c r="L466" s="12">
        <f t="shared" si="64"/>
        <v>1</v>
      </c>
      <c r="M466" s="12" t="str">
        <f>IF(Raw_Data!AK469="","",Raw_Data!AK469)</f>
        <v/>
      </c>
      <c r="N466" s="12" t="str">
        <f>IF(Raw_Data!T469="","",Raw_Data!T469)</f>
        <v/>
      </c>
      <c r="O466" s="12" t="str">
        <f>IF(Raw_Data!AB469&lt;&gt;"",Raw_Data!AB469,IF(N466="tres_insatisfait",1,IF(N466="insatisfait",2,IF(N466="neutre",3,IF(N466="satisfait",4,IF(N466="tres_satisfait",5,""))))))</f>
        <v/>
      </c>
      <c r="P466" s="12">
        <f>IF(Raw_Data!AL469&lt;&gt;"",Raw_Data!AL469,Raw_Data!R469)</f>
        <v>0</v>
      </c>
      <c r="Q466" s="12">
        <f t="shared" si="65"/>
        <v>0</v>
      </c>
      <c r="R466" s="12" t="str">
        <f>IF(Raw_Data!AM469="","",Raw_Data!AM469)</f>
        <v/>
      </c>
      <c r="S466" s="12" t="str">
        <f t="shared" si="66"/>
        <v/>
      </c>
      <c r="T466" s="12" t="str">
        <f>IF(Raw_Data!AN469="","",Raw_Data!AN469)</f>
        <v/>
      </c>
      <c r="U466" s="12" t="str">
        <f t="shared" si="67"/>
        <v/>
      </c>
      <c r="V466" s="12" t="str">
        <f>IF(Raw_Data!AP469="","",IF(Raw_Data!AP469="oui",1,0))</f>
        <v/>
      </c>
      <c r="W466" s="12" t="str">
        <f>IF(Raw_Data!AQ469="","",IF(Raw_Data!AQ469="oui",1,0))</f>
        <v/>
      </c>
      <c r="X466" s="12" t="str">
        <f>IF(Raw_Data!AR469="","",IF(Raw_Data!AR469="oui",1,0))</f>
        <v/>
      </c>
      <c r="Y466" s="12" t="str">
        <f>IF(Raw_Data!AS469="","",IF(Raw_Data!AS469="oui",1,0))</f>
        <v/>
      </c>
      <c r="Z466" s="12" t="str">
        <f>IF(Raw_Data!V469="","",IF(Raw_Data!V469="oui",1,0))</f>
        <v/>
      </c>
      <c r="AA466" s="12" t="str">
        <f>IF(Raw_Data!W469="","",IF(Raw_Data!W469="oui",1,0))</f>
        <v/>
      </c>
      <c r="AB466" s="12" t="str">
        <f>IF(Raw_Data!Q469="","",IF(Raw_Data!Q469="oui",1,0))</f>
        <v/>
      </c>
      <c r="AC466" s="12">
        <f>Raw_Data!AF469</f>
        <v>0</v>
      </c>
      <c r="AD466" s="12" t="str">
        <f t="shared" si="68"/>
        <v/>
      </c>
      <c r="AE466" s="12" t="str">
        <f t="shared" si="69"/>
        <v/>
      </c>
      <c r="AF466" s="12" t="str">
        <f t="shared" si="70"/>
        <v/>
      </c>
      <c r="AG466" s="12">
        <f t="shared" si="71"/>
        <v>0</v>
      </c>
    </row>
    <row r="467" spans="1:33" ht="15" customHeight="1" x14ac:dyDescent="0.25">
      <c r="A467" s="12" t="str">
        <f>IF(Raw_Data!B470="","",Raw_Data!B470)</f>
        <v/>
      </c>
      <c r="B467" s="12">
        <f>IF(Raw_Data!X470&lt;&gt;"",Raw_Data!X470,Raw_Data!C470)</f>
        <v>0</v>
      </c>
      <c r="C467" s="12" t="str">
        <f>IF(Raw_Data!G470="","",Raw_Data!G470)</f>
        <v/>
      </c>
      <c r="D467" s="12" t="str">
        <f>IF(Raw_Data!H470="","",Raw_Data!H470)</f>
        <v/>
      </c>
      <c r="E467" s="12" t="str">
        <f>IF(Raw_Data!I470="","",Raw_Data!I470)</f>
        <v/>
      </c>
      <c r="F467" s="12" t="str">
        <f>IF(Raw_Data!J470="","",Raw_Data!J470)</f>
        <v/>
      </c>
      <c r="G467" s="12" t="str">
        <f>IF(Raw_Data!AH470&lt;&gt;"",Raw_Data!AH470,IF(Raw_Data!K470&lt;&gt;"",Raw_Data!K470,""))</f>
        <v/>
      </c>
      <c r="H467" s="12" t="str">
        <f>IF(Raw_Data!AI470&lt;&gt;"",Raw_Data!AI470,IF(Raw_Data!L470&lt;&gt;"",Raw_Data!L470,""))</f>
        <v/>
      </c>
      <c r="I467" s="12" t="str">
        <f t="shared" si="63"/>
        <v/>
      </c>
      <c r="J467" s="12" t="str">
        <f>IF(Raw_Data!M470="","",Raw_Data!M470)</f>
        <v/>
      </c>
      <c r="K467" s="12">
        <f>IF(Raw_Data!AJ470&lt;&gt;"",Raw_Data!AJ470,Raw_Data!N470)</f>
        <v>0</v>
      </c>
      <c r="L467" s="12">
        <f t="shared" si="64"/>
        <v>1</v>
      </c>
      <c r="M467" s="12" t="str">
        <f>IF(Raw_Data!AK470="","",Raw_Data!AK470)</f>
        <v/>
      </c>
      <c r="N467" s="12" t="str">
        <f>IF(Raw_Data!T470="","",Raw_Data!T470)</f>
        <v/>
      </c>
      <c r="O467" s="12" t="str">
        <f>IF(Raw_Data!AB470&lt;&gt;"",Raw_Data!AB470,IF(N467="tres_insatisfait",1,IF(N467="insatisfait",2,IF(N467="neutre",3,IF(N467="satisfait",4,IF(N467="tres_satisfait",5,""))))))</f>
        <v/>
      </c>
      <c r="P467" s="12">
        <f>IF(Raw_Data!AL470&lt;&gt;"",Raw_Data!AL470,Raw_Data!R470)</f>
        <v>0</v>
      </c>
      <c r="Q467" s="12">
        <f t="shared" si="65"/>
        <v>0</v>
      </c>
      <c r="R467" s="12" t="str">
        <f>IF(Raw_Data!AM470="","",Raw_Data!AM470)</f>
        <v/>
      </c>
      <c r="S467" s="12" t="str">
        <f t="shared" si="66"/>
        <v/>
      </c>
      <c r="T467" s="12" t="str">
        <f>IF(Raw_Data!AN470="","",Raw_Data!AN470)</f>
        <v/>
      </c>
      <c r="U467" s="12" t="str">
        <f t="shared" si="67"/>
        <v/>
      </c>
      <c r="V467" s="12" t="str">
        <f>IF(Raw_Data!AP470="","",IF(Raw_Data!AP470="oui",1,0))</f>
        <v/>
      </c>
      <c r="W467" s="12" t="str">
        <f>IF(Raw_Data!AQ470="","",IF(Raw_Data!AQ470="oui",1,0))</f>
        <v/>
      </c>
      <c r="X467" s="12" t="str">
        <f>IF(Raw_Data!AR470="","",IF(Raw_Data!AR470="oui",1,0))</f>
        <v/>
      </c>
      <c r="Y467" s="12" t="str">
        <f>IF(Raw_Data!AS470="","",IF(Raw_Data!AS470="oui",1,0))</f>
        <v/>
      </c>
      <c r="Z467" s="12" t="str">
        <f>IF(Raw_Data!V470="","",IF(Raw_Data!V470="oui",1,0))</f>
        <v/>
      </c>
      <c r="AA467" s="12" t="str">
        <f>IF(Raw_Data!W470="","",IF(Raw_Data!W470="oui",1,0))</f>
        <v/>
      </c>
      <c r="AB467" s="12" t="str">
        <f>IF(Raw_Data!Q470="","",IF(Raw_Data!Q470="oui",1,0))</f>
        <v/>
      </c>
      <c r="AC467" s="12">
        <f>Raw_Data!AF470</f>
        <v>0</v>
      </c>
      <c r="AD467" s="12" t="str">
        <f t="shared" si="68"/>
        <v/>
      </c>
      <c r="AE467" s="12" t="str">
        <f t="shared" si="69"/>
        <v/>
      </c>
      <c r="AF467" s="12" t="str">
        <f t="shared" si="70"/>
        <v/>
      </c>
      <c r="AG467" s="12">
        <f t="shared" si="71"/>
        <v>0</v>
      </c>
    </row>
    <row r="468" spans="1:33" ht="15" customHeight="1" x14ac:dyDescent="0.25">
      <c r="A468" s="12" t="str">
        <f>IF(Raw_Data!B471="","",Raw_Data!B471)</f>
        <v/>
      </c>
      <c r="B468" s="12">
        <f>IF(Raw_Data!X471&lt;&gt;"",Raw_Data!X471,Raw_Data!C471)</f>
        <v>0</v>
      </c>
      <c r="C468" s="12" t="str">
        <f>IF(Raw_Data!G471="","",Raw_Data!G471)</f>
        <v/>
      </c>
      <c r="D468" s="12" t="str">
        <f>IF(Raw_Data!H471="","",Raw_Data!H471)</f>
        <v/>
      </c>
      <c r="E468" s="12" t="str">
        <f>IF(Raw_Data!I471="","",Raw_Data!I471)</f>
        <v/>
      </c>
      <c r="F468" s="12" t="str">
        <f>IF(Raw_Data!J471="","",Raw_Data!J471)</f>
        <v/>
      </c>
      <c r="G468" s="12" t="str">
        <f>IF(Raw_Data!AH471&lt;&gt;"",Raw_Data!AH471,IF(Raw_Data!K471&lt;&gt;"",Raw_Data!K471,""))</f>
        <v/>
      </c>
      <c r="H468" s="12" t="str">
        <f>IF(Raw_Data!AI471&lt;&gt;"",Raw_Data!AI471,IF(Raw_Data!L471&lt;&gt;"",Raw_Data!L471,""))</f>
        <v/>
      </c>
      <c r="I468" s="12" t="str">
        <f t="shared" si="63"/>
        <v/>
      </c>
      <c r="J468" s="12" t="str">
        <f>IF(Raw_Data!M471="","",Raw_Data!M471)</f>
        <v/>
      </c>
      <c r="K468" s="12">
        <f>IF(Raw_Data!AJ471&lt;&gt;"",Raw_Data!AJ471,Raw_Data!N471)</f>
        <v>0</v>
      </c>
      <c r="L468" s="12">
        <f t="shared" si="64"/>
        <v>1</v>
      </c>
      <c r="M468" s="12" t="str">
        <f>IF(Raw_Data!AK471="","",Raw_Data!AK471)</f>
        <v/>
      </c>
      <c r="N468" s="12" t="str">
        <f>IF(Raw_Data!T471="","",Raw_Data!T471)</f>
        <v/>
      </c>
      <c r="O468" s="12" t="str">
        <f>IF(Raw_Data!AB471&lt;&gt;"",Raw_Data!AB471,IF(N468="tres_insatisfait",1,IF(N468="insatisfait",2,IF(N468="neutre",3,IF(N468="satisfait",4,IF(N468="tres_satisfait",5,""))))))</f>
        <v/>
      </c>
      <c r="P468" s="12">
        <f>IF(Raw_Data!AL471&lt;&gt;"",Raw_Data!AL471,Raw_Data!R471)</f>
        <v>0</v>
      </c>
      <c r="Q468" s="12">
        <f t="shared" si="65"/>
        <v>0</v>
      </c>
      <c r="R468" s="12" t="str">
        <f>IF(Raw_Data!AM471="","",Raw_Data!AM471)</f>
        <v/>
      </c>
      <c r="S468" s="12" t="str">
        <f t="shared" si="66"/>
        <v/>
      </c>
      <c r="T468" s="12" t="str">
        <f>IF(Raw_Data!AN471="","",Raw_Data!AN471)</f>
        <v/>
      </c>
      <c r="U468" s="12" t="str">
        <f t="shared" si="67"/>
        <v/>
      </c>
      <c r="V468" s="12" t="str">
        <f>IF(Raw_Data!AP471="","",IF(Raw_Data!AP471="oui",1,0))</f>
        <v/>
      </c>
      <c r="W468" s="12" t="str">
        <f>IF(Raw_Data!AQ471="","",IF(Raw_Data!AQ471="oui",1,0))</f>
        <v/>
      </c>
      <c r="X468" s="12" t="str">
        <f>IF(Raw_Data!AR471="","",IF(Raw_Data!AR471="oui",1,0))</f>
        <v/>
      </c>
      <c r="Y468" s="12" t="str">
        <f>IF(Raw_Data!AS471="","",IF(Raw_Data!AS471="oui",1,0))</f>
        <v/>
      </c>
      <c r="Z468" s="12" t="str">
        <f>IF(Raw_Data!V471="","",IF(Raw_Data!V471="oui",1,0))</f>
        <v/>
      </c>
      <c r="AA468" s="12" t="str">
        <f>IF(Raw_Data!W471="","",IF(Raw_Data!W471="oui",1,0))</f>
        <v/>
      </c>
      <c r="AB468" s="12" t="str">
        <f>IF(Raw_Data!Q471="","",IF(Raw_Data!Q471="oui",1,0))</f>
        <v/>
      </c>
      <c r="AC468" s="12">
        <f>Raw_Data!AF471</f>
        <v>0</v>
      </c>
      <c r="AD468" s="12" t="str">
        <f t="shared" si="68"/>
        <v/>
      </c>
      <c r="AE468" s="12" t="str">
        <f t="shared" si="69"/>
        <v/>
      </c>
      <c r="AF468" s="12" t="str">
        <f t="shared" si="70"/>
        <v/>
      </c>
      <c r="AG468" s="12">
        <f t="shared" si="71"/>
        <v>0</v>
      </c>
    </row>
    <row r="469" spans="1:33" ht="15" customHeight="1" x14ac:dyDescent="0.25">
      <c r="A469" s="12" t="str">
        <f>IF(Raw_Data!B472="","",Raw_Data!B472)</f>
        <v/>
      </c>
      <c r="B469" s="12">
        <f>IF(Raw_Data!X472&lt;&gt;"",Raw_Data!X472,Raw_Data!C472)</f>
        <v>0</v>
      </c>
      <c r="C469" s="12" t="str">
        <f>IF(Raw_Data!G472="","",Raw_Data!G472)</f>
        <v/>
      </c>
      <c r="D469" s="12" t="str">
        <f>IF(Raw_Data!H472="","",Raw_Data!H472)</f>
        <v/>
      </c>
      <c r="E469" s="12" t="str">
        <f>IF(Raw_Data!I472="","",Raw_Data!I472)</f>
        <v/>
      </c>
      <c r="F469" s="12" t="str">
        <f>IF(Raw_Data!J472="","",Raw_Data!J472)</f>
        <v/>
      </c>
      <c r="G469" s="12" t="str">
        <f>IF(Raw_Data!AH472&lt;&gt;"",Raw_Data!AH472,IF(Raw_Data!K472&lt;&gt;"",Raw_Data!K472,""))</f>
        <v/>
      </c>
      <c r="H469" s="12" t="str">
        <f>IF(Raw_Data!AI472&lt;&gt;"",Raw_Data!AI472,IF(Raw_Data!L472&lt;&gt;"",Raw_Data!L472,""))</f>
        <v/>
      </c>
      <c r="I469" s="12" t="str">
        <f t="shared" si="63"/>
        <v/>
      </c>
      <c r="J469" s="12" t="str">
        <f>IF(Raw_Data!M472="","",Raw_Data!M472)</f>
        <v/>
      </c>
      <c r="K469" s="12">
        <f>IF(Raw_Data!AJ472&lt;&gt;"",Raw_Data!AJ472,Raw_Data!N472)</f>
        <v>0</v>
      </c>
      <c r="L469" s="12">
        <f t="shared" si="64"/>
        <v>1</v>
      </c>
      <c r="M469" s="12" t="str">
        <f>IF(Raw_Data!AK472="","",Raw_Data!AK472)</f>
        <v/>
      </c>
      <c r="N469" s="12" t="str">
        <f>IF(Raw_Data!T472="","",Raw_Data!T472)</f>
        <v/>
      </c>
      <c r="O469" s="12" t="str">
        <f>IF(Raw_Data!AB472&lt;&gt;"",Raw_Data!AB472,IF(N469="tres_insatisfait",1,IF(N469="insatisfait",2,IF(N469="neutre",3,IF(N469="satisfait",4,IF(N469="tres_satisfait",5,""))))))</f>
        <v/>
      </c>
      <c r="P469" s="12">
        <f>IF(Raw_Data!AL472&lt;&gt;"",Raw_Data!AL472,Raw_Data!R472)</f>
        <v>0</v>
      </c>
      <c r="Q469" s="12">
        <f t="shared" si="65"/>
        <v>0</v>
      </c>
      <c r="R469" s="12" t="str">
        <f>IF(Raw_Data!AM472="","",Raw_Data!AM472)</f>
        <v/>
      </c>
      <c r="S469" s="12" t="str">
        <f t="shared" si="66"/>
        <v/>
      </c>
      <c r="T469" s="12" t="str">
        <f>IF(Raw_Data!AN472="","",Raw_Data!AN472)</f>
        <v/>
      </c>
      <c r="U469" s="12" t="str">
        <f t="shared" si="67"/>
        <v/>
      </c>
      <c r="V469" s="12" t="str">
        <f>IF(Raw_Data!AP472="","",IF(Raw_Data!AP472="oui",1,0))</f>
        <v/>
      </c>
      <c r="W469" s="12" t="str">
        <f>IF(Raw_Data!AQ472="","",IF(Raw_Data!AQ472="oui",1,0))</f>
        <v/>
      </c>
      <c r="X469" s="12" t="str">
        <f>IF(Raw_Data!AR472="","",IF(Raw_Data!AR472="oui",1,0))</f>
        <v/>
      </c>
      <c r="Y469" s="12" t="str">
        <f>IF(Raw_Data!AS472="","",IF(Raw_Data!AS472="oui",1,0))</f>
        <v/>
      </c>
      <c r="Z469" s="12" t="str">
        <f>IF(Raw_Data!V472="","",IF(Raw_Data!V472="oui",1,0))</f>
        <v/>
      </c>
      <c r="AA469" s="12" t="str">
        <f>IF(Raw_Data!W472="","",IF(Raw_Data!W472="oui",1,0))</f>
        <v/>
      </c>
      <c r="AB469" s="12" t="str">
        <f>IF(Raw_Data!Q472="","",IF(Raw_Data!Q472="oui",1,0))</f>
        <v/>
      </c>
      <c r="AC469" s="12">
        <f>Raw_Data!AF472</f>
        <v>0</v>
      </c>
      <c r="AD469" s="12" t="str">
        <f t="shared" si="68"/>
        <v/>
      </c>
      <c r="AE469" s="12" t="str">
        <f t="shared" si="69"/>
        <v/>
      </c>
      <c r="AF469" s="12" t="str">
        <f t="shared" si="70"/>
        <v/>
      </c>
      <c r="AG469" s="12">
        <f t="shared" si="71"/>
        <v>0</v>
      </c>
    </row>
    <row r="470" spans="1:33" ht="15" customHeight="1" x14ac:dyDescent="0.25">
      <c r="A470" s="12" t="str">
        <f>IF(Raw_Data!B473="","",Raw_Data!B473)</f>
        <v/>
      </c>
      <c r="B470" s="12">
        <f>IF(Raw_Data!X473&lt;&gt;"",Raw_Data!X473,Raw_Data!C473)</f>
        <v>0</v>
      </c>
      <c r="C470" s="12" t="str">
        <f>IF(Raw_Data!G473="","",Raw_Data!G473)</f>
        <v/>
      </c>
      <c r="D470" s="12" t="str">
        <f>IF(Raw_Data!H473="","",Raw_Data!H473)</f>
        <v/>
      </c>
      <c r="E470" s="12" t="str">
        <f>IF(Raw_Data!I473="","",Raw_Data!I473)</f>
        <v/>
      </c>
      <c r="F470" s="12" t="str">
        <f>IF(Raw_Data!J473="","",Raw_Data!J473)</f>
        <v/>
      </c>
      <c r="G470" s="12" t="str">
        <f>IF(Raw_Data!AH473&lt;&gt;"",Raw_Data!AH473,IF(Raw_Data!K473&lt;&gt;"",Raw_Data!K473,""))</f>
        <v/>
      </c>
      <c r="H470" s="12" t="str">
        <f>IF(Raw_Data!AI473&lt;&gt;"",Raw_Data!AI473,IF(Raw_Data!L473&lt;&gt;"",Raw_Data!L473,""))</f>
        <v/>
      </c>
      <c r="I470" s="12" t="str">
        <f t="shared" si="63"/>
        <v/>
      </c>
      <c r="J470" s="12" t="str">
        <f>IF(Raw_Data!M473="","",Raw_Data!M473)</f>
        <v/>
      </c>
      <c r="K470" s="12">
        <f>IF(Raw_Data!AJ473&lt;&gt;"",Raw_Data!AJ473,Raw_Data!N473)</f>
        <v>0</v>
      </c>
      <c r="L470" s="12">
        <f t="shared" si="64"/>
        <v>1</v>
      </c>
      <c r="M470" s="12" t="str">
        <f>IF(Raw_Data!AK473="","",Raw_Data!AK473)</f>
        <v/>
      </c>
      <c r="N470" s="12" t="str">
        <f>IF(Raw_Data!T473="","",Raw_Data!T473)</f>
        <v/>
      </c>
      <c r="O470" s="12" t="str">
        <f>IF(Raw_Data!AB473&lt;&gt;"",Raw_Data!AB473,IF(N470="tres_insatisfait",1,IF(N470="insatisfait",2,IF(N470="neutre",3,IF(N470="satisfait",4,IF(N470="tres_satisfait",5,""))))))</f>
        <v/>
      </c>
      <c r="P470" s="12">
        <f>IF(Raw_Data!AL473&lt;&gt;"",Raw_Data!AL473,Raw_Data!R473)</f>
        <v>0</v>
      </c>
      <c r="Q470" s="12">
        <f t="shared" si="65"/>
        <v>0</v>
      </c>
      <c r="R470" s="12" t="str">
        <f>IF(Raw_Data!AM473="","",Raw_Data!AM473)</f>
        <v/>
      </c>
      <c r="S470" s="12" t="str">
        <f t="shared" si="66"/>
        <v/>
      </c>
      <c r="T470" s="12" t="str">
        <f>IF(Raw_Data!AN473="","",Raw_Data!AN473)</f>
        <v/>
      </c>
      <c r="U470" s="12" t="str">
        <f t="shared" si="67"/>
        <v/>
      </c>
      <c r="V470" s="12" t="str">
        <f>IF(Raw_Data!AP473="","",IF(Raw_Data!AP473="oui",1,0))</f>
        <v/>
      </c>
      <c r="W470" s="12" t="str">
        <f>IF(Raw_Data!AQ473="","",IF(Raw_Data!AQ473="oui",1,0))</f>
        <v/>
      </c>
      <c r="X470" s="12" t="str">
        <f>IF(Raw_Data!AR473="","",IF(Raw_Data!AR473="oui",1,0))</f>
        <v/>
      </c>
      <c r="Y470" s="12" t="str">
        <f>IF(Raw_Data!AS473="","",IF(Raw_Data!AS473="oui",1,0))</f>
        <v/>
      </c>
      <c r="Z470" s="12" t="str">
        <f>IF(Raw_Data!V473="","",IF(Raw_Data!V473="oui",1,0))</f>
        <v/>
      </c>
      <c r="AA470" s="12" t="str">
        <f>IF(Raw_Data!W473="","",IF(Raw_Data!W473="oui",1,0))</f>
        <v/>
      </c>
      <c r="AB470" s="12" t="str">
        <f>IF(Raw_Data!Q473="","",IF(Raw_Data!Q473="oui",1,0))</f>
        <v/>
      </c>
      <c r="AC470" s="12">
        <f>Raw_Data!AF473</f>
        <v>0</v>
      </c>
      <c r="AD470" s="12" t="str">
        <f t="shared" si="68"/>
        <v/>
      </c>
      <c r="AE470" s="12" t="str">
        <f t="shared" si="69"/>
        <v/>
      </c>
      <c r="AF470" s="12" t="str">
        <f t="shared" si="70"/>
        <v/>
      </c>
      <c r="AG470" s="12">
        <f t="shared" si="71"/>
        <v>0</v>
      </c>
    </row>
    <row r="471" spans="1:33" ht="15" customHeight="1" x14ac:dyDescent="0.25">
      <c r="A471" s="12" t="str">
        <f>IF(Raw_Data!B474="","",Raw_Data!B474)</f>
        <v/>
      </c>
      <c r="B471" s="12">
        <f>IF(Raw_Data!X474&lt;&gt;"",Raw_Data!X474,Raw_Data!C474)</f>
        <v>0</v>
      </c>
      <c r="C471" s="12" t="str">
        <f>IF(Raw_Data!G474="","",Raw_Data!G474)</f>
        <v/>
      </c>
      <c r="D471" s="12" t="str">
        <f>IF(Raw_Data!H474="","",Raw_Data!H474)</f>
        <v/>
      </c>
      <c r="E471" s="12" t="str">
        <f>IF(Raw_Data!I474="","",Raw_Data!I474)</f>
        <v/>
      </c>
      <c r="F471" s="12" t="str">
        <f>IF(Raw_Data!J474="","",Raw_Data!J474)</f>
        <v/>
      </c>
      <c r="G471" s="12" t="str">
        <f>IF(Raw_Data!AH474&lt;&gt;"",Raw_Data!AH474,IF(Raw_Data!K474&lt;&gt;"",Raw_Data!K474,""))</f>
        <v/>
      </c>
      <c r="H471" s="12" t="str">
        <f>IF(Raw_Data!AI474&lt;&gt;"",Raw_Data!AI474,IF(Raw_Data!L474&lt;&gt;"",Raw_Data!L474,""))</f>
        <v/>
      </c>
      <c r="I471" s="12" t="str">
        <f t="shared" si="63"/>
        <v/>
      </c>
      <c r="J471" s="12" t="str">
        <f>IF(Raw_Data!M474="","",Raw_Data!M474)</f>
        <v/>
      </c>
      <c r="K471" s="12">
        <f>IF(Raw_Data!AJ474&lt;&gt;"",Raw_Data!AJ474,Raw_Data!N474)</f>
        <v>0</v>
      </c>
      <c r="L471" s="12">
        <f t="shared" si="64"/>
        <v>1</v>
      </c>
      <c r="M471" s="12" t="str">
        <f>IF(Raw_Data!AK474="","",Raw_Data!AK474)</f>
        <v/>
      </c>
      <c r="N471" s="12" t="str">
        <f>IF(Raw_Data!T474="","",Raw_Data!T474)</f>
        <v/>
      </c>
      <c r="O471" s="12" t="str">
        <f>IF(Raw_Data!AB474&lt;&gt;"",Raw_Data!AB474,IF(N471="tres_insatisfait",1,IF(N471="insatisfait",2,IF(N471="neutre",3,IF(N471="satisfait",4,IF(N471="tres_satisfait",5,""))))))</f>
        <v/>
      </c>
      <c r="P471" s="12">
        <f>IF(Raw_Data!AL474&lt;&gt;"",Raw_Data!AL474,Raw_Data!R474)</f>
        <v>0</v>
      </c>
      <c r="Q471" s="12">
        <f t="shared" si="65"/>
        <v>0</v>
      </c>
      <c r="R471" s="12" t="str">
        <f>IF(Raw_Data!AM474="","",Raw_Data!AM474)</f>
        <v/>
      </c>
      <c r="S471" s="12" t="str">
        <f t="shared" si="66"/>
        <v/>
      </c>
      <c r="T471" s="12" t="str">
        <f>IF(Raw_Data!AN474="","",Raw_Data!AN474)</f>
        <v/>
      </c>
      <c r="U471" s="12" t="str">
        <f t="shared" si="67"/>
        <v/>
      </c>
      <c r="V471" s="12" t="str">
        <f>IF(Raw_Data!AP474="","",IF(Raw_Data!AP474="oui",1,0))</f>
        <v/>
      </c>
      <c r="W471" s="12" t="str">
        <f>IF(Raw_Data!AQ474="","",IF(Raw_Data!AQ474="oui",1,0))</f>
        <v/>
      </c>
      <c r="X471" s="12" t="str">
        <f>IF(Raw_Data!AR474="","",IF(Raw_Data!AR474="oui",1,0))</f>
        <v/>
      </c>
      <c r="Y471" s="12" t="str">
        <f>IF(Raw_Data!AS474="","",IF(Raw_Data!AS474="oui",1,0))</f>
        <v/>
      </c>
      <c r="Z471" s="12" t="str">
        <f>IF(Raw_Data!V474="","",IF(Raw_Data!V474="oui",1,0))</f>
        <v/>
      </c>
      <c r="AA471" s="12" t="str">
        <f>IF(Raw_Data!W474="","",IF(Raw_Data!W474="oui",1,0))</f>
        <v/>
      </c>
      <c r="AB471" s="12" t="str">
        <f>IF(Raw_Data!Q474="","",IF(Raw_Data!Q474="oui",1,0))</f>
        <v/>
      </c>
      <c r="AC471" s="12">
        <f>Raw_Data!AF474</f>
        <v>0</v>
      </c>
      <c r="AD471" s="12" t="str">
        <f t="shared" si="68"/>
        <v/>
      </c>
      <c r="AE471" s="12" t="str">
        <f t="shared" si="69"/>
        <v/>
      </c>
      <c r="AF471" s="12" t="str">
        <f t="shared" si="70"/>
        <v/>
      </c>
      <c r="AG471" s="12">
        <f t="shared" si="71"/>
        <v>0</v>
      </c>
    </row>
    <row r="472" spans="1:33" ht="15" customHeight="1" x14ac:dyDescent="0.25">
      <c r="A472" s="12" t="str">
        <f>IF(Raw_Data!B475="","",Raw_Data!B475)</f>
        <v/>
      </c>
      <c r="B472" s="12">
        <f>IF(Raw_Data!X475&lt;&gt;"",Raw_Data!X475,Raw_Data!C475)</f>
        <v>0</v>
      </c>
      <c r="C472" s="12" t="str">
        <f>IF(Raw_Data!G475="","",Raw_Data!G475)</f>
        <v/>
      </c>
      <c r="D472" s="12" t="str">
        <f>IF(Raw_Data!H475="","",Raw_Data!H475)</f>
        <v/>
      </c>
      <c r="E472" s="12" t="str">
        <f>IF(Raw_Data!I475="","",Raw_Data!I475)</f>
        <v/>
      </c>
      <c r="F472" s="12" t="str">
        <f>IF(Raw_Data!J475="","",Raw_Data!J475)</f>
        <v/>
      </c>
      <c r="G472" s="12" t="str">
        <f>IF(Raw_Data!AH475&lt;&gt;"",Raw_Data!AH475,IF(Raw_Data!K475&lt;&gt;"",Raw_Data!K475,""))</f>
        <v/>
      </c>
      <c r="H472" s="12" t="str">
        <f>IF(Raw_Data!AI475&lt;&gt;"",Raw_Data!AI475,IF(Raw_Data!L475&lt;&gt;"",Raw_Data!L475,""))</f>
        <v/>
      </c>
      <c r="I472" s="12" t="str">
        <f t="shared" si="63"/>
        <v/>
      </c>
      <c r="J472" s="12" t="str">
        <f>IF(Raw_Data!M475="","",Raw_Data!M475)</f>
        <v/>
      </c>
      <c r="K472" s="12">
        <f>IF(Raw_Data!AJ475&lt;&gt;"",Raw_Data!AJ475,Raw_Data!N475)</f>
        <v>0</v>
      </c>
      <c r="L472" s="12">
        <f t="shared" si="64"/>
        <v>1</v>
      </c>
      <c r="M472" s="12" t="str">
        <f>IF(Raw_Data!AK475="","",Raw_Data!AK475)</f>
        <v/>
      </c>
      <c r="N472" s="12" t="str">
        <f>IF(Raw_Data!T475="","",Raw_Data!T475)</f>
        <v/>
      </c>
      <c r="O472" s="12" t="str">
        <f>IF(Raw_Data!AB475&lt;&gt;"",Raw_Data!AB475,IF(N472="tres_insatisfait",1,IF(N472="insatisfait",2,IF(N472="neutre",3,IF(N472="satisfait",4,IF(N472="tres_satisfait",5,""))))))</f>
        <v/>
      </c>
      <c r="P472" s="12">
        <f>IF(Raw_Data!AL475&lt;&gt;"",Raw_Data!AL475,Raw_Data!R475)</f>
        <v>0</v>
      </c>
      <c r="Q472" s="12">
        <f t="shared" si="65"/>
        <v>0</v>
      </c>
      <c r="R472" s="12" t="str">
        <f>IF(Raw_Data!AM475="","",Raw_Data!AM475)</f>
        <v/>
      </c>
      <c r="S472" s="12" t="str">
        <f t="shared" si="66"/>
        <v/>
      </c>
      <c r="T472" s="12" t="str">
        <f>IF(Raw_Data!AN475="","",Raw_Data!AN475)</f>
        <v/>
      </c>
      <c r="U472" s="12" t="str">
        <f t="shared" si="67"/>
        <v/>
      </c>
      <c r="V472" s="12" t="str">
        <f>IF(Raw_Data!AP475="","",IF(Raw_Data!AP475="oui",1,0))</f>
        <v/>
      </c>
      <c r="W472" s="12" t="str">
        <f>IF(Raw_Data!AQ475="","",IF(Raw_Data!AQ475="oui",1,0))</f>
        <v/>
      </c>
      <c r="X472" s="12" t="str">
        <f>IF(Raw_Data!AR475="","",IF(Raw_Data!AR475="oui",1,0))</f>
        <v/>
      </c>
      <c r="Y472" s="12" t="str">
        <f>IF(Raw_Data!AS475="","",IF(Raw_Data!AS475="oui",1,0))</f>
        <v/>
      </c>
      <c r="Z472" s="12" t="str">
        <f>IF(Raw_Data!V475="","",IF(Raw_Data!V475="oui",1,0))</f>
        <v/>
      </c>
      <c r="AA472" s="12" t="str">
        <f>IF(Raw_Data!W475="","",IF(Raw_Data!W475="oui",1,0))</f>
        <v/>
      </c>
      <c r="AB472" s="12" t="str">
        <f>IF(Raw_Data!Q475="","",IF(Raw_Data!Q475="oui",1,0))</f>
        <v/>
      </c>
      <c r="AC472" s="12">
        <f>Raw_Data!AF475</f>
        <v>0</v>
      </c>
      <c r="AD472" s="12" t="str">
        <f t="shared" si="68"/>
        <v/>
      </c>
      <c r="AE472" s="12" t="str">
        <f t="shared" si="69"/>
        <v/>
      </c>
      <c r="AF472" s="12" t="str">
        <f t="shared" si="70"/>
        <v/>
      </c>
      <c r="AG472" s="12">
        <f t="shared" si="71"/>
        <v>0</v>
      </c>
    </row>
    <row r="473" spans="1:33" ht="15" customHeight="1" x14ac:dyDescent="0.25">
      <c r="A473" s="12" t="str">
        <f>IF(Raw_Data!B476="","",Raw_Data!B476)</f>
        <v/>
      </c>
      <c r="B473" s="12">
        <f>IF(Raw_Data!X476&lt;&gt;"",Raw_Data!X476,Raw_Data!C476)</f>
        <v>0</v>
      </c>
      <c r="C473" s="12" t="str">
        <f>IF(Raw_Data!G476="","",Raw_Data!G476)</f>
        <v/>
      </c>
      <c r="D473" s="12" t="str">
        <f>IF(Raw_Data!H476="","",Raw_Data!H476)</f>
        <v/>
      </c>
      <c r="E473" s="12" t="str">
        <f>IF(Raw_Data!I476="","",Raw_Data!I476)</f>
        <v/>
      </c>
      <c r="F473" s="12" t="str">
        <f>IF(Raw_Data!J476="","",Raw_Data!J476)</f>
        <v/>
      </c>
      <c r="G473" s="12" t="str">
        <f>IF(Raw_Data!AH476&lt;&gt;"",Raw_Data!AH476,IF(Raw_Data!K476&lt;&gt;"",Raw_Data!K476,""))</f>
        <v/>
      </c>
      <c r="H473" s="12" t="str">
        <f>IF(Raw_Data!AI476&lt;&gt;"",Raw_Data!AI476,IF(Raw_Data!L476&lt;&gt;"",Raw_Data!L476,""))</f>
        <v/>
      </c>
      <c r="I473" s="12" t="str">
        <f t="shared" si="63"/>
        <v/>
      </c>
      <c r="J473" s="12" t="str">
        <f>IF(Raw_Data!M476="","",Raw_Data!M476)</f>
        <v/>
      </c>
      <c r="K473" s="12">
        <f>IF(Raw_Data!AJ476&lt;&gt;"",Raw_Data!AJ476,Raw_Data!N476)</f>
        <v>0</v>
      </c>
      <c r="L473" s="12">
        <f t="shared" si="64"/>
        <v>1</v>
      </c>
      <c r="M473" s="12" t="str">
        <f>IF(Raw_Data!AK476="","",Raw_Data!AK476)</f>
        <v/>
      </c>
      <c r="N473" s="12" t="str">
        <f>IF(Raw_Data!T476="","",Raw_Data!T476)</f>
        <v/>
      </c>
      <c r="O473" s="12" t="str">
        <f>IF(Raw_Data!AB476&lt;&gt;"",Raw_Data!AB476,IF(N473="tres_insatisfait",1,IF(N473="insatisfait",2,IF(N473="neutre",3,IF(N473="satisfait",4,IF(N473="tres_satisfait",5,""))))))</f>
        <v/>
      </c>
      <c r="P473" s="12">
        <f>IF(Raw_Data!AL476&lt;&gt;"",Raw_Data!AL476,Raw_Data!R476)</f>
        <v>0</v>
      </c>
      <c r="Q473" s="12">
        <f t="shared" si="65"/>
        <v>0</v>
      </c>
      <c r="R473" s="12" t="str">
        <f>IF(Raw_Data!AM476="","",Raw_Data!AM476)</f>
        <v/>
      </c>
      <c r="S473" s="12" t="str">
        <f t="shared" si="66"/>
        <v/>
      </c>
      <c r="T473" s="12" t="str">
        <f>IF(Raw_Data!AN476="","",Raw_Data!AN476)</f>
        <v/>
      </c>
      <c r="U473" s="12" t="str">
        <f t="shared" si="67"/>
        <v/>
      </c>
      <c r="V473" s="12" t="str">
        <f>IF(Raw_Data!AP476="","",IF(Raw_Data!AP476="oui",1,0))</f>
        <v/>
      </c>
      <c r="W473" s="12" t="str">
        <f>IF(Raw_Data!AQ476="","",IF(Raw_Data!AQ476="oui",1,0))</f>
        <v/>
      </c>
      <c r="X473" s="12" t="str">
        <f>IF(Raw_Data!AR476="","",IF(Raw_Data!AR476="oui",1,0))</f>
        <v/>
      </c>
      <c r="Y473" s="12" t="str">
        <f>IF(Raw_Data!AS476="","",IF(Raw_Data!AS476="oui",1,0))</f>
        <v/>
      </c>
      <c r="Z473" s="12" t="str">
        <f>IF(Raw_Data!V476="","",IF(Raw_Data!V476="oui",1,0))</f>
        <v/>
      </c>
      <c r="AA473" s="12" t="str">
        <f>IF(Raw_Data!W476="","",IF(Raw_Data!W476="oui",1,0))</f>
        <v/>
      </c>
      <c r="AB473" s="12" t="str">
        <f>IF(Raw_Data!Q476="","",IF(Raw_Data!Q476="oui",1,0))</f>
        <v/>
      </c>
      <c r="AC473" s="12">
        <f>Raw_Data!AF476</f>
        <v>0</v>
      </c>
      <c r="AD473" s="12" t="str">
        <f t="shared" si="68"/>
        <v/>
      </c>
      <c r="AE473" s="12" t="str">
        <f t="shared" si="69"/>
        <v/>
      </c>
      <c r="AF473" s="12" t="str">
        <f t="shared" si="70"/>
        <v/>
      </c>
      <c r="AG473" s="12">
        <f t="shared" si="71"/>
        <v>0</v>
      </c>
    </row>
    <row r="474" spans="1:33" ht="15" customHeight="1" x14ac:dyDescent="0.25">
      <c r="A474" s="12" t="str">
        <f>IF(Raw_Data!B477="","",Raw_Data!B477)</f>
        <v/>
      </c>
      <c r="B474" s="12">
        <f>IF(Raw_Data!X477&lt;&gt;"",Raw_Data!X477,Raw_Data!C477)</f>
        <v>0</v>
      </c>
      <c r="C474" s="12" t="str">
        <f>IF(Raw_Data!G477="","",Raw_Data!G477)</f>
        <v/>
      </c>
      <c r="D474" s="12" t="str">
        <f>IF(Raw_Data!H477="","",Raw_Data!H477)</f>
        <v/>
      </c>
      <c r="E474" s="12" t="str">
        <f>IF(Raw_Data!I477="","",Raw_Data!I477)</f>
        <v/>
      </c>
      <c r="F474" s="12" t="str">
        <f>IF(Raw_Data!J477="","",Raw_Data!J477)</f>
        <v/>
      </c>
      <c r="G474" s="12" t="str">
        <f>IF(Raw_Data!AH477&lt;&gt;"",Raw_Data!AH477,IF(Raw_Data!K477&lt;&gt;"",Raw_Data!K477,""))</f>
        <v/>
      </c>
      <c r="H474" s="12" t="str">
        <f>IF(Raw_Data!AI477&lt;&gt;"",Raw_Data!AI477,IF(Raw_Data!L477&lt;&gt;"",Raw_Data!L477,""))</f>
        <v/>
      </c>
      <c r="I474" s="12" t="str">
        <f t="shared" si="63"/>
        <v/>
      </c>
      <c r="J474" s="12" t="str">
        <f>IF(Raw_Data!M477="","",Raw_Data!M477)</f>
        <v/>
      </c>
      <c r="K474" s="12">
        <f>IF(Raw_Data!AJ477&lt;&gt;"",Raw_Data!AJ477,Raw_Data!N477)</f>
        <v>0</v>
      </c>
      <c r="L474" s="12">
        <f t="shared" si="64"/>
        <v>1</v>
      </c>
      <c r="M474" s="12" t="str">
        <f>IF(Raw_Data!AK477="","",Raw_Data!AK477)</f>
        <v/>
      </c>
      <c r="N474" s="12" t="str">
        <f>IF(Raw_Data!T477="","",Raw_Data!T477)</f>
        <v/>
      </c>
      <c r="O474" s="12" t="str">
        <f>IF(Raw_Data!AB477&lt;&gt;"",Raw_Data!AB477,IF(N474="tres_insatisfait",1,IF(N474="insatisfait",2,IF(N474="neutre",3,IF(N474="satisfait",4,IF(N474="tres_satisfait",5,""))))))</f>
        <v/>
      </c>
      <c r="P474" s="12">
        <f>IF(Raw_Data!AL477&lt;&gt;"",Raw_Data!AL477,Raw_Data!R477)</f>
        <v>0</v>
      </c>
      <c r="Q474" s="12">
        <f t="shared" si="65"/>
        <v>0</v>
      </c>
      <c r="R474" s="12" t="str">
        <f>IF(Raw_Data!AM477="","",Raw_Data!AM477)</f>
        <v/>
      </c>
      <c r="S474" s="12" t="str">
        <f t="shared" si="66"/>
        <v/>
      </c>
      <c r="T474" s="12" t="str">
        <f>IF(Raw_Data!AN477="","",Raw_Data!AN477)</f>
        <v/>
      </c>
      <c r="U474" s="12" t="str">
        <f t="shared" si="67"/>
        <v/>
      </c>
      <c r="V474" s="12" t="str">
        <f>IF(Raw_Data!AP477="","",IF(Raw_Data!AP477="oui",1,0))</f>
        <v/>
      </c>
      <c r="W474" s="12" t="str">
        <f>IF(Raw_Data!AQ477="","",IF(Raw_Data!AQ477="oui",1,0))</f>
        <v/>
      </c>
      <c r="X474" s="12" t="str">
        <f>IF(Raw_Data!AR477="","",IF(Raw_Data!AR477="oui",1,0))</f>
        <v/>
      </c>
      <c r="Y474" s="12" t="str">
        <f>IF(Raw_Data!AS477="","",IF(Raw_Data!AS477="oui",1,0))</f>
        <v/>
      </c>
      <c r="Z474" s="12" t="str">
        <f>IF(Raw_Data!V477="","",IF(Raw_Data!V477="oui",1,0))</f>
        <v/>
      </c>
      <c r="AA474" s="12" t="str">
        <f>IF(Raw_Data!W477="","",IF(Raw_Data!W477="oui",1,0))</f>
        <v/>
      </c>
      <c r="AB474" s="12" t="str">
        <f>IF(Raw_Data!Q477="","",IF(Raw_Data!Q477="oui",1,0))</f>
        <v/>
      </c>
      <c r="AC474" s="12">
        <f>Raw_Data!AF477</f>
        <v>0</v>
      </c>
      <c r="AD474" s="12" t="str">
        <f t="shared" si="68"/>
        <v/>
      </c>
      <c r="AE474" s="12" t="str">
        <f t="shared" si="69"/>
        <v/>
      </c>
      <c r="AF474" s="12" t="str">
        <f t="shared" si="70"/>
        <v/>
      </c>
      <c r="AG474" s="12">
        <f t="shared" si="71"/>
        <v>0</v>
      </c>
    </row>
    <row r="475" spans="1:33" ht="15" customHeight="1" x14ac:dyDescent="0.25">
      <c r="A475" s="12" t="str">
        <f>IF(Raw_Data!B478="","",Raw_Data!B478)</f>
        <v/>
      </c>
      <c r="B475" s="12">
        <f>IF(Raw_Data!X478&lt;&gt;"",Raw_Data!X478,Raw_Data!C478)</f>
        <v>0</v>
      </c>
      <c r="C475" s="12" t="str">
        <f>IF(Raw_Data!G478="","",Raw_Data!G478)</f>
        <v/>
      </c>
      <c r="D475" s="12" t="str">
        <f>IF(Raw_Data!H478="","",Raw_Data!H478)</f>
        <v/>
      </c>
      <c r="E475" s="12" t="str">
        <f>IF(Raw_Data!I478="","",Raw_Data!I478)</f>
        <v/>
      </c>
      <c r="F475" s="12" t="str">
        <f>IF(Raw_Data!J478="","",Raw_Data!J478)</f>
        <v/>
      </c>
      <c r="G475" s="12" t="str">
        <f>IF(Raw_Data!AH478&lt;&gt;"",Raw_Data!AH478,IF(Raw_Data!K478&lt;&gt;"",Raw_Data!K478,""))</f>
        <v/>
      </c>
      <c r="H475" s="12" t="str">
        <f>IF(Raw_Data!AI478&lt;&gt;"",Raw_Data!AI478,IF(Raw_Data!L478&lt;&gt;"",Raw_Data!L478,""))</f>
        <v/>
      </c>
      <c r="I475" s="12" t="str">
        <f t="shared" si="63"/>
        <v/>
      </c>
      <c r="J475" s="12" t="str">
        <f>IF(Raw_Data!M478="","",Raw_Data!M478)</f>
        <v/>
      </c>
      <c r="K475" s="12">
        <f>IF(Raw_Data!AJ478&lt;&gt;"",Raw_Data!AJ478,Raw_Data!N478)</f>
        <v>0</v>
      </c>
      <c r="L475" s="12">
        <f t="shared" si="64"/>
        <v>1</v>
      </c>
      <c r="M475" s="12" t="str">
        <f>IF(Raw_Data!AK478="","",Raw_Data!AK478)</f>
        <v/>
      </c>
      <c r="N475" s="12" t="str">
        <f>IF(Raw_Data!T478="","",Raw_Data!T478)</f>
        <v/>
      </c>
      <c r="O475" s="12" t="str">
        <f>IF(Raw_Data!AB478&lt;&gt;"",Raw_Data!AB478,IF(N475="tres_insatisfait",1,IF(N475="insatisfait",2,IF(N475="neutre",3,IF(N475="satisfait",4,IF(N475="tres_satisfait",5,""))))))</f>
        <v/>
      </c>
      <c r="P475" s="12">
        <f>IF(Raw_Data!AL478&lt;&gt;"",Raw_Data!AL478,Raw_Data!R478)</f>
        <v>0</v>
      </c>
      <c r="Q475" s="12">
        <f t="shared" si="65"/>
        <v>0</v>
      </c>
      <c r="R475" s="12" t="str">
        <f>IF(Raw_Data!AM478="","",Raw_Data!AM478)</f>
        <v/>
      </c>
      <c r="S475" s="12" t="str">
        <f t="shared" si="66"/>
        <v/>
      </c>
      <c r="T475" s="12" t="str">
        <f>IF(Raw_Data!AN478="","",Raw_Data!AN478)</f>
        <v/>
      </c>
      <c r="U475" s="12" t="str">
        <f t="shared" si="67"/>
        <v/>
      </c>
      <c r="V475" s="12" t="str">
        <f>IF(Raw_Data!AP478="","",IF(Raw_Data!AP478="oui",1,0))</f>
        <v/>
      </c>
      <c r="W475" s="12" t="str">
        <f>IF(Raw_Data!AQ478="","",IF(Raw_Data!AQ478="oui",1,0))</f>
        <v/>
      </c>
      <c r="X475" s="12" t="str">
        <f>IF(Raw_Data!AR478="","",IF(Raw_Data!AR478="oui",1,0))</f>
        <v/>
      </c>
      <c r="Y475" s="12" t="str">
        <f>IF(Raw_Data!AS478="","",IF(Raw_Data!AS478="oui",1,0))</f>
        <v/>
      </c>
      <c r="Z475" s="12" t="str">
        <f>IF(Raw_Data!V478="","",IF(Raw_Data!V478="oui",1,0))</f>
        <v/>
      </c>
      <c r="AA475" s="12" t="str">
        <f>IF(Raw_Data!W478="","",IF(Raw_Data!W478="oui",1,0))</f>
        <v/>
      </c>
      <c r="AB475" s="12" t="str">
        <f>IF(Raw_Data!Q478="","",IF(Raw_Data!Q478="oui",1,0))</f>
        <v/>
      </c>
      <c r="AC475" s="12">
        <f>Raw_Data!AF478</f>
        <v>0</v>
      </c>
      <c r="AD475" s="12" t="str">
        <f t="shared" si="68"/>
        <v/>
      </c>
      <c r="AE475" s="12" t="str">
        <f t="shared" si="69"/>
        <v/>
      </c>
      <c r="AF475" s="12" t="str">
        <f t="shared" si="70"/>
        <v/>
      </c>
      <c r="AG475" s="12">
        <f t="shared" si="71"/>
        <v>0</v>
      </c>
    </row>
    <row r="476" spans="1:33" ht="15" customHeight="1" x14ac:dyDescent="0.25">
      <c r="A476" s="12" t="str">
        <f>IF(Raw_Data!B479="","",Raw_Data!B479)</f>
        <v/>
      </c>
      <c r="B476" s="12">
        <f>IF(Raw_Data!X479&lt;&gt;"",Raw_Data!X479,Raw_Data!C479)</f>
        <v>0</v>
      </c>
      <c r="C476" s="12" t="str">
        <f>IF(Raw_Data!G479="","",Raw_Data!G479)</f>
        <v/>
      </c>
      <c r="D476" s="12" t="str">
        <f>IF(Raw_Data!H479="","",Raw_Data!H479)</f>
        <v/>
      </c>
      <c r="E476" s="12" t="str">
        <f>IF(Raw_Data!I479="","",Raw_Data!I479)</f>
        <v/>
      </c>
      <c r="F476" s="12" t="str">
        <f>IF(Raw_Data!J479="","",Raw_Data!J479)</f>
        <v/>
      </c>
      <c r="G476" s="12" t="str">
        <f>IF(Raw_Data!AH479&lt;&gt;"",Raw_Data!AH479,IF(Raw_Data!K479&lt;&gt;"",Raw_Data!K479,""))</f>
        <v/>
      </c>
      <c r="H476" s="12" t="str">
        <f>IF(Raw_Data!AI479&lt;&gt;"",Raw_Data!AI479,IF(Raw_Data!L479&lt;&gt;"",Raw_Data!L479,""))</f>
        <v/>
      </c>
      <c r="I476" s="12" t="str">
        <f t="shared" si="63"/>
        <v/>
      </c>
      <c r="J476" s="12" t="str">
        <f>IF(Raw_Data!M479="","",Raw_Data!M479)</f>
        <v/>
      </c>
      <c r="K476" s="12">
        <f>IF(Raw_Data!AJ479&lt;&gt;"",Raw_Data!AJ479,Raw_Data!N479)</f>
        <v>0</v>
      </c>
      <c r="L476" s="12">
        <f t="shared" si="64"/>
        <v>1</v>
      </c>
      <c r="M476" s="12" t="str">
        <f>IF(Raw_Data!AK479="","",Raw_Data!AK479)</f>
        <v/>
      </c>
      <c r="N476" s="12" t="str">
        <f>IF(Raw_Data!T479="","",Raw_Data!T479)</f>
        <v/>
      </c>
      <c r="O476" s="12" t="str">
        <f>IF(Raw_Data!AB479&lt;&gt;"",Raw_Data!AB479,IF(N476="tres_insatisfait",1,IF(N476="insatisfait",2,IF(N476="neutre",3,IF(N476="satisfait",4,IF(N476="tres_satisfait",5,""))))))</f>
        <v/>
      </c>
      <c r="P476" s="12">
        <f>IF(Raw_Data!AL479&lt;&gt;"",Raw_Data!AL479,Raw_Data!R479)</f>
        <v>0</v>
      </c>
      <c r="Q476" s="12">
        <f t="shared" si="65"/>
        <v>0</v>
      </c>
      <c r="R476" s="12" t="str">
        <f>IF(Raw_Data!AM479="","",Raw_Data!AM479)</f>
        <v/>
      </c>
      <c r="S476" s="12" t="str">
        <f t="shared" si="66"/>
        <v/>
      </c>
      <c r="T476" s="12" t="str">
        <f>IF(Raw_Data!AN479="","",Raw_Data!AN479)</f>
        <v/>
      </c>
      <c r="U476" s="12" t="str">
        <f t="shared" si="67"/>
        <v/>
      </c>
      <c r="V476" s="12" t="str">
        <f>IF(Raw_Data!AP479="","",IF(Raw_Data!AP479="oui",1,0))</f>
        <v/>
      </c>
      <c r="W476" s="12" t="str">
        <f>IF(Raw_Data!AQ479="","",IF(Raw_Data!AQ479="oui",1,0))</f>
        <v/>
      </c>
      <c r="X476" s="12" t="str">
        <f>IF(Raw_Data!AR479="","",IF(Raw_Data!AR479="oui",1,0))</f>
        <v/>
      </c>
      <c r="Y476" s="12" t="str">
        <f>IF(Raw_Data!AS479="","",IF(Raw_Data!AS479="oui",1,0))</f>
        <v/>
      </c>
      <c r="Z476" s="12" t="str">
        <f>IF(Raw_Data!V479="","",IF(Raw_Data!V479="oui",1,0))</f>
        <v/>
      </c>
      <c r="AA476" s="12" t="str">
        <f>IF(Raw_Data!W479="","",IF(Raw_Data!W479="oui",1,0))</f>
        <v/>
      </c>
      <c r="AB476" s="12" t="str">
        <f>IF(Raw_Data!Q479="","",IF(Raw_Data!Q479="oui",1,0))</f>
        <v/>
      </c>
      <c r="AC476" s="12">
        <f>Raw_Data!AF479</f>
        <v>0</v>
      </c>
      <c r="AD476" s="12" t="str">
        <f t="shared" si="68"/>
        <v/>
      </c>
      <c r="AE476" s="12" t="str">
        <f t="shared" si="69"/>
        <v/>
      </c>
      <c r="AF476" s="12" t="str">
        <f t="shared" si="70"/>
        <v/>
      </c>
      <c r="AG476" s="12">
        <f t="shared" si="71"/>
        <v>0</v>
      </c>
    </row>
    <row r="477" spans="1:33" ht="15" customHeight="1" x14ac:dyDescent="0.25">
      <c r="A477" s="12" t="str">
        <f>IF(Raw_Data!B480="","",Raw_Data!B480)</f>
        <v/>
      </c>
      <c r="B477" s="12">
        <f>IF(Raw_Data!X480&lt;&gt;"",Raw_Data!X480,Raw_Data!C480)</f>
        <v>0</v>
      </c>
      <c r="C477" s="12" t="str">
        <f>IF(Raw_Data!G480="","",Raw_Data!G480)</f>
        <v/>
      </c>
      <c r="D477" s="12" t="str">
        <f>IF(Raw_Data!H480="","",Raw_Data!H480)</f>
        <v/>
      </c>
      <c r="E477" s="12" t="str">
        <f>IF(Raw_Data!I480="","",Raw_Data!I480)</f>
        <v/>
      </c>
      <c r="F477" s="12" t="str">
        <f>IF(Raw_Data!J480="","",Raw_Data!J480)</f>
        <v/>
      </c>
      <c r="G477" s="12" t="str">
        <f>IF(Raw_Data!AH480&lt;&gt;"",Raw_Data!AH480,IF(Raw_Data!K480&lt;&gt;"",Raw_Data!K480,""))</f>
        <v/>
      </c>
      <c r="H477" s="12" t="str">
        <f>IF(Raw_Data!AI480&lt;&gt;"",Raw_Data!AI480,IF(Raw_Data!L480&lt;&gt;"",Raw_Data!L480,""))</f>
        <v/>
      </c>
      <c r="I477" s="12" t="str">
        <f t="shared" si="63"/>
        <v/>
      </c>
      <c r="J477" s="12" t="str">
        <f>IF(Raw_Data!M480="","",Raw_Data!M480)</f>
        <v/>
      </c>
      <c r="K477" s="12">
        <f>IF(Raw_Data!AJ480&lt;&gt;"",Raw_Data!AJ480,Raw_Data!N480)</f>
        <v>0</v>
      </c>
      <c r="L477" s="12">
        <f t="shared" si="64"/>
        <v>1</v>
      </c>
      <c r="M477" s="12" t="str">
        <f>IF(Raw_Data!AK480="","",Raw_Data!AK480)</f>
        <v/>
      </c>
      <c r="N477" s="12" t="str">
        <f>IF(Raw_Data!T480="","",Raw_Data!T480)</f>
        <v/>
      </c>
      <c r="O477" s="12" t="str">
        <f>IF(Raw_Data!AB480&lt;&gt;"",Raw_Data!AB480,IF(N477="tres_insatisfait",1,IF(N477="insatisfait",2,IF(N477="neutre",3,IF(N477="satisfait",4,IF(N477="tres_satisfait",5,""))))))</f>
        <v/>
      </c>
      <c r="P477" s="12">
        <f>IF(Raw_Data!AL480&lt;&gt;"",Raw_Data!AL480,Raw_Data!R480)</f>
        <v>0</v>
      </c>
      <c r="Q477" s="12">
        <f t="shared" si="65"/>
        <v>0</v>
      </c>
      <c r="R477" s="12" t="str">
        <f>IF(Raw_Data!AM480="","",Raw_Data!AM480)</f>
        <v/>
      </c>
      <c r="S477" s="12" t="str">
        <f t="shared" si="66"/>
        <v/>
      </c>
      <c r="T477" s="12" t="str">
        <f>IF(Raw_Data!AN480="","",Raw_Data!AN480)</f>
        <v/>
      </c>
      <c r="U477" s="12" t="str">
        <f t="shared" si="67"/>
        <v/>
      </c>
      <c r="V477" s="12" t="str">
        <f>IF(Raw_Data!AP480="","",IF(Raw_Data!AP480="oui",1,0))</f>
        <v/>
      </c>
      <c r="W477" s="12" t="str">
        <f>IF(Raw_Data!AQ480="","",IF(Raw_Data!AQ480="oui",1,0))</f>
        <v/>
      </c>
      <c r="X477" s="12" t="str">
        <f>IF(Raw_Data!AR480="","",IF(Raw_Data!AR480="oui",1,0))</f>
        <v/>
      </c>
      <c r="Y477" s="12" t="str">
        <f>IF(Raw_Data!AS480="","",IF(Raw_Data!AS480="oui",1,0))</f>
        <v/>
      </c>
      <c r="Z477" s="12" t="str">
        <f>IF(Raw_Data!V480="","",IF(Raw_Data!V480="oui",1,0))</f>
        <v/>
      </c>
      <c r="AA477" s="12" t="str">
        <f>IF(Raw_Data!W480="","",IF(Raw_Data!W480="oui",1,0))</f>
        <v/>
      </c>
      <c r="AB477" s="12" t="str">
        <f>IF(Raw_Data!Q480="","",IF(Raw_Data!Q480="oui",1,0))</f>
        <v/>
      </c>
      <c r="AC477" s="12">
        <f>Raw_Data!AF480</f>
        <v>0</v>
      </c>
      <c r="AD477" s="12" t="str">
        <f t="shared" si="68"/>
        <v/>
      </c>
      <c r="AE477" s="12" t="str">
        <f t="shared" si="69"/>
        <v/>
      </c>
      <c r="AF477" s="12" t="str">
        <f t="shared" si="70"/>
        <v/>
      </c>
      <c r="AG477" s="12">
        <f t="shared" si="71"/>
        <v>0</v>
      </c>
    </row>
    <row r="478" spans="1:33" ht="15" customHeight="1" x14ac:dyDescent="0.25">
      <c r="A478" s="12" t="str">
        <f>IF(Raw_Data!B481="","",Raw_Data!B481)</f>
        <v/>
      </c>
      <c r="B478" s="12">
        <f>IF(Raw_Data!X481&lt;&gt;"",Raw_Data!X481,Raw_Data!C481)</f>
        <v>0</v>
      </c>
      <c r="C478" s="12" t="str">
        <f>IF(Raw_Data!G481="","",Raw_Data!G481)</f>
        <v/>
      </c>
      <c r="D478" s="12" t="str">
        <f>IF(Raw_Data!H481="","",Raw_Data!H481)</f>
        <v/>
      </c>
      <c r="E478" s="12" t="str">
        <f>IF(Raw_Data!I481="","",Raw_Data!I481)</f>
        <v/>
      </c>
      <c r="F478" s="12" t="str">
        <f>IF(Raw_Data!J481="","",Raw_Data!J481)</f>
        <v/>
      </c>
      <c r="G478" s="12" t="str">
        <f>IF(Raw_Data!AH481&lt;&gt;"",Raw_Data!AH481,IF(Raw_Data!K481&lt;&gt;"",Raw_Data!K481,""))</f>
        <v/>
      </c>
      <c r="H478" s="12" t="str">
        <f>IF(Raw_Data!AI481&lt;&gt;"",Raw_Data!AI481,IF(Raw_Data!L481&lt;&gt;"",Raw_Data!L481,""))</f>
        <v/>
      </c>
      <c r="I478" s="12" t="str">
        <f t="shared" si="63"/>
        <v/>
      </c>
      <c r="J478" s="12" t="str">
        <f>IF(Raw_Data!M481="","",Raw_Data!M481)</f>
        <v/>
      </c>
      <c r="K478" s="12">
        <f>IF(Raw_Data!AJ481&lt;&gt;"",Raw_Data!AJ481,Raw_Data!N481)</f>
        <v>0</v>
      </c>
      <c r="L478" s="12">
        <f t="shared" si="64"/>
        <v>1</v>
      </c>
      <c r="M478" s="12" t="str">
        <f>IF(Raw_Data!AK481="","",Raw_Data!AK481)</f>
        <v/>
      </c>
      <c r="N478" s="12" t="str">
        <f>IF(Raw_Data!T481="","",Raw_Data!T481)</f>
        <v/>
      </c>
      <c r="O478" s="12" t="str">
        <f>IF(Raw_Data!AB481&lt;&gt;"",Raw_Data!AB481,IF(N478="tres_insatisfait",1,IF(N478="insatisfait",2,IF(N478="neutre",3,IF(N478="satisfait",4,IF(N478="tres_satisfait",5,""))))))</f>
        <v/>
      </c>
      <c r="P478" s="12">
        <f>IF(Raw_Data!AL481&lt;&gt;"",Raw_Data!AL481,Raw_Data!R481)</f>
        <v>0</v>
      </c>
      <c r="Q478" s="12">
        <f t="shared" si="65"/>
        <v>0</v>
      </c>
      <c r="R478" s="12" t="str">
        <f>IF(Raw_Data!AM481="","",Raw_Data!AM481)</f>
        <v/>
      </c>
      <c r="S478" s="12" t="str">
        <f t="shared" si="66"/>
        <v/>
      </c>
      <c r="T478" s="12" t="str">
        <f>IF(Raw_Data!AN481="","",Raw_Data!AN481)</f>
        <v/>
      </c>
      <c r="U478" s="12" t="str">
        <f t="shared" si="67"/>
        <v/>
      </c>
      <c r="V478" s="12" t="str">
        <f>IF(Raw_Data!AP481="","",IF(Raw_Data!AP481="oui",1,0))</f>
        <v/>
      </c>
      <c r="W478" s="12" t="str">
        <f>IF(Raw_Data!AQ481="","",IF(Raw_Data!AQ481="oui",1,0))</f>
        <v/>
      </c>
      <c r="X478" s="12" t="str">
        <f>IF(Raw_Data!AR481="","",IF(Raw_Data!AR481="oui",1,0))</f>
        <v/>
      </c>
      <c r="Y478" s="12" t="str">
        <f>IF(Raw_Data!AS481="","",IF(Raw_Data!AS481="oui",1,0))</f>
        <v/>
      </c>
      <c r="Z478" s="12" t="str">
        <f>IF(Raw_Data!V481="","",IF(Raw_Data!V481="oui",1,0))</f>
        <v/>
      </c>
      <c r="AA478" s="12" t="str">
        <f>IF(Raw_Data!W481="","",IF(Raw_Data!W481="oui",1,0))</f>
        <v/>
      </c>
      <c r="AB478" s="12" t="str">
        <f>IF(Raw_Data!Q481="","",IF(Raw_Data!Q481="oui",1,0))</f>
        <v/>
      </c>
      <c r="AC478" s="12">
        <f>Raw_Data!AF481</f>
        <v>0</v>
      </c>
      <c r="AD478" s="12" t="str">
        <f t="shared" si="68"/>
        <v/>
      </c>
      <c r="AE478" s="12" t="str">
        <f t="shared" si="69"/>
        <v/>
      </c>
      <c r="AF478" s="12" t="str">
        <f t="shared" si="70"/>
        <v/>
      </c>
      <c r="AG478" s="12">
        <f t="shared" si="71"/>
        <v>0</v>
      </c>
    </row>
    <row r="479" spans="1:33" ht="15" customHeight="1" x14ac:dyDescent="0.25">
      <c r="A479" s="12" t="str">
        <f>IF(Raw_Data!B482="","",Raw_Data!B482)</f>
        <v/>
      </c>
      <c r="B479" s="12">
        <f>IF(Raw_Data!X482&lt;&gt;"",Raw_Data!X482,Raw_Data!C482)</f>
        <v>0</v>
      </c>
      <c r="C479" s="12" t="str">
        <f>IF(Raw_Data!G482="","",Raw_Data!G482)</f>
        <v/>
      </c>
      <c r="D479" s="12" t="str">
        <f>IF(Raw_Data!H482="","",Raw_Data!H482)</f>
        <v/>
      </c>
      <c r="E479" s="12" t="str">
        <f>IF(Raw_Data!I482="","",Raw_Data!I482)</f>
        <v/>
      </c>
      <c r="F479" s="12" t="str">
        <f>IF(Raw_Data!J482="","",Raw_Data!J482)</f>
        <v/>
      </c>
      <c r="G479" s="12" t="str">
        <f>IF(Raw_Data!AH482&lt;&gt;"",Raw_Data!AH482,IF(Raw_Data!K482&lt;&gt;"",Raw_Data!K482,""))</f>
        <v/>
      </c>
      <c r="H479" s="12" t="str">
        <f>IF(Raw_Data!AI482&lt;&gt;"",Raw_Data!AI482,IF(Raw_Data!L482&lt;&gt;"",Raw_Data!L482,""))</f>
        <v/>
      </c>
      <c r="I479" s="12" t="str">
        <f t="shared" si="63"/>
        <v/>
      </c>
      <c r="J479" s="12" t="str">
        <f>IF(Raw_Data!M482="","",Raw_Data!M482)</f>
        <v/>
      </c>
      <c r="K479" s="12">
        <f>IF(Raw_Data!AJ482&lt;&gt;"",Raw_Data!AJ482,Raw_Data!N482)</f>
        <v>0</v>
      </c>
      <c r="L479" s="12">
        <f t="shared" si="64"/>
        <v>1</v>
      </c>
      <c r="M479" s="12" t="str">
        <f>IF(Raw_Data!AK482="","",Raw_Data!AK482)</f>
        <v/>
      </c>
      <c r="N479" s="12" t="str">
        <f>IF(Raw_Data!T482="","",Raw_Data!T482)</f>
        <v/>
      </c>
      <c r="O479" s="12" t="str">
        <f>IF(Raw_Data!AB482&lt;&gt;"",Raw_Data!AB482,IF(N479="tres_insatisfait",1,IF(N479="insatisfait",2,IF(N479="neutre",3,IF(N479="satisfait",4,IF(N479="tres_satisfait",5,""))))))</f>
        <v/>
      </c>
      <c r="P479" s="12">
        <f>IF(Raw_Data!AL482&lt;&gt;"",Raw_Data!AL482,Raw_Data!R482)</f>
        <v>0</v>
      </c>
      <c r="Q479" s="12">
        <f t="shared" si="65"/>
        <v>0</v>
      </c>
      <c r="R479" s="12" t="str">
        <f>IF(Raw_Data!AM482="","",Raw_Data!AM482)</f>
        <v/>
      </c>
      <c r="S479" s="12" t="str">
        <f t="shared" si="66"/>
        <v/>
      </c>
      <c r="T479" s="12" t="str">
        <f>IF(Raw_Data!AN482="","",Raw_Data!AN482)</f>
        <v/>
      </c>
      <c r="U479" s="12" t="str">
        <f t="shared" si="67"/>
        <v/>
      </c>
      <c r="V479" s="12" t="str">
        <f>IF(Raw_Data!AP482="","",IF(Raw_Data!AP482="oui",1,0))</f>
        <v/>
      </c>
      <c r="W479" s="12" t="str">
        <f>IF(Raw_Data!AQ482="","",IF(Raw_Data!AQ482="oui",1,0))</f>
        <v/>
      </c>
      <c r="X479" s="12" t="str">
        <f>IF(Raw_Data!AR482="","",IF(Raw_Data!AR482="oui",1,0))</f>
        <v/>
      </c>
      <c r="Y479" s="12" t="str">
        <f>IF(Raw_Data!AS482="","",IF(Raw_Data!AS482="oui",1,0))</f>
        <v/>
      </c>
      <c r="Z479" s="12" t="str">
        <f>IF(Raw_Data!V482="","",IF(Raw_Data!V482="oui",1,0))</f>
        <v/>
      </c>
      <c r="AA479" s="12" t="str">
        <f>IF(Raw_Data!W482="","",IF(Raw_Data!W482="oui",1,0))</f>
        <v/>
      </c>
      <c r="AB479" s="12" t="str">
        <f>IF(Raw_Data!Q482="","",IF(Raw_Data!Q482="oui",1,0))</f>
        <v/>
      </c>
      <c r="AC479" s="12">
        <f>Raw_Data!AF482</f>
        <v>0</v>
      </c>
      <c r="AD479" s="12" t="str">
        <f t="shared" si="68"/>
        <v/>
      </c>
      <c r="AE479" s="12" t="str">
        <f t="shared" si="69"/>
        <v/>
      </c>
      <c r="AF479" s="12" t="str">
        <f t="shared" si="70"/>
        <v/>
      </c>
      <c r="AG479" s="12">
        <f t="shared" si="71"/>
        <v>0</v>
      </c>
    </row>
    <row r="480" spans="1:33" ht="15" customHeight="1" x14ac:dyDescent="0.25">
      <c r="A480" s="12" t="str">
        <f>IF(Raw_Data!B483="","",Raw_Data!B483)</f>
        <v/>
      </c>
      <c r="B480" s="12">
        <f>IF(Raw_Data!X483&lt;&gt;"",Raw_Data!X483,Raw_Data!C483)</f>
        <v>0</v>
      </c>
      <c r="C480" s="12" t="str">
        <f>IF(Raw_Data!G483="","",Raw_Data!G483)</f>
        <v/>
      </c>
      <c r="D480" s="12" t="str">
        <f>IF(Raw_Data!H483="","",Raw_Data!H483)</f>
        <v/>
      </c>
      <c r="E480" s="12" t="str">
        <f>IF(Raw_Data!I483="","",Raw_Data!I483)</f>
        <v/>
      </c>
      <c r="F480" s="12" t="str">
        <f>IF(Raw_Data!J483="","",Raw_Data!J483)</f>
        <v/>
      </c>
      <c r="G480" s="12" t="str">
        <f>IF(Raw_Data!AH483&lt;&gt;"",Raw_Data!AH483,IF(Raw_Data!K483&lt;&gt;"",Raw_Data!K483,""))</f>
        <v/>
      </c>
      <c r="H480" s="12" t="str">
        <f>IF(Raw_Data!AI483&lt;&gt;"",Raw_Data!AI483,IF(Raw_Data!L483&lt;&gt;"",Raw_Data!L483,""))</f>
        <v/>
      </c>
      <c r="I480" s="12" t="str">
        <f t="shared" si="63"/>
        <v/>
      </c>
      <c r="J480" s="12" t="str">
        <f>IF(Raw_Data!M483="","",Raw_Data!M483)</f>
        <v/>
      </c>
      <c r="K480" s="12">
        <f>IF(Raw_Data!AJ483&lt;&gt;"",Raw_Data!AJ483,Raw_Data!N483)</f>
        <v>0</v>
      </c>
      <c r="L480" s="12">
        <f t="shared" si="64"/>
        <v>1</v>
      </c>
      <c r="M480" s="12" t="str">
        <f>IF(Raw_Data!AK483="","",Raw_Data!AK483)</f>
        <v/>
      </c>
      <c r="N480" s="12" t="str">
        <f>IF(Raw_Data!T483="","",Raw_Data!T483)</f>
        <v/>
      </c>
      <c r="O480" s="12" t="str">
        <f>IF(Raw_Data!AB483&lt;&gt;"",Raw_Data!AB483,IF(N480="tres_insatisfait",1,IF(N480="insatisfait",2,IF(N480="neutre",3,IF(N480="satisfait",4,IF(N480="tres_satisfait",5,""))))))</f>
        <v/>
      </c>
      <c r="P480" s="12">
        <f>IF(Raw_Data!AL483&lt;&gt;"",Raw_Data!AL483,Raw_Data!R483)</f>
        <v>0</v>
      </c>
      <c r="Q480" s="12">
        <f t="shared" si="65"/>
        <v>0</v>
      </c>
      <c r="R480" s="12" t="str">
        <f>IF(Raw_Data!AM483="","",Raw_Data!AM483)</f>
        <v/>
      </c>
      <c r="S480" s="12" t="str">
        <f t="shared" si="66"/>
        <v/>
      </c>
      <c r="T480" s="12" t="str">
        <f>IF(Raw_Data!AN483="","",Raw_Data!AN483)</f>
        <v/>
      </c>
      <c r="U480" s="12" t="str">
        <f t="shared" si="67"/>
        <v/>
      </c>
      <c r="V480" s="12" t="str">
        <f>IF(Raw_Data!AP483="","",IF(Raw_Data!AP483="oui",1,0))</f>
        <v/>
      </c>
      <c r="W480" s="12" t="str">
        <f>IF(Raw_Data!AQ483="","",IF(Raw_Data!AQ483="oui",1,0))</f>
        <v/>
      </c>
      <c r="X480" s="12" t="str">
        <f>IF(Raw_Data!AR483="","",IF(Raw_Data!AR483="oui",1,0))</f>
        <v/>
      </c>
      <c r="Y480" s="12" t="str">
        <f>IF(Raw_Data!AS483="","",IF(Raw_Data!AS483="oui",1,0))</f>
        <v/>
      </c>
      <c r="Z480" s="12" t="str">
        <f>IF(Raw_Data!V483="","",IF(Raw_Data!V483="oui",1,0))</f>
        <v/>
      </c>
      <c r="AA480" s="12" t="str">
        <f>IF(Raw_Data!W483="","",IF(Raw_Data!W483="oui",1,0))</f>
        <v/>
      </c>
      <c r="AB480" s="12" t="str">
        <f>IF(Raw_Data!Q483="","",IF(Raw_Data!Q483="oui",1,0))</f>
        <v/>
      </c>
      <c r="AC480" s="12">
        <f>Raw_Data!AF483</f>
        <v>0</v>
      </c>
      <c r="AD480" s="12" t="str">
        <f t="shared" si="68"/>
        <v/>
      </c>
      <c r="AE480" s="12" t="str">
        <f t="shared" si="69"/>
        <v/>
      </c>
      <c r="AF480" s="12" t="str">
        <f t="shared" si="70"/>
        <v/>
      </c>
      <c r="AG480" s="12">
        <f t="shared" si="71"/>
        <v>0</v>
      </c>
    </row>
    <row r="481" spans="1:33" ht="15" customHeight="1" x14ac:dyDescent="0.25">
      <c r="A481" s="12" t="str">
        <f>IF(Raw_Data!B484="","",Raw_Data!B484)</f>
        <v/>
      </c>
      <c r="B481" s="12">
        <f>IF(Raw_Data!X484&lt;&gt;"",Raw_Data!X484,Raw_Data!C484)</f>
        <v>0</v>
      </c>
      <c r="C481" s="12" t="str">
        <f>IF(Raw_Data!G484="","",Raw_Data!G484)</f>
        <v/>
      </c>
      <c r="D481" s="12" t="str">
        <f>IF(Raw_Data!H484="","",Raw_Data!H484)</f>
        <v/>
      </c>
      <c r="E481" s="12" t="str">
        <f>IF(Raw_Data!I484="","",Raw_Data!I484)</f>
        <v/>
      </c>
      <c r="F481" s="12" t="str">
        <f>IF(Raw_Data!J484="","",Raw_Data!J484)</f>
        <v/>
      </c>
      <c r="G481" s="12" t="str">
        <f>IF(Raw_Data!AH484&lt;&gt;"",Raw_Data!AH484,IF(Raw_Data!K484&lt;&gt;"",Raw_Data!K484,""))</f>
        <v/>
      </c>
      <c r="H481" s="12" t="str">
        <f>IF(Raw_Data!AI484&lt;&gt;"",Raw_Data!AI484,IF(Raw_Data!L484&lt;&gt;"",Raw_Data!L484,""))</f>
        <v/>
      </c>
      <c r="I481" s="12" t="str">
        <f t="shared" si="63"/>
        <v/>
      </c>
      <c r="J481" s="12" t="str">
        <f>IF(Raw_Data!M484="","",Raw_Data!M484)</f>
        <v/>
      </c>
      <c r="K481" s="12">
        <f>IF(Raw_Data!AJ484&lt;&gt;"",Raw_Data!AJ484,Raw_Data!N484)</f>
        <v>0</v>
      </c>
      <c r="L481" s="12">
        <f t="shared" si="64"/>
        <v>1</v>
      </c>
      <c r="M481" s="12" t="str">
        <f>IF(Raw_Data!AK484="","",Raw_Data!AK484)</f>
        <v/>
      </c>
      <c r="N481" s="12" t="str">
        <f>IF(Raw_Data!T484="","",Raw_Data!T484)</f>
        <v/>
      </c>
      <c r="O481" s="12" t="str">
        <f>IF(Raw_Data!AB484&lt;&gt;"",Raw_Data!AB484,IF(N481="tres_insatisfait",1,IF(N481="insatisfait",2,IF(N481="neutre",3,IF(N481="satisfait",4,IF(N481="tres_satisfait",5,""))))))</f>
        <v/>
      </c>
      <c r="P481" s="12">
        <f>IF(Raw_Data!AL484&lt;&gt;"",Raw_Data!AL484,Raw_Data!R484)</f>
        <v>0</v>
      </c>
      <c r="Q481" s="12">
        <f t="shared" si="65"/>
        <v>0</v>
      </c>
      <c r="R481" s="12" t="str">
        <f>IF(Raw_Data!AM484="","",Raw_Data!AM484)</f>
        <v/>
      </c>
      <c r="S481" s="12" t="str">
        <f t="shared" si="66"/>
        <v/>
      </c>
      <c r="T481" s="12" t="str">
        <f>IF(Raw_Data!AN484="","",Raw_Data!AN484)</f>
        <v/>
      </c>
      <c r="U481" s="12" t="str">
        <f t="shared" si="67"/>
        <v/>
      </c>
      <c r="V481" s="12" t="str">
        <f>IF(Raw_Data!AP484="","",IF(Raw_Data!AP484="oui",1,0))</f>
        <v/>
      </c>
      <c r="W481" s="12" t="str">
        <f>IF(Raw_Data!AQ484="","",IF(Raw_Data!AQ484="oui",1,0))</f>
        <v/>
      </c>
      <c r="X481" s="12" t="str">
        <f>IF(Raw_Data!AR484="","",IF(Raw_Data!AR484="oui",1,0))</f>
        <v/>
      </c>
      <c r="Y481" s="12" t="str">
        <f>IF(Raw_Data!AS484="","",IF(Raw_Data!AS484="oui",1,0))</f>
        <v/>
      </c>
      <c r="Z481" s="12" t="str">
        <f>IF(Raw_Data!V484="","",IF(Raw_Data!V484="oui",1,0))</f>
        <v/>
      </c>
      <c r="AA481" s="12" t="str">
        <f>IF(Raw_Data!W484="","",IF(Raw_Data!W484="oui",1,0))</f>
        <v/>
      </c>
      <c r="AB481" s="12" t="str">
        <f>IF(Raw_Data!Q484="","",IF(Raw_Data!Q484="oui",1,0))</f>
        <v/>
      </c>
      <c r="AC481" s="12">
        <f>Raw_Data!AF484</f>
        <v>0</v>
      </c>
      <c r="AD481" s="12" t="str">
        <f t="shared" si="68"/>
        <v/>
      </c>
      <c r="AE481" s="12" t="str">
        <f t="shared" si="69"/>
        <v/>
      </c>
      <c r="AF481" s="12" t="str">
        <f t="shared" si="70"/>
        <v/>
      </c>
      <c r="AG481" s="12">
        <f t="shared" si="71"/>
        <v>0</v>
      </c>
    </row>
    <row r="482" spans="1:33" ht="15" customHeight="1" x14ac:dyDescent="0.25">
      <c r="A482" s="12" t="str">
        <f>IF(Raw_Data!B485="","",Raw_Data!B485)</f>
        <v/>
      </c>
      <c r="B482" s="12">
        <f>IF(Raw_Data!X485&lt;&gt;"",Raw_Data!X485,Raw_Data!C485)</f>
        <v>0</v>
      </c>
      <c r="C482" s="12" t="str">
        <f>IF(Raw_Data!G485="","",Raw_Data!G485)</f>
        <v/>
      </c>
      <c r="D482" s="12" t="str">
        <f>IF(Raw_Data!H485="","",Raw_Data!H485)</f>
        <v/>
      </c>
      <c r="E482" s="12" t="str">
        <f>IF(Raw_Data!I485="","",Raw_Data!I485)</f>
        <v/>
      </c>
      <c r="F482" s="12" t="str">
        <f>IF(Raw_Data!J485="","",Raw_Data!J485)</f>
        <v/>
      </c>
      <c r="G482" s="12" t="str">
        <f>IF(Raw_Data!AH485&lt;&gt;"",Raw_Data!AH485,IF(Raw_Data!K485&lt;&gt;"",Raw_Data!K485,""))</f>
        <v/>
      </c>
      <c r="H482" s="12" t="str">
        <f>IF(Raw_Data!AI485&lt;&gt;"",Raw_Data!AI485,IF(Raw_Data!L485&lt;&gt;"",Raw_Data!L485,""))</f>
        <v/>
      </c>
      <c r="I482" s="12" t="str">
        <f t="shared" si="63"/>
        <v/>
      </c>
      <c r="J482" s="12" t="str">
        <f>IF(Raw_Data!M485="","",Raw_Data!M485)</f>
        <v/>
      </c>
      <c r="K482" s="12">
        <f>IF(Raw_Data!AJ485&lt;&gt;"",Raw_Data!AJ485,Raw_Data!N485)</f>
        <v>0</v>
      </c>
      <c r="L482" s="12">
        <f t="shared" si="64"/>
        <v>1</v>
      </c>
      <c r="M482" s="12" t="str">
        <f>IF(Raw_Data!AK485="","",Raw_Data!AK485)</f>
        <v/>
      </c>
      <c r="N482" s="12" t="str">
        <f>IF(Raw_Data!T485="","",Raw_Data!T485)</f>
        <v/>
      </c>
      <c r="O482" s="12" t="str">
        <f>IF(Raw_Data!AB485&lt;&gt;"",Raw_Data!AB485,IF(N482="tres_insatisfait",1,IF(N482="insatisfait",2,IF(N482="neutre",3,IF(N482="satisfait",4,IF(N482="tres_satisfait",5,""))))))</f>
        <v/>
      </c>
      <c r="P482" s="12">
        <f>IF(Raw_Data!AL485&lt;&gt;"",Raw_Data!AL485,Raw_Data!R485)</f>
        <v>0</v>
      </c>
      <c r="Q482" s="12">
        <f t="shared" si="65"/>
        <v>0</v>
      </c>
      <c r="R482" s="12" t="str">
        <f>IF(Raw_Data!AM485="","",Raw_Data!AM485)</f>
        <v/>
      </c>
      <c r="S482" s="12" t="str">
        <f t="shared" si="66"/>
        <v/>
      </c>
      <c r="T482" s="12" t="str">
        <f>IF(Raw_Data!AN485="","",Raw_Data!AN485)</f>
        <v/>
      </c>
      <c r="U482" s="12" t="str">
        <f t="shared" si="67"/>
        <v/>
      </c>
      <c r="V482" s="12" t="str">
        <f>IF(Raw_Data!AP485="","",IF(Raw_Data!AP485="oui",1,0))</f>
        <v/>
      </c>
      <c r="W482" s="12" t="str">
        <f>IF(Raw_Data!AQ485="","",IF(Raw_Data!AQ485="oui",1,0))</f>
        <v/>
      </c>
      <c r="X482" s="12" t="str">
        <f>IF(Raw_Data!AR485="","",IF(Raw_Data!AR485="oui",1,0))</f>
        <v/>
      </c>
      <c r="Y482" s="12" t="str">
        <f>IF(Raw_Data!AS485="","",IF(Raw_Data!AS485="oui",1,0))</f>
        <v/>
      </c>
      <c r="Z482" s="12" t="str">
        <f>IF(Raw_Data!V485="","",IF(Raw_Data!V485="oui",1,0))</f>
        <v/>
      </c>
      <c r="AA482" s="12" t="str">
        <f>IF(Raw_Data!W485="","",IF(Raw_Data!W485="oui",1,0))</f>
        <v/>
      </c>
      <c r="AB482" s="12" t="str">
        <f>IF(Raw_Data!Q485="","",IF(Raw_Data!Q485="oui",1,0))</f>
        <v/>
      </c>
      <c r="AC482" s="12">
        <f>Raw_Data!AF485</f>
        <v>0</v>
      </c>
      <c r="AD482" s="12" t="str">
        <f t="shared" si="68"/>
        <v/>
      </c>
      <c r="AE482" s="12" t="str">
        <f t="shared" si="69"/>
        <v/>
      </c>
      <c r="AF482" s="12" t="str">
        <f t="shared" si="70"/>
        <v/>
      </c>
      <c r="AG482" s="12">
        <f t="shared" si="71"/>
        <v>0</v>
      </c>
    </row>
    <row r="483" spans="1:33" ht="15" customHeight="1" x14ac:dyDescent="0.25">
      <c r="A483" s="12" t="str">
        <f>IF(Raw_Data!B486="","",Raw_Data!B486)</f>
        <v/>
      </c>
      <c r="B483" s="12">
        <f>IF(Raw_Data!X486&lt;&gt;"",Raw_Data!X486,Raw_Data!C486)</f>
        <v>0</v>
      </c>
      <c r="C483" s="12" t="str">
        <f>IF(Raw_Data!G486="","",Raw_Data!G486)</f>
        <v/>
      </c>
      <c r="D483" s="12" t="str">
        <f>IF(Raw_Data!H486="","",Raw_Data!H486)</f>
        <v/>
      </c>
      <c r="E483" s="12" t="str">
        <f>IF(Raw_Data!I486="","",Raw_Data!I486)</f>
        <v/>
      </c>
      <c r="F483" s="12" t="str">
        <f>IF(Raw_Data!J486="","",Raw_Data!J486)</f>
        <v/>
      </c>
      <c r="G483" s="12" t="str">
        <f>IF(Raw_Data!AH486&lt;&gt;"",Raw_Data!AH486,IF(Raw_Data!K486&lt;&gt;"",Raw_Data!K486,""))</f>
        <v/>
      </c>
      <c r="H483" s="12" t="str">
        <f>IF(Raw_Data!AI486&lt;&gt;"",Raw_Data!AI486,IF(Raw_Data!L486&lt;&gt;"",Raw_Data!L486,""))</f>
        <v/>
      </c>
      <c r="I483" s="12" t="str">
        <f t="shared" si="63"/>
        <v/>
      </c>
      <c r="J483" s="12" t="str">
        <f>IF(Raw_Data!M486="","",Raw_Data!M486)</f>
        <v/>
      </c>
      <c r="K483" s="12">
        <f>IF(Raw_Data!AJ486&lt;&gt;"",Raw_Data!AJ486,Raw_Data!N486)</f>
        <v>0</v>
      </c>
      <c r="L483" s="12">
        <f t="shared" si="64"/>
        <v>1</v>
      </c>
      <c r="M483" s="12" t="str">
        <f>IF(Raw_Data!AK486="","",Raw_Data!AK486)</f>
        <v/>
      </c>
      <c r="N483" s="12" t="str">
        <f>IF(Raw_Data!T486="","",Raw_Data!T486)</f>
        <v/>
      </c>
      <c r="O483" s="12" t="str">
        <f>IF(Raw_Data!AB486&lt;&gt;"",Raw_Data!AB486,IF(N483="tres_insatisfait",1,IF(N483="insatisfait",2,IF(N483="neutre",3,IF(N483="satisfait",4,IF(N483="tres_satisfait",5,""))))))</f>
        <v/>
      </c>
      <c r="P483" s="12">
        <f>IF(Raw_Data!AL486&lt;&gt;"",Raw_Data!AL486,Raw_Data!R486)</f>
        <v>0</v>
      </c>
      <c r="Q483" s="12">
        <f t="shared" si="65"/>
        <v>0</v>
      </c>
      <c r="R483" s="12" t="str">
        <f>IF(Raw_Data!AM486="","",Raw_Data!AM486)</f>
        <v/>
      </c>
      <c r="S483" s="12" t="str">
        <f t="shared" si="66"/>
        <v/>
      </c>
      <c r="T483" s="12" t="str">
        <f>IF(Raw_Data!AN486="","",Raw_Data!AN486)</f>
        <v/>
      </c>
      <c r="U483" s="12" t="str">
        <f t="shared" si="67"/>
        <v/>
      </c>
      <c r="V483" s="12" t="str">
        <f>IF(Raw_Data!AP486="","",IF(Raw_Data!AP486="oui",1,0))</f>
        <v/>
      </c>
      <c r="W483" s="12" t="str">
        <f>IF(Raw_Data!AQ486="","",IF(Raw_Data!AQ486="oui",1,0))</f>
        <v/>
      </c>
      <c r="X483" s="12" t="str">
        <f>IF(Raw_Data!AR486="","",IF(Raw_Data!AR486="oui",1,0))</f>
        <v/>
      </c>
      <c r="Y483" s="12" t="str">
        <f>IF(Raw_Data!AS486="","",IF(Raw_Data!AS486="oui",1,0))</f>
        <v/>
      </c>
      <c r="Z483" s="12" t="str">
        <f>IF(Raw_Data!V486="","",IF(Raw_Data!V486="oui",1,0))</f>
        <v/>
      </c>
      <c r="AA483" s="12" t="str">
        <f>IF(Raw_Data!W486="","",IF(Raw_Data!W486="oui",1,0))</f>
        <v/>
      </c>
      <c r="AB483" s="12" t="str">
        <f>IF(Raw_Data!Q486="","",IF(Raw_Data!Q486="oui",1,0))</f>
        <v/>
      </c>
      <c r="AC483" s="12">
        <f>Raw_Data!AF486</f>
        <v>0</v>
      </c>
      <c r="AD483" s="12" t="str">
        <f t="shared" si="68"/>
        <v/>
      </c>
      <c r="AE483" s="12" t="str">
        <f t="shared" si="69"/>
        <v/>
      </c>
      <c r="AF483" s="12" t="str">
        <f t="shared" si="70"/>
        <v/>
      </c>
      <c r="AG483" s="12">
        <f t="shared" si="71"/>
        <v>0</v>
      </c>
    </row>
    <row r="484" spans="1:33" ht="15" customHeight="1" x14ac:dyDescent="0.25">
      <c r="A484" s="12" t="str">
        <f>IF(Raw_Data!B487="","",Raw_Data!B487)</f>
        <v/>
      </c>
      <c r="B484" s="12">
        <f>IF(Raw_Data!X487&lt;&gt;"",Raw_Data!X487,Raw_Data!C487)</f>
        <v>0</v>
      </c>
      <c r="C484" s="12" t="str">
        <f>IF(Raw_Data!G487="","",Raw_Data!G487)</f>
        <v/>
      </c>
      <c r="D484" s="12" t="str">
        <f>IF(Raw_Data!H487="","",Raw_Data!H487)</f>
        <v/>
      </c>
      <c r="E484" s="12" t="str">
        <f>IF(Raw_Data!I487="","",Raw_Data!I487)</f>
        <v/>
      </c>
      <c r="F484" s="12" t="str">
        <f>IF(Raw_Data!J487="","",Raw_Data!J487)</f>
        <v/>
      </c>
      <c r="G484" s="12" t="str">
        <f>IF(Raw_Data!AH487&lt;&gt;"",Raw_Data!AH487,IF(Raw_Data!K487&lt;&gt;"",Raw_Data!K487,""))</f>
        <v/>
      </c>
      <c r="H484" s="12" t="str">
        <f>IF(Raw_Data!AI487&lt;&gt;"",Raw_Data!AI487,IF(Raw_Data!L487&lt;&gt;"",Raw_Data!L487,""))</f>
        <v/>
      </c>
      <c r="I484" s="12" t="str">
        <f t="shared" si="63"/>
        <v/>
      </c>
      <c r="J484" s="12" t="str">
        <f>IF(Raw_Data!M487="","",Raw_Data!M487)</f>
        <v/>
      </c>
      <c r="K484" s="12">
        <f>IF(Raw_Data!AJ487&lt;&gt;"",Raw_Data!AJ487,Raw_Data!N487)</f>
        <v>0</v>
      </c>
      <c r="L484" s="12">
        <f t="shared" si="64"/>
        <v>1</v>
      </c>
      <c r="M484" s="12" t="str">
        <f>IF(Raw_Data!AK487="","",Raw_Data!AK487)</f>
        <v/>
      </c>
      <c r="N484" s="12" t="str">
        <f>IF(Raw_Data!T487="","",Raw_Data!T487)</f>
        <v/>
      </c>
      <c r="O484" s="12" t="str">
        <f>IF(Raw_Data!AB487&lt;&gt;"",Raw_Data!AB487,IF(N484="tres_insatisfait",1,IF(N484="insatisfait",2,IF(N484="neutre",3,IF(N484="satisfait",4,IF(N484="tres_satisfait",5,""))))))</f>
        <v/>
      </c>
      <c r="P484" s="12">
        <f>IF(Raw_Data!AL487&lt;&gt;"",Raw_Data!AL487,Raw_Data!R487)</f>
        <v>0</v>
      </c>
      <c r="Q484" s="12">
        <f t="shared" si="65"/>
        <v>0</v>
      </c>
      <c r="R484" s="12" t="str">
        <f>IF(Raw_Data!AM487="","",Raw_Data!AM487)</f>
        <v/>
      </c>
      <c r="S484" s="12" t="str">
        <f t="shared" si="66"/>
        <v/>
      </c>
      <c r="T484" s="12" t="str">
        <f>IF(Raw_Data!AN487="","",Raw_Data!AN487)</f>
        <v/>
      </c>
      <c r="U484" s="12" t="str">
        <f t="shared" si="67"/>
        <v/>
      </c>
      <c r="V484" s="12" t="str">
        <f>IF(Raw_Data!AP487="","",IF(Raw_Data!AP487="oui",1,0))</f>
        <v/>
      </c>
      <c r="W484" s="12" t="str">
        <f>IF(Raw_Data!AQ487="","",IF(Raw_Data!AQ487="oui",1,0))</f>
        <v/>
      </c>
      <c r="X484" s="12" t="str">
        <f>IF(Raw_Data!AR487="","",IF(Raw_Data!AR487="oui",1,0))</f>
        <v/>
      </c>
      <c r="Y484" s="12" t="str">
        <f>IF(Raw_Data!AS487="","",IF(Raw_Data!AS487="oui",1,0))</f>
        <v/>
      </c>
      <c r="Z484" s="12" t="str">
        <f>IF(Raw_Data!V487="","",IF(Raw_Data!V487="oui",1,0))</f>
        <v/>
      </c>
      <c r="AA484" s="12" t="str">
        <f>IF(Raw_Data!W487="","",IF(Raw_Data!W487="oui",1,0))</f>
        <v/>
      </c>
      <c r="AB484" s="12" t="str">
        <f>IF(Raw_Data!Q487="","",IF(Raw_Data!Q487="oui",1,0))</f>
        <v/>
      </c>
      <c r="AC484" s="12">
        <f>Raw_Data!AF487</f>
        <v>0</v>
      </c>
      <c r="AD484" s="12" t="str">
        <f t="shared" si="68"/>
        <v/>
      </c>
      <c r="AE484" s="12" t="str">
        <f t="shared" si="69"/>
        <v/>
      </c>
      <c r="AF484" s="12" t="str">
        <f t="shared" si="70"/>
        <v/>
      </c>
      <c r="AG484" s="12">
        <f t="shared" si="71"/>
        <v>0</v>
      </c>
    </row>
    <row r="485" spans="1:33" ht="15" customHeight="1" x14ac:dyDescent="0.25">
      <c r="A485" s="12" t="str">
        <f>IF(Raw_Data!B488="","",Raw_Data!B488)</f>
        <v/>
      </c>
      <c r="B485" s="12">
        <f>IF(Raw_Data!X488&lt;&gt;"",Raw_Data!X488,Raw_Data!C488)</f>
        <v>0</v>
      </c>
      <c r="C485" s="12" t="str">
        <f>IF(Raw_Data!G488="","",Raw_Data!G488)</f>
        <v/>
      </c>
      <c r="D485" s="12" t="str">
        <f>IF(Raw_Data!H488="","",Raw_Data!H488)</f>
        <v/>
      </c>
      <c r="E485" s="12" t="str">
        <f>IF(Raw_Data!I488="","",Raw_Data!I488)</f>
        <v/>
      </c>
      <c r="F485" s="12" t="str">
        <f>IF(Raw_Data!J488="","",Raw_Data!J488)</f>
        <v/>
      </c>
      <c r="G485" s="12" t="str">
        <f>IF(Raw_Data!AH488&lt;&gt;"",Raw_Data!AH488,IF(Raw_Data!K488&lt;&gt;"",Raw_Data!K488,""))</f>
        <v/>
      </c>
      <c r="H485" s="12" t="str">
        <f>IF(Raw_Data!AI488&lt;&gt;"",Raw_Data!AI488,IF(Raw_Data!L488&lt;&gt;"",Raw_Data!L488,""))</f>
        <v/>
      </c>
      <c r="I485" s="12" t="str">
        <f t="shared" si="63"/>
        <v/>
      </c>
      <c r="J485" s="12" t="str">
        <f>IF(Raw_Data!M488="","",Raw_Data!M488)</f>
        <v/>
      </c>
      <c r="K485" s="12">
        <f>IF(Raw_Data!AJ488&lt;&gt;"",Raw_Data!AJ488,Raw_Data!N488)</f>
        <v>0</v>
      </c>
      <c r="L485" s="12">
        <f t="shared" si="64"/>
        <v>1</v>
      </c>
      <c r="M485" s="12" t="str">
        <f>IF(Raw_Data!AK488="","",Raw_Data!AK488)</f>
        <v/>
      </c>
      <c r="N485" s="12" t="str">
        <f>IF(Raw_Data!T488="","",Raw_Data!T488)</f>
        <v/>
      </c>
      <c r="O485" s="12" t="str">
        <f>IF(Raw_Data!AB488&lt;&gt;"",Raw_Data!AB488,IF(N485="tres_insatisfait",1,IF(N485="insatisfait",2,IF(N485="neutre",3,IF(N485="satisfait",4,IF(N485="tres_satisfait",5,""))))))</f>
        <v/>
      </c>
      <c r="P485" s="12">
        <f>IF(Raw_Data!AL488&lt;&gt;"",Raw_Data!AL488,Raw_Data!R488)</f>
        <v>0</v>
      </c>
      <c r="Q485" s="12">
        <f t="shared" si="65"/>
        <v>0</v>
      </c>
      <c r="R485" s="12" t="str">
        <f>IF(Raw_Data!AM488="","",Raw_Data!AM488)</f>
        <v/>
      </c>
      <c r="S485" s="12" t="str">
        <f t="shared" si="66"/>
        <v/>
      </c>
      <c r="T485" s="12" t="str">
        <f>IF(Raw_Data!AN488="","",Raw_Data!AN488)</f>
        <v/>
      </c>
      <c r="U485" s="12" t="str">
        <f t="shared" si="67"/>
        <v/>
      </c>
      <c r="V485" s="12" t="str">
        <f>IF(Raw_Data!AP488="","",IF(Raw_Data!AP488="oui",1,0))</f>
        <v/>
      </c>
      <c r="W485" s="12" t="str">
        <f>IF(Raw_Data!AQ488="","",IF(Raw_Data!AQ488="oui",1,0))</f>
        <v/>
      </c>
      <c r="X485" s="12" t="str">
        <f>IF(Raw_Data!AR488="","",IF(Raw_Data!AR488="oui",1,0))</f>
        <v/>
      </c>
      <c r="Y485" s="12" t="str">
        <f>IF(Raw_Data!AS488="","",IF(Raw_Data!AS488="oui",1,0))</f>
        <v/>
      </c>
      <c r="Z485" s="12" t="str">
        <f>IF(Raw_Data!V488="","",IF(Raw_Data!V488="oui",1,0))</f>
        <v/>
      </c>
      <c r="AA485" s="12" t="str">
        <f>IF(Raw_Data!W488="","",IF(Raw_Data!W488="oui",1,0))</f>
        <v/>
      </c>
      <c r="AB485" s="12" t="str">
        <f>IF(Raw_Data!Q488="","",IF(Raw_Data!Q488="oui",1,0))</f>
        <v/>
      </c>
      <c r="AC485" s="12">
        <f>Raw_Data!AF488</f>
        <v>0</v>
      </c>
      <c r="AD485" s="12" t="str">
        <f t="shared" si="68"/>
        <v/>
      </c>
      <c r="AE485" s="12" t="str">
        <f t="shared" si="69"/>
        <v/>
      </c>
      <c r="AF485" s="12" t="str">
        <f t="shared" si="70"/>
        <v/>
      </c>
      <c r="AG485" s="12">
        <f t="shared" si="71"/>
        <v>0</v>
      </c>
    </row>
    <row r="486" spans="1:33" ht="15" customHeight="1" x14ac:dyDescent="0.25">
      <c r="A486" s="12" t="str">
        <f>IF(Raw_Data!B489="","",Raw_Data!B489)</f>
        <v/>
      </c>
      <c r="B486" s="12">
        <f>IF(Raw_Data!X489&lt;&gt;"",Raw_Data!X489,Raw_Data!C489)</f>
        <v>0</v>
      </c>
      <c r="C486" s="12" t="str">
        <f>IF(Raw_Data!G489="","",Raw_Data!G489)</f>
        <v/>
      </c>
      <c r="D486" s="12" t="str">
        <f>IF(Raw_Data!H489="","",Raw_Data!H489)</f>
        <v/>
      </c>
      <c r="E486" s="12" t="str">
        <f>IF(Raw_Data!I489="","",Raw_Data!I489)</f>
        <v/>
      </c>
      <c r="F486" s="12" t="str">
        <f>IF(Raw_Data!J489="","",Raw_Data!J489)</f>
        <v/>
      </c>
      <c r="G486" s="12" t="str">
        <f>IF(Raw_Data!AH489&lt;&gt;"",Raw_Data!AH489,IF(Raw_Data!K489&lt;&gt;"",Raw_Data!K489,""))</f>
        <v/>
      </c>
      <c r="H486" s="12" t="str">
        <f>IF(Raw_Data!AI489&lt;&gt;"",Raw_Data!AI489,IF(Raw_Data!L489&lt;&gt;"",Raw_Data!L489,""))</f>
        <v/>
      </c>
      <c r="I486" s="12" t="str">
        <f t="shared" si="63"/>
        <v/>
      </c>
      <c r="J486" s="12" t="str">
        <f>IF(Raw_Data!M489="","",Raw_Data!M489)</f>
        <v/>
      </c>
      <c r="K486" s="12">
        <f>IF(Raw_Data!AJ489&lt;&gt;"",Raw_Data!AJ489,Raw_Data!N489)</f>
        <v>0</v>
      </c>
      <c r="L486" s="12">
        <f t="shared" si="64"/>
        <v>1</v>
      </c>
      <c r="M486" s="12" t="str">
        <f>IF(Raw_Data!AK489="","",Raw_Data!AK489)</f>
        <v/>
      </c>
      <c r="N486" s="12" t="str">
        <f>IF(Raw_Data!T489="","",Raw_Data!T489)</f>
        <v/>
      </c>
      <c r="O486" s="12" t="str">
        <f>IF(Raw_Data!AB489&lt;&gt;"",Raw_Data!AB489,IF(N486="tres_insatisfait",1,IF(N486="insatisfait",2,IF(N486="neutre",3,IF(N486="satisfait",4,IF(N486="tres_satisfait",5,""))))))</f>
        <v/>
      </c>
      <c r="P486" s="12">
        <f>IF(Raw_Data!AL489&lt;&gt;"",Raw_Data!AL489,Raw_Data!R489)</f>
        <v>0</v>
      </c>
      <c r="Q486" s="12">
        <f t="shared" si="65"/>
        <v>0</v>
      </c>
      <c r="R486" s="12" t="str">
        <f>IF(Raw_Data!AM489="","",Raw_Data!AM489)</f>
        <v/>
      </c>
      <c r="S486" s="12" t="str">
        <f t="shared" si="66"/>
        <v/>
      </c>
      <c r="T486" s="12" t="str">
        <f>IF(Raw_Data!AN489="","",Raw_Data!AN489)</f>
        <v/>
      </c>
      <c r="U486" s="12" t="str">
        <f t="shared" si="67"/>
        <v/>
      </c>
      <c r="V486" s="12" t="str">
        <f>IF(Raw_Data!AP489="","",IF(Raw_Data!AP489="oui",1,0))</f>
        <v/>
      </c>
      <c r="W486" s="12" t="str">
        <f>IF(Raw_Data!AQ489="","",IF(Raw_Data!AQ489="oui",1,0))</f>
        <v/>
      </c>
      <c r="X486" s="12" t="str">
        <f>IF(Raw_Data!AR489="","",IF(Raw_Data!AR489="oui",1,0))</f>
        <v/>
      </c>
      <c r="Y486" s="12" t="str">
        <f>IF(Raw_Data!AS489="","",IF(Raw_Data!AS489="oui",1,0))</f>
        <v/>
      </c>
      <c r="Z486" s="12" t="str">
        <f>IF(Raw_Data!V489="","",IF(Raw_Data!V489="oui",1,0))</f>
        <v/>
      </c>
      <c r="AA486" s="12" t="str">
        <f>IF(Raw_Data!W489="","",IF(Raw_Data!W489="oui",1,0))</f>
        <v/>
      </c>
      <c r="AB486" s="12" t="str">
        <f>IF(Raw_Data!Q489="","",IF(Raw_Data!Q489="oui",1,0))</f>
        <v/>
      </c>
      <c r="AC486" s="12">
        <f>Raw_Data!AF489</f>
        <v>0</v>
      </c>
      <c r="AD486" s="12" t="str">
        <f t="shared" si="68"/>
        <v/>
      </c>
      <c r="AE486" s="12" t="str">
        <f t="shared" si="69"/>
        <v/>
      </c>
      <c r="AF486" s="12" t="str">
        <f t="shared" si="70"/>
        <v/>
      </c>
      <c r="AG486" s="12">
        <f t="shared" si="71"/>
        <v>0</v>
      </c>
    </row>
    <row r="487" spans="1:33" ht="15" customHeight="1" x14ac:dyDescent="0.25">
      <c r="A487" s="12" t="str">
        <f>IF(Raw_Data!B490="","",Raw_Data!B490)</f>
        <v/>
      </c>
      <c r="B487" s="12">
        <f>IF(Raw_Data!X490&lt;&gt;"",Raw_Data!X490,Raw_Data!C490)</f>
        <v>0</v>
      </c>
      <c r="C487" s="12" t="str">
        <f>IF(Raw_Data!G490="","",Raw_Data!G490)</f>
        <v/>
      </c>
      <c r="D487" s="12" t="str">
        <f>IF(Raw_Data!H490="","",Raw_Data!H490)</f>
        <v/>
      </c>
      <c r="E487" s="12" t="str">
        <f>IF(Raw_Data!I490="","",Raw_Data!I490)</f>
        <v/>
      </c>
      <c r="F487" s="12" t="str">
        <f>IF(Raw_Data!J490="","",Raw_Data!J490)</f>
        <v/>
      </c>
      <c r="G487" s="12" t="str">
        <f>IF(Raw_Data!AH490&lt;&gt;"",Raw_Data!AH490,IF(Raw_Data!K490&lt;&gt;"",Raw_Data!K490,""))</f>
        <v/>
      </c>
      <c r="H487" s="12" t="str">
        <f>IF(Raw_Data!AI490&lt;&gt;"",Raw_Data!AI490,IF(Raw_Data!L490&lt;&gt;"",Raw_Data!L490,""))</f>
        <v/>
      </c>
      <c r="I487" s="12" t="str">
        <f t="shared" si="63"/>
        <v/>
      </c>
      <c r="J487" s="12" t="str">
        <f>IF(Raw_Data!M490="","",Raw_Data!M490)</f>
        <v/>
      </c>
      <c r="K487" s="12">
        <f>IF(Raw_Data!AJ490&lt;&gt;"",Raw_Data!AJ490,Raw_Data!N490)</f>
        <v>0</v>
      </c>
      <c r="L487" s="12">
        <f t="shared" si="64"/>
        <v>1</v>
      </c>
      <c r="M487" s="12" t="str">
        <f>IF(Raw_Data!AK490="","",Raw_Data!AK490)</f>
        <v/>
      </c>
      <c r="N487" s="12" t="str">
        <f>IF(Raw_Data!T490="","",Raw_Data!T490)</f>
        <v/>
      </c>
      <c r="O487" s="12" t="str">
        <f>IF(Raw_Data!AB490&lt;&gt;"",Raw_Data!AB490,IF(N487="tres_insatisfait",1,IF(N487="insatisfait",2,IF(N487="neutre",3,IF(N487="satisfait",4,IF(N487="tres_satisfait",5,""))))))</f>
        <v/>
      </c>
      <c r="P487" s="12">
        <f>IF(Raw_Data!AL490&lt;&gt;"",Raw_Data!AL490,Raw_Data!R490)</f>
        <v>0</v>
      </c>
      <c r="Q487" s="12">
        <f t="shared" si="65"/>
        <v>0</v>
      </c>
      <c r="R487" s="12" t="str">
        <f>IF(Raw_Data!AM490="","",Raw_Data!AM490)</f>
        <v/>
      </c>
      <c r="S487" s="12" t="str">
        <f t="shared" si="66"/>
        <v/>
      </c>
      <c r="T487" s="12" t="str">
        <f>IF(Raw_Data!AN490="","",Raw_Data!AN490)</f>
        <v/>
      </c>
      <c r="U487" s="12" t="str">
        <f t="shared" si="67"/>
        <v/>
      </c>
      <c r="V487" s="12" t="str">
        <f>IF(Raw_Data!AP490="","",IF(Raw_Data!AP490="oui",1,0))</f>
        <v/>
      </c>
      <c r="W487" s="12" t="str">
        <f>IF(Raw_Data!AQ490="","",IF(Raw_Data!AQ490="oui",1,0))</f>
        <v/>
      </c>
      <c r="X487" s="12" t="str">
        <f>IF(Raw_Data!AR490="","",IF(Raw_Data!AR490="oui",1,0))</f>
        <v/>
      </c>
      <c r="Y487" s="12" t="str">
        <f>IF(Raw_Data!AS490="","",IF(Raw_Data!AS490="oui",1,0))</f>
        <v/>
      </c>
      <c r="Z487" s="12" t="str">
        <f>IF(Raw_Data!V490="","",IF(Raw_Data!V490="oui",1,0))</f>
        <v/>
      </c>
      <c r="AA487" s="12" t="str">
        <f>IF(Raw_Data!W490="","",IF(Raw_Data!W490="oui",1,0))</f>
        <v/>
      </c>
      <c r="AB487" s="12" t="str">
        <f>IF(Raw_Data!Q490="","",IF(Raw_Data!Q490="oui",1,0))</f>
        <v/>
      </c>
      <c r="AC487" s="12">
        <f>Raw_Data!AF490</f>
        <v>0</v>
      </c>
      <c r="AD487" s="12" t="str">
        <f t="shared" si="68"/>
        <v/>
      </c>
      <c r="AE487" s="12" t="str">
        <f t="shared" si="69"/>
        <v/>
      </c>
      <c r="AF487" s="12" t="str">
        <f t="shared" si="70"/>
        <v/>
      </c>
      <c r="AG487" s="12">
        <f t="shared" si="71"/>
        <v>0</v>
      </c>
    </row>
    <row r="488" spans="1:33" ht="15" customHeight="1" x14ac:dyDescent="0.25">
      <c r="A488" s="12" t="str">
        <f>IF(Raw_Data!B491="","",Raw_Data!B491)</f>
        <v/>
      </c>
      <c r="B488" s="12">
        <f>IF(Raw_Data!X491&lt;&gt;"",Raw_Data!X491,Raw_Data!C491)</f>
        <v>0</v>
      </c>
      <c r="C488" s="12" t="str">
        <f>IF(Raw_Data!G491="","",Raw_Data!G491)</f>
        <v/>
      </c>
      <c r="D488" s="12" t="str">
        <f>IF(Raw_Data!H491="","",Raw_Data!H491)</f>
        <v/>
      </c>
      <c r="E488" s="12" t="str">
        <f>IF(Raw_Data!I491="","",Raw_Data!I491)</f>
        <v/>
      </c>
      <c r="F488" s="12" t="str">
        <f>IF(Raw_Data!J491="","",Raw_Data!J491)</f>
        <v/>
      </c>
      <c r="G488" s="12" t="str">
        <f>IF(Raw_Data!AH491&lt;&gt;"",Raw_Data!AH491,IF(Raw_Data!K491&lt;&gt;"",Raw_Data!K491,""))</f>
        <v/>
      </c>
      <c r="H488" s="12" t="str">
        <f>IF(Raw_Data!AI491&lt;&gt;"",Raw_Data!AI491,IF(Raw_Data!L491&lt;&gt;"",Raw_Data!L491,""))</f>
        <v/>
      </c>
      <c r="I488" s="12" t="str">
        <f t="shared" si="63"/>
        <v/>
      </c>
      <c r="J488" s="12" t="str">
        <f>IF(Raw_Data!M491="","",Raw_Data!M491)</f>
        <v/>
      </c>
      <c r="K488" s="12">
        <f>IF(Raw_Data!AJ491&lt;&gt;"",Raw_Data!AJ491,Raw_Data!N491)</f>
        <v>0</v>
      </c>
      <c r="L488" s="12">
        <f t="shared" si="64"/>
        <v>1</v>
      </c>
      <c r="M488" s="12" t="str">
        <f>IF(Raw_Data!AK491="","",Raw_Data!AK491)</f>
        <v/>
      </c>
      <c r="N488" s="12" t="str">
        <f>IF(Raw_Data!T491="","",Raw_Data!T491)</f>
        <v/>
      </c>
      <c r="O488" s="12" t="str">
        <f>IF(Raw_Data!AB491&lt;&gt;"",Raw_Data!AB491,IF(N488="tres_insatisfait",1,IF(N488="insatisfait",2,IF(N488="neutre",3,IF(N488="satisfait",4,IF(N488="tres_satisfait",5,""))))))</f>
        <v/>
      </c>
      <c r="P488" s="12">
        <f>IF(Raw_Data!AL491&lt;&gt;"",Raw_Data!AL491,Raw_Data!R491)</f>
        <v>0</v>
      </c>
      <c r="Q488" s="12">
        <f t="shared" si="65"/>
        <v>0</v>
      </c>
      <c r="R488" s="12" t="str">
        <f>IF(Raw_Data!AM491="","",Raw_Data!AM491)</f>
        <v/>
      </c>
      <c r="S488" s="12" t="str">
        <f t="shared" si="66"/>
        <v/>
      </c>
      <c r="T488" s="12" t="str">
        <f>IF(Raw_Data!AN491="","",Raw_Data!AN491)</f>
        <v/>
      </c>
      <c r="U488" s="12" t="str">
        <f t="shared" si="67"/>
        <v/>
      </c>
      <c r="V488" s="12" t="str">
        <f>IF(Raw_Data!AP491="","",IF(Raw_Data!AP491="oui",1,0))</f>
        <v/>
      </c>
      <c r="W488" s="12" t="str">
        <f>IF(Raw_Data!AQ491="","",IF(Raw_Data!AQ491="oui",1,0))</f>
        <v/>
      </c>
      <c r="X488" s="12" t="str">
        <f>IF(Raw_Data!AR491="","",IF(Raw_Data!AR491="oui",1,0))</f>
        <v/>
      </c>
      <c r="Y488" s="12" t="str">
        <f>IF(Raw_Data!AS491="","",IF(Raw_Data!AS491="oui",1,0))</f>
        <v/>
      </c>
      <c r="Z488" s="12" t="str">
        <f>IF(Raw_Data!V491="","",IF(Raw_Data!V491="oui",1,0))</f>
        <v/>
      </c>
      <c r="AA488" s="12" t="str">
        <f>IF(Raw_Data!W491="","",IF(Raw_Data!W491="oui",1,0))</f>
        <v/>
      </c>
      <c r="AB488" s="12" t="str">
        <f>IF(Raw_Data!Q491="","",IF(Raw_Data!Q491="oui",1,0))</f>
        <v/>
      </c>
      <c r="AC488" s="12">
        <f>Raw_Data!AF491</f>
        <v>0</v>
      </c>
      <c r="AD488" s="12" t="str">
        <f t="shared" si="68"/>
        <v/>
      </c>
      <c r="AE488" s="12" t="str">
        <f t="shared" si="69"/>
        <v/>
      </c>
      <c r="AF488" s="12" t="str">
        <f t="shared" si="70"/>
        <v/>
      </c>
      <c r="AG488" s="12">
        <f t="shared" si="71"/>
        <v>0</v>
      </c>
    </row>
    <row r="489" spans="1:33" ht="15" customHeight="1" x14ac:dyDescent="0.25">
      <c r="A489" s="12" t="str">
        <f>IF(Raw_Data!B492="","",Raw_Data!B492)</f>
        <v/>
      </c>
      <c r="B489" s="12">
        <f>IF(Raw_Data!X492&lt;&gt;"",Raw_Data!X492,Raw_Data!C492)</f>
        <v>0</v>
      </c>
      <c r="C489" s="12" t="str">
        <f>IF(Raw_Data!G492="","",Raw_Data!G492)</f>
        <v/>
      </c>
      <c r="D489" s="12" t="str">
        <f>IF(Raw_Data!H492="","",Raw_Data!H492)</f>
        <v/>
      </c>
      <c r="E489" s="12" t="str">
        <f>IF(Raw_Data!I492="","",Raw_Data!I492)</f>
        <v/>
      </c>
      <c r="F489" s="12" t="str">
        <f>IF(Raw_Data!J492="","",Raw_Data!J492)</f>
        <v/>
      </c>
      <c r="G489" s="12" t="str">
        <f>IF(Raw_Data!AH492&lt;&gt;"",Raw_Data!AH492,IF(Raw_Data!K492&lt;&gt;"",Raw_Data!K492,""))</f>
        <v/>
      </c>
      <c r="H489" s="12" t="str">
        <f>IF(Raw_Data!AI492&lt;&gt;"",Raw_Data!AI492,IF(Raw_Data!L492&lt;&gt;"",Raw_Data!L492,""))</f>
        <v/>
      </c>
      <c r="I489" s="12" t="str">
        <f t="shared" si="63"/>
        <v/>
      </c>
      <c r="J489" s="12" t="str">
        <f>IF(Raw_Data!M492="","",Raw_Data!M492)</f>
        <v/>
      </c>
      <c r="K489" s="12">
        <f>IF(Raw_Data!AJ492&lt;&gt;"",Raw_Data!AJ492,Raw_Data!N492)</f>
        <v>0</v>
      </c>
      <c r="L489" s="12">
        <f t="shared" si="64"/>
        <v>1</v>
      </c>
      <c r="M489" s="12" t="str">
        <f>IF(Raw_Data!AK492="","",Raw_Data!AK492)</f>
        <v/>
      </c>
      <c r="N489" s="12" t="str">
        <f>IF(Raw_Data!T492="","",Raw_Data!T492)</f>
        <v/>
      </c>
      <c r="O489" s="12" t="str">
        <f>IF(Raw_Data!AB492&lt;&gt;"",Raw_Data!AB492,IF(N489="tres_insatisfait",1,IF(N489="insatisfait",2,IF(N489="neutre",3,IF(N489="satisfait",4,IF(N489="tres_satisfait",5,""))))))</f>
        <v/>
      </c>
      <c r="P489" s="12">
        <f>IF(Raw_Data!AL492&lt;&gt;"",Raw_Data!AL492,Raw_Data!R492)</f>
        <v>0</v>
      </c>
      <c r="Q489" s="12">
        <f t="shared" si="65"/>
        <v>0</v>
      </c>
      <c r="R489" s="12" t="str">
        <f>IF(Raw_Data!AM492="","",Raw_Data!AM492)</f>
        <v/>
      </c>
      <c r="S489" s="12" t="str">
        <f t="shared" si="66"/>
        <v/>
      </c>
      <c r="T489" s="12" t="str">
        <f>IF(Raw_Data!AN492="","",Raw_Data!AN492)</f>
        <v/>
      </c>
      <c r="U489" s="12" t="str">
        <f t="shared" si="67"/>
        <v/>
      </c>
      <c r="V489" s="12" t="str">
        <f>IF(Raw_Data!AP492="","",IF(Raw_Data!AP492="oui",1,0))</f>
        <v/>
      </c>
      <c r="W489" s="12" t="str">
        <f>IF(Raw_Data!AQ492="","",IF(Raw_Data!AQ492="oui",1,0))</f>
        <v/>
      </c>
      <c r="X489" s="12" t="str">
        <f>IF(Raw_Data!AR492="","",IF(Raw_Data!AR492="oui",1,0))</f>
        <v/>
      </c>
      <c r="Y489" s="12" t="str">
        <f>IF(Raw_Data!AS492="","",IF(Raw_Data!AS492="oui",1,0))</f>
        <v/>
      </c>
      <c r="Z489" s="12" t="str">
        <f>IF(Raw_Data!V492="","",IF(Raw_Data!V492="oui",1,0))</f>
        <v/>
      </c>
      <c r="AA489" s="12" t="str">
        <f>IF(Raw_Data!W492="","",IF(Raw_Data!W492="oui",1,0))</f>
        <v/>
      </c>
      <c r="AB489" s="12" t="str">
        <f>IF(Raw_Data!Q492="","",IF(Raw_Data!Q492="oui",1,0))</f>
        <v/>
      </c>
      <c r="AC489" s="12">
        <f>Raw_Data!AF492</f>
        <v>0</v>
      </c>
      <c r="AD489" s="12" t="str">
        <f t="shared" si="68"/>
        <v/>
      </c>
      <c r="AE489" s="12" t="str">
        <f t="shared" si="69"/>
        <v/>
      </c>
      <c r="AF489" s="12" t="str">
        <f t="shared" si="70"/>
        <v/>
      </c>
      <c r="AG489" s="12">
        <f t="shared" si="71"/>
        <v>0</v>
      </c>
    </row>
    <row r="490" spans="1:33" ht="15" customHeight="1" x14ac:dyDescent="0.25">
      <c r="A490" s="12" t="str">
        <f>IF(Raw_Data!B493="","",Raw_Data!B493)</f>
        <v/>
      </c>
      <c r="B490" s="12">
        <f>IF(Raw_Data!X493&lt;&gt;"",Raw_Data!X493,Raw_Data!C493)</f>
        <v>0</v>
      </c>
      <c r="C490" s="12" t="str">
        <f>IF(Raw_Data!G493="","",Raw_Data!G493)</f>
        <v/>
      </c>
      <c r="D490" s="12" t="str">
        <f>IF(Raw_Data!H493="","",Raw_Data!H493)</f>
        <v/>
      </c>
      <c r="E490" s="12" t="str">
        <f>IF(Raw_Data!I493="","",Raw_Data!I493)</f>
        <v/>
      </c>
      <c r="F490" s="12" t="str">
        <f>IF(Raw_Data!J493="","",Raw_Data!J493)</f>
        <v/>
      </c>
      <c r="G490" s="12" t="str">
        <f>IF(Raw_Data!AH493&lt;&gt;"",Raw_Data!AH493,IF(Raw_Data!K493&lt;&gt;"",Raw_Data!K493,""))</f>
        <v/>
      </c>
      <c r="H490" s="12" t="str">
        <f>IF(Raw_Data!AI493&lt;&gt;"",Raw_Data!AI493,IF(Raw_Data!L493&lt;&gt;"",Raw_Data!L493,""))</f>
        <v/>
      </c>
      <c r="I490" s="12" t="str">
        <f t="shared" si="63"/>
        <v/>
      </c>
      <c r="J490" s="12" t="str">
        <f>IF(Raw_Data!M493="","",Raw_Data!M493)</f>
        <v/>
      </c>
      <c r="K490" s="12">
        <f>IF(Raw_Data!AJ493&lt;&gt;"",Raw_Data!AJ493,Raw_Data!N493)</f>
        <v>0</v>
      </c>
      <c r="L490" s="12">
        <f t="shared" si="64"/>
        <v>1</v>
      </c>
      <c r="M490" s="12" t="str">
        <f>IF(Raw_Data!AK493="","",Raw_Data!AK493)</f>
        <v/>
      </c>
      <c r="N490" s="12" t="str">
        <f>IF(Raw_Data!T493="","",Raw_Data!T493)</f>
        <v/>
      </c>
      <c r="O490" s="12" t="str">
        <f>IF(Raw_Data!AB493&lt;&gt;"",Raw_Data!AB493,IF(N490="tres_insatisfait",1,IF(N490="insatisfait",2,IF(N490="neutre",3,IF(N490="satisfait",4,IF(N490="tres_satisfait",5,""))))))</f>
        <v/>
      </c>
      <c r="P490" s="12">
        <f>IF(Raw_Data!AL493&lt;&gt;"",Raw_Data!AL493,Raw_Data!R493)</f>
        <v>0</v>
      </c>
      <c r="Q490" s="12">
        <f t="shared" si="65"/>
        <v>0</v>
      </c>
      <c r="R490" s="12" t="str">
        <f>IF(Raw_Data!AM493="","",Raw_Data!AM493)</f>
        <v/>
      </c>
      <c r="S490" s="12" t="str">
        <f t="shared" si="66"/>
        <v/>
      </c>
      <c r="T490" s="12" t="str">
        <f>IF(Raw_Data!AN493="","",Raw_Data!AN493)</f>
        <v/>
      </c>
      <c r="U490" s="12" t="str">
        <f t="shared" si="67"/>
        <v/>
      </c>
      <c r="V490" s="12" t="str">
        <f>IF(Raw_Data!AP493="","",IF(Raw_Data!AP493="oui",1,0))</f>
        <v/>
      </c>
      <c r="W490" s="12" t="str">
        <f>IF(Raw_Data!AQ493="","",IF(Raw_Data!AQ493="oui",1,0))</f>
        <v/>
      </c>
      <c r="X490" s="12" t="str">
        <f>IF(Raw_Data!AR493="","",IF(Raw_Data!AR493="oui",1,0))</f>
        <v/>
      </c>
      <c r="Y490" s="12" t="str">
        <f>IF(Raw_Data!AS493="","",IF(Raw_Data!AS493="oui",1,0))</f>
        <v/>
      </c>
      <c r="Z490" s="12" t="str">
        <f>IF(Raw_Data!V493="","",IF(Raw_Data!V493="oui",1,0))</f>
        <v/>
      </c>
      <c r="AA490" s="12" t="str">
        <f>IF(Raw_Data!W493="","",IF(Raw_Data!W493="oui",1,0))</f>
        <v/>
      </c>
      <c r="AB490" s="12" t="str">
        <f>IF(Raw_Data!Q493="","",IF(Raw_Data!Q493="oui",1,0))</f>
        <v/>
      </c>
      <c r="AC490" s="12">
        <f>Raw_Data!AF493</f>
        <v>0</v>
      </c>
      <c r="AD490" s="12" t="str">
        <f t="shared" si="68"/>
        <v/>
      </c>
      <c r="AE490" s="12" t="str">
        <f t="shared" si="69"/>
        <v/>
      </c>
      <c r="AF490" s="12" t="str">
        <f t="shared" si="70"/>
        <v/>
      </c>
      <c r="AG490" s="12">
        <f t="shared" si="71"/>
        <v>0</v>
      </c>
    </row>
    <row r="491" spans="1:33" ht="15" customHeight="1" x14ac:dyDescent="0.25">
      <c r="A491" s="12" t="str">
        <f>IF(Raw_Data!B494="","",Raw_Data!B494)</f>
        <v/>
      </c>
      <c r="B491" s="12">
        <f>IF(Raw_Data!X494&lt;&gt;"",Raw_Data!X494,Raw_Data!C494)</f>
        <v>0</v>
      </c>
      <c r="C491" s="12" t="str">
        <f>IF(Raw_Data!G494="","",Raw_Data!G494)</f>
        <v/>
      </c>
      <c r="D491" s="12" t="str">
        <f>IF(Raw_Data!H494="","",Raw_Data!H494)</f>
        <v/>
      </c>
      <c r="E491" s="12" t="str">
        <f>IF(Raw_Data!I494="","",Raw_Data!I494)</f>
        <v/>
      </c>
      <c r="F491" s="12" t="str">
        <f>IF(Raw_Data!J494="","",Raw_Data!J494)</f>
        <v/>
      </c>
      <c r="G491" s="12" t="str">
        <f>IF(Raw_Data!AH494&lt;&gt;"",Raw_Data!AH494,IF(Raw_Data!K494&lt;&gt;"",Raw_Data!K494,""))</f>
        <v/>
      </c>
      <c r="H491" s="12" t="str">
        <f>IF(Raw_Data!AI494&lt;&gt;"",Raw_Data!AI494,IF(Raw_Data!L494&lt;&gt;"",Raw_Data!L494,""))</f>
        <v/>
      </c>
      <c r="I491" s="12" t="str">
        <f t="shared" si="63"/>
        <v/>
      </c>
      <c r="J491" s="12" t="str">
        <f>IF(Raw_Data!M494="","",Raw_Data!M494)</f>
        <v/>
      </c>
      <c r="K491" s="12">
        <f>IF(Raw_Data!AJ494&lt;&gt;"",Raw_Data!AJ494,Raw_Data!N494)</f>
        <v>0</v>
      </c>
      <c r="L491" s="12">
        <f t="shared" si="64"/>
        <v>1</v>
      </c>
      <c r="M491" s="12" t="str">
        <f>IF(Raw_Data!AK494="","",Raw_Data!AK494)</f>
        <v/>
      </c>
      <c r="N491" s="12" t="str">
        <f>IF(Raw_Data!T494="","",Raw_Data!T494)</f>
        <v/>
      </c>
      <c r="O491" s="12" t="str">
        <f>IF(Raw_Data!AB494&lt;&gt;"",Raw_Data!AB494,IF(N491="tres_insatisfait",1,IF(N491="insatisfait",2,IF(N491="neutre",3,IF(N491="satisfait",4,IF(N491="tres_satisfait",5,""))))))</f>
        <v/>
      </c>
      <c r="P491" s="12">
        <f>IF(Raw_Data!AL494&lt;&gt;"",Raw_Data!AL494,Raw_Data!R494)</f>
        <v>0</v>
      </c>
      <c r="Q491" s="12">
        <f t="shared" si="65"/>
        <v>0</v>
      </c>
      <c r="R491" s="12" t="str">
        <f>IF(Raw_Data!AM494="","",Raw_Data!AM494)</f>
        <v/>
      </c>
      <c r="S491" s="12" t="str">
        <f t="shared" si="66"/>
        <v/>
      </c>
      <c r="T491" s="12" t="str">
        <f>IF(Raw_Data!AN494="","",Raw_Data!AN494)</f>
        <v/>
      </c>
      <c r="U491" s="12" t="str">
        <f t="shared" si="67"/>
        <v/>
      </c>
      <c r="V491" s="12" t="str">
        <f>IF(Raw_Data!AP494="","",IF(Raw_Data!AP494="oui",1,0))</f>
        <v/>
      </c>
      <c r="W491" s="12" t="str">
        <f>IF(Raw_Data!AQ494="","",IF(Raw_Data!AQ494="oui",1,0))</f>
        <v/>
      </c>
      <c r="X491" s="12" t="str">
        <f>IF(Raw_Data!AR494="","",IF(Raw_Data!AR494="oui",1,0))</f>
        <v/>
      </c>
      <c r="Y491" s="12" t="str">
        <f>IF(Raw_Data!AS494="","",IF(Raw_Data!AS494="oui",1,0))</f>
        <v/>
      </c>
      <c r="Z491" s="12" t="str">
        <f>IF(Raw_Data!V494="","",IF(Raw_Data!V494="oui",1,0))</f>
        <v/>
      </c>
      <c r="AA491" s="12" t="str">
        <f>IF(Raw_Data!W494="","",IF(Raw_Data!W494="oui",1,0))</f>
        <v/>
      </c>
      <c r="AB491" s="12" t="str">
        <f>IF(Raw_Data!Q494="","",IF(Raw_Data!Q494="oui",1,0))</f>
        <v/>
      </c>
      <c r="AC491" s="12">
        <f>Raw_Data!AF494</f>
        <v>0</v>
      </c>
      <c r="AD491" s="12" t="str">
        <f t="shared" si="68"/>
        <v/>
      </c>
      <c r="AE491" s="12" t="str">
        <f t="shared" si="69"/>
        <v/>
      </c>
      <c r="AF491" s="12" t="str">
        <f t="shared" si="70"/>
        <v/>
      </c>
      <c r="AG491" s="12">
        <f t="shared" si="71"/>
        <v>0</v>
      </c>
    </row>
    <row r="492" spans="1:33" ht="15" customHeight="1" x14ac:dyDescent="0.25">
      <c r="A492" s="12" t="str">
        <f>IF(Raw_Data!B495="","",Raw_Data!B495)</f>
        <v/>
      </c>
      <c r="B492" s="12">
        <f>IF(Raw_Data!X495&lt;&gt;"",Raw_Data!X495,Raw_Data!C495)</f>
        <v>0</v>
      </c>
      <c r="C492" s="12" t="str">
        <f>IF(Raw_Data!G495="","",Raw_Data!G495)</f>
        <v/>
      </c>
      <c r="D492" s="12" t="str">
        <f>IF(Raw_Data!H495="","",Raw_Data!H495)</f>
        <v/>
      </c>
      <c r="E492" s="12" t="str">
        <f>IF(Raw_Data!I495="","",Raw_Data!I495)</f>
        <v/>
      </c>
      <c r="F492" s="12" t="str">
        <f>IF(Raw_Data!J495="","",Raw_Data!J495)</f>
        <v/>
      </c>
      <c r="G492" s="12" t="str">
        <f>IF(Raw_Data!AH495&lt;&gt;"",Raw_Data!AH495,IF(Raw_Data!K495&lt;&gt;"",Raw_Data!K495,""))</f>
        <v/>
      </c>
      <c r="H492" s="12" t="str">
        <f>IF(Raw_Data!AI495&lt;&gt;"",Raw_Data!AI495,IF(Raw_Data!L495&lt;&gt;"",Raw_Data!L495,""))</f>
        <v/>
      </c>
      <c r="I492" s="12" t="str">
        <f t="shared" si="63"/>
        <v/>
      </c>
      <c r="J492" s="12" t="str">
        <f>IF(Raw_Data!M495="","",Raw_Data!M495)</f>
        <v/>
      </c>
      <c r="K492" s="12">
        <f>IF(Raw_Data!AJ495&lt;&gt;"",Raw_Data!AJ495,Raw_Data!N495)</f>
        <v>0</v>
      </c>
      <c r="L492" s="12">
        <f t="shared" si="64"/>
        <v>1</v>
      </c>
      <c r="M492" s="12" t="str">
        <f>IF(Raw_Data!AK495="","",Raw_Data!AK495)</f>
        <v/>
      </c>
      <c r="N492" s="12" t="str">
        <f>IF(Raw_Data!T495="","",Raw_Data!T495)</f>
        <v/>
      </c>
      <c r="O492" s="12" t="str">
        <f>IF(Raw_Data!AB495&lt;&gt;"",Raw_Data!AB495,IF(N492="tres_insatisfait",1,IF(N492="insatisfait",2,IF(N492="neutre",3,IF(N492="satisfait",4,IF(N492="tres_satisfait",5,""))))))</f>
        <v/>
      </c>
      <c r="P492" s="12">
        <f>IF(Raw_Data!AL495&lt;&gt;"",Raw_Data!AL495,Raw_Data!R495)</f>
        <v>0</v>
      </c>
      <c r="Q492" s="12">
        <f t="shared" si="65"/>
        <v>0</v>
      </c>
      <c r="R492" s="12" t="str">
        <f>IF(Raw_Data!AM495="","",Raw_Data!AM495)</f>
        <v/>
      </c>
      <c r="S492" s="12" t="str">
        <f t="shared" si="66"/>
        <v/>
      </c>
      <c r="T492" s="12" t="str">
        <f>IF(Raw_Data!AN495="","",Raw_Data!AN495)</f>
        <v/>
      </c>
      <c r="U492" s="12" t="str">
        <f t="shared" si="67"/>
        <v/>
      </c>
      <c r="V492" s="12" t="str">
        <f>IF(Raw_Data!AP495="","",IF(Raw_Data!AP495="oui",1,0))</f>
        <v/>
      </c>
      <c r="W492" s="12" t="str">
        <f>IF(Raw_Data!AQ495="","",IF(Raw_Data!AQ495="oui",1,0))</f>
        <v/>
      </c>
      <c r="X492" s="12" t="str">
        <f>IF(Raw_Data!AR495="","",IF(Raw_Data!AR495="oui",1,0))</f>
        <v/>
      </c>
      <c r="Y492" s="12" t="str">
        <f>IF(Raw_Data!AS495="","",IF(Raw_Data!AS495="oui",1,0))</f>
        <v/>
      </c>
      <c r="Z492" s="12" t="str">
        <f>IF(Raw_Data!V495="","",IF(Raw_Data!V495="oui",1,0))</f>
        <v/>
      </c>
      <c r="AA492" s="12" t="str">
        <f>IF(Raw_Data!W495="","",IF(Raw_Data!W495="oui",1,0))</f>
        <v/>
      </c>
      <c r="AB492" s="12" t="str">
        <f>IF(Raw_Data!Q495="","",IF(Raw_Data!Q495="oui",1,0))</f>
        <v/>
      </c>
      <c r="AC492" s="12">
        <f>Raw_Data!AF495</f>
        <v>0</v>
      </c>
      <c r="AD492" s="12" t="str">
        <f t="shared" si="68"/>
        <v/>
      </c>
      <c r="AE492" s="12" t="str">
        <f t="shared" si="69"/>
        <v/>
      </c>
      <c r="AF492" s="12" t="str">
        <f t="shared" si="70"/>
        <v/>
      </c>
      <c r="AG492" s="12">
        <f t="shared" si="71"/>
        <v>0</v>
      </c>
    </row>
    <row r="493" spans="1:33" ht="15" customHeight="1" x14ac:dyDescent="0.25">
      <c r="A493" s="12" t="str">
        <f>IF(Raw_Data!B496="","",Raw_Data!B496)</f>
        <v/>
      </c>
      <c r="B493" s="12">
        <f>IF(Raw_Data!X496&lt;&gt;"",Raw_Data!X496,Raw_Data!C496)</f>
        <v>0</v>
      </c>
      <c r="C493" s="12" t="str">
        <f>IF(Raw_Data!G496="","",Raw_Data!G496)</f>
        <v/>
      </c>
      <c r="D493" s="12" t="str">
        <f>IF(Raw_Data!H496="","",Raw_Data!H496)</f>
        <v/>
      </c>
      <c r="E493" s="12" t="str">
        <f>IF(Raw_Data!I496="","",Raw_Data!I496)</f>
        <v/>
      </c>
      <c r="F493" s="12" t="str">
        <f>IF(Raw_Data!J496="","",Raw_Data!J496)</f>
        <v/>
      </c>
      <c r="G493" s="12" t="str">
        <f>IF(Raw_Data!AH496&lt;&gt;"",Raw_Data!AH496,IF(Raw_Data!K496&lt;&gt;"",Raw_Data!K496,""))</f>
        <v/>
      </c>
      <c r="H493" s="12" t="str">
        <f>IF(Raw_Data!AI496&lt;&gt;"",Raw_Data!AI496,IF(Raw_Data!L496&lt;&gt;"",Raw_Data!L496,""))</f>
        <v/>
      </c>
      <c r="I493" s="12" t="str">
        <f t="shared" si="63"/>
        <v/>
      </c>
      <c r="J493" s="12" t="str">
        <f>IF(Raw_Data!M496="","",Raw_Data!M496)</f>
        <v/>
      </c>
      <c r="K493" s="12">
        <f>IF(Raw_Data!AJ496&lt;&gt;"",Raw_Data!AJ496,Raw_Data!N496)</f>
        <v>0</v>
      </c>
      <c r="L493" s="12">
        <f t="shared" si="64"/>
        <v>1</v>
      </c>
      <c r="M493" s="12" t="str">
        <f>IF(Raw_Data!AK496="","",Raw_Data!AK496)</f>
        <v/>
      </c>
      <c r="N493" s="12" t="str">
        <f>IF(Raw_Data!T496="","",Raw_Data!T496)</f>
        <v/>
      </c>
      <c r="O493" s="12" t="str">
        <f>IF(Raw_Data!AB496&lt;&gt;"",Raw_Data!AB496,IF(N493="tres_insatisfait",1,IF(N493="insatisfait",2,IF(N493="neutre",3,IF(N493="satisfait",4,IF(N493="tres_satisfait",5,""))))))</f>
        <v/>
      </c>
      <c r="P493" s="12">
        <f>IF(Raw_Data!AL496&lt;&gt;"",Raw_Data!AL496,Raw_Data!R496)</f>
        <v>0</v>
      </c>
      <c r="Q493" s="12">
        <f t="shared" si="65"/>
        <v>0</v>
      </c>
      <c r="R493" s="12" t="str">
        <f>IF(Raw_Data!AM496="","",Raw_Data!AM496)</f>
        <v/>
      </c>
      <c r="S493" s="12" t="str">
        <f t="shared" si="66"/>
        <v/>
      </c>
      <c r="T493" s="12" t="str">
        <f>IF(Raw_Data!AN496="","",Raw_Data!AN496)</f>
        <v/>
      </c>
      <c r="U493" s="12" t="str">
        <f t="shared" si="67"/>
        <v/>
      </c>
      <c r="V493" s="12" t="str">
        <f>IF(Raw_Data!AP496="","",IF(Raw_Data!AP496="oui",1,0))</f>
        <v/>
      </c>
      <c r="W493" s="12" t="str">
        <f>IF(Raw_Data!AQ496="","",IF(Raw_Data!AQ496="oui",1,0))</f>
        <v/>
      </c>
      <c r="X493" s="12" t="str">
        <f>IF(Raw_Data!AR496="","",IF(Raw_Data!AR496="oui",1,0))</f>
        <v/>
      </c>
      <c r="Y493" s="12" t="str">
        <f>IF(Raw_Data!AS496="","",IF(Raw_Data!AS496="oui",1,0))</f>
        <v/>
      </c>
      <c r="Z493" s="12" t="str">
        <f>IF(Raw_Data!V496="","",IF(Raw_Data!V496="oui",1,0))</f>
        <v/>
      </c>
      <c r="AA493" s="12" t="str">
        <f>IF(Raw_Data!W496="","",IF(Raw_Data!W496="oui",1,0))</f>
        <v/>
      </c>
      <c r="AB493" s="12" t="str">
        <f>IF(Raw_Data!Q496="","",IF(Raw_Data!Q496="oui",1,0))</f>
        <v/>
      </c>
      <c r="AC493" s="12">
        <f>Raw_Data!AF496</f>
        <v>0</v>
      </c>
      <c r="AD493" s="12" t="str">
        <f t="shared" si="68"/>
        <v/>
      </c>
      <c r="AE493" s="12" t="str">
        <f t="shared" si="69"/>
        <v/>
      </c>
      <c r="AF493" s="12" t="str">
        <f t="shared" si="70"/>
        <v/>
      </c>
      <c r="AG493" s="12">
        <f t="shared" si="71"/>
        <v>0</v>
      </c>
    </row>
    <row r="494" spans="1:33" ht="15" customHeight="1" x14ac:dyDescent="0.25">
      <c r="A494" s="12" t="str">
        <f>IF(Raw_Data!B497="","",Raw_Data!B497)</f>
        <v/>
      </c>
      <c r="B494" s="12">
        <f>IF(Raw_Data!X497&lt;&gt;"",Raw_Data!X497,Raw_Data!C497)</f>
        <v>0</v>
      </c>
      <c r="C494" s="12" t="str">
        <f>IF(Raw_Data!G497="","",Raw_Data!G497)</f>
        <v/>
      </c>
      <c r="D494" s="12" t="str">
        <f>IF(Raw_Data!H497="","",Raw_Data!H497)</f>
        <v/>
      </c>
      <c r="E494" s="12" t="str">
        <f>IF(Raw_Data!I497="","",Raw_Data!I497)</f>
        <v/>
      </c>
      <c r="F494" s="12" t="str">
        <f>IF(Raw_Data!J497="","",Raw_Data!J497)</f>
        <v/>
      </c>
      <c r="G494" s="12" t="str">
        <f>IF(Raw_Data!AH497&lt;&gt;"",Raw_Data!AH497,IF(Raw_Data!K497&lt;&gt;"",Raw_Data!K497,""))</f>
        <v/>
      </c>
      <c r="H494" s="12" t="str">
        <f>IF(Raw_Data!AI497&lt;&gt;"",Raw_Data!AI497,IF(Raw_Data!L497&lt;&gt;"",Raw_Data!L497,""))</f>
        <v/>
      </c>
      <c r="I494" s="12" t="str">
        <f t="shared" si="63"/>
        <v/>
      </c>
      <c r="J494" s="12" t="str">
        <f>IF(Raw_Data!M497="","",Raw_Data!M497)</f>
        <v/>
      </c>
      <c r="K494" s="12">
        <f>IF(Raw_Data!AJ497&lt;&gt;"",Raw_Data!AJ497,Raw_Data!N497)</f>
        <v>0</v>
      </c>
      <c r="L494" s="12">
        <f t="shared" si="64"/>
        <v>1</v>
      </c>
      <c r="M494" s="12" t="str">
        <f>IF(Raw_Data!AK497="","",Raw_Data!AK497)</f>
        <v/>
      </c>
      <c r="N494" s="12" t="str">
        <f>IF(Raw_Data!T497="","",Raw_Data!T497)</f>
        <v/>
      </c>
      <c r="O494" s="12" t="str">
        <f>IF(Raw_Data!AB497&lt;&gt;"",Raw_Data!AB497,IF(N494="tres_insatisfait",1,IF(N494="insatisfait",2,IF(N494="neutre",3,IF(N494="satisfait",4,IF(N494="tres_satisfait",5,""))))))</f>
        <v/>
      </c>
      <c r="P494" s="12">
        <f>IF(Raw_Data!AL497&lt;&gt;"",Raw_Data!AL497,Raw_Data!R497)</f>
        <v>0</v>
      </c>
      <c r="Q494" s="12">
        <f t="shared" si="65"/>
        <v>0</v>
      </c>
      <c r="R494" s="12" t="str">
        <f>IF(Raw_Data!AM497="","",Raw_Data!AM497)</f>
        <v/>
      </c>
      <c r="S494" s="12" t="str">
        <f t="shared" si="66"/>
        <v/>
      </c>
      <c r="T494" s="12" t="str">
        <f>IF(Raw_Data!AN497="","",Raw_Data!AN497)</f>
        <v/>
      </c>
      <c r="U494" s="12" t="str">
        <f t="shared" si="67"/>
        <v/>
      </c>
      <c r="V494" s="12" t="str">
        <f>IF(Raw_Data!AP497="","",IF(Raw_Data!AP497="oui",1,0))</f>
        <v/>
      </c>
      <c r="W494" s="12" t="str">
        <f>IF(Raw_Data!AQ497="","",IF(Raw_Data!AQ497="oui",1,0))</f>
        <v/>
      </c>
      <c r="X494" s="12" t="str">
        <f>IF(Raw_Data!AR497="","",IF(Raw_Data!AR497="oui",1,0))</f>
        <v/>
      </c>
      <c r="Y494" s="12" t="str">
        <f>IF(Raw_Data!AS497="","",IF(Raw_Data!AS497="oui",1,0))</f>
        <v/>
      </c>
      <c r="Z494" s="12" t="str">
        <f>IF(Raw_Data!V497="","",IF(Raw_Data!V497="oui",1,0))</f>
        <v/>
      </c>
      <c r="AA494" s="12" t="str">
        <f>IF(Raw_Data!W497="","",IF(Raw_Data!W497="oui",1,0))</f>
        <v/>
      </c>
      <c r="AB494" s="12" t="str">
        <f>IF(Raw_Data!Q497="","",IF(Raw_Data!Q497="oui",1,0))</f>
        <v/>
      </c>
      <c r="AC494" s="12">
        <f>Raw_Data!AF497</f>
        <v>0</v>
      </c>
      <c r="AD494" s="12" t="str">
        <f t="shared" si="68"/>
        <v/>
      </c>
      <c r="AE494" s="12" t="str">
        <f t="shared" si="69"/>
        <v/>
      </c>
      <c r="AF494" s="12" t="str">
        <f t="shared" si="70"/>
        <v/>
      </c>
      <c r="AG494" s="12">
        <f t="shared" si="71"/>
        <v>0</v>
      </c>
    </row>
    <row r="495" spans="1:33" ht="15" customHeight="1" x14ac:dyDescent="0.25">
      <c r="A495" s="12" t="str">
        <f>IF(Raw_Data!B498="","",Raw_Data!B498)</f>
        <v/>
      </c>
      <c r="B495" s="12">
        <f>IF(Raw_Data!X498&lt;&gt;"",Raw_Data!X498,Raw_Data!C498)</f>
        <v>0</v>
      </c>
      <c r="C495" s="12" t="str">
        <f>IF(Raw_Data!G498="","",Raw_Data!G498)</f>
        <v/>
      </c>
      <c r="D495" s="12" t="str">
        <f>IF(Raw_Data!H498="","",Raw_Data!H498)</f>
        <v/>
      </c>
      <c r="E495" s="12" t="str">
        <f>IF(Raw_Data!I498="","",Raw_Data!I498)</f>
        <v/>
      </c>
      <c r="F495" s="12" t="str">
        <f>IF(Raw_Data!J498="","",Raw_Data!J498)</f>
        <v/>
      </c>
      <c r="G495" s="12" t="str">
        <f>IF(Raw_Data!AH498&lt;&gt;"",Raw_Data!AH498,IF(Raw_Data!K498&lt;&gt;"",Raw_Data!K498,""))</f>
        <v/>
      </c>
      <c r="H495" s="12" t="str">
        <f>IF(Raw_Data!AI498&lt;&gt;"",Raw_Data!AI498,IF(Raw_Data!L498&lt;&gt;"",Raw_Data!L498,""))</f>
        <v/>
      </c>
      <c r="I495" s="12" t="str">
        <f t="shared" si="63"/>
        <v/>
      </c>
      <c r="J495" s="12" t="str">
        <f>IF(Raw_Data!M498="","",Raw_Data!M498)</f>
        <v/>
      </c>
      <c r="K495" s="12">
        <f>IF(Raw_Data!AJ498&lt;&gt;"",Raw_Data!AJ498,Raw_Data!N498)</f>
        <v>0</v>
      </c>
      <c r="L495" s="12">
        <f t="shared" si="64"/>
        <v>1</v>
      </c>
      <c r="M495" s="12" t="str">
        <f>IF(Raw_Data!AK498="","",Raw_Data!AK498)</f>
        <v/>
      </c>
      <c r="N495" s="12" t="str">
        <f>IF(Raw_Data!T498="","",Raw_Data!T498)</f>
        <v/>
      </c>
      <c r="O495" s="12" t="str">
        <f>IF(Raw_Data!AB498&lt;&gt;"",Raw_Data!AB498,IF(N495="tres_insatisfait",1,IF(N495="insatisfait",2,IF(N495="neutre",3,IF(N495="satisfait",4,IF(N495="tres_satisfait",5,""))))))</f>
        <v/>
      </c>
      <c r="P495" s="12">
        <f>IF(Raw_Data!AL498&lt;&gt;"",Raw_Data!AL498,Raw_Data!R498)</f>
        <v>0</v>
      </c>
      <c r="Q495" s="12">
        <f t="shared" si="65"/>
        <v>0</v>
      </c>
      <c r="R495" s="12" t="str">
        <f>IF(Raw_Data!AM498="","",Raw_Data!AM498)</f>
        <v/>
      </c>
      <c r="S495" s="12" t="str">
        <f t="shared" si="66"/>
        <v/>
      </c>
      <c r="T495" s="12" t="str">
        <f>IF(Raw_Data!AN498="","",Raw_Data!AN498)</f>
        <v/>
      </c>
      <c r="U495" s="12" t="str">
        <f t="shared" si="67"/>
        <v/>
      </c>
      <c r="V495" s="12" t="str">
        <f>IF(Raw_Data!AP498="","",IF(Raw_Data!AP498="oui",1,0))</f>
        <v/>
      </c>
      <c r="W495" s="12" t="str">
        <f>IF(Raw_Data!AQ498="","",IF(Raw_Data!AQ498="oui",1,0))</f>
        <v/>
      </c>
      <c r="X495" s="12" t="str">
        <f>IF(Raw_Data!AR498="","",IF(Raw_Data!AR498="oui",1,0))</f>
        <v/>
      </c>
      <c r="Y495" s="12" t="str">
        <f>IF(Raw_Data!AS498="","",IF(Raw_Data!AS498="oui",1,0))</f>
        <v/>
      </c>
      <c r="Z495" s="12" t="str">
        <f>IF(Raw_Data!V498="","",IF(Raw_Data!V498="oui",1,0))</f>
        <v/>
      </c>
      <c r="AA495" s="12" t="str">
        <f>IF(Raw_Data!W498="","",IF(Raw_Data!W498="oui",1,0))</f>
        <v/>
      </c>
      <c r="AB495" s="12" t="str">
        <f>IF(Raw_Data!Q498="","",IF(Raw_Data!Q498="oui",1,0))</f>
        <v/>
      </c>
      <c r="AC495" s="12">
        <f>Raw_Data!AF498</f>
        <v>0</v>
      </c>
      <c r="AD495" s="12" t="str">
        <f t="shared" si="68"/>
        <v/>
      </c>
      <c r="AE495" s="12" t="str">
        <f t="shared" si="69"/>
        <v/>
      </c>
      <c r="AF495" s="12" t="str">
        <f t="shared" si="70"/>
        <v/>
      </c>
      <c r="AG495" s="12">
        <f t="shared" si="71"/>
        <v>0</v>
      </c>
    </row>
    <row r="496" spans="1:33" ht="15" customHeight="1" x14ac:dyDescent="0.25">
      <c r="A496" s="12" t="str">
        <f>IF(Raw_Data!B499="","",Raw_Data!B499)</f>
        <v/>
      </c>
      <c r="B496" s="12">
        <f>IF(Raw_Data!X499&lt;&gt;"",Raw_Data!X499,Raw_Data!C499)</f>
        <v>0</v>
      </c>
      <c r="C496" s="12" t="str">
        <f>IF(Raw_Data!G499="","",Raw_Data!G499)</f>
        <v/>
      </c>
      <c r="D496" s="12" t="str">
        <f>IF(Raw_Data!H499="","",Raw_Data!H499)</f>
        <v/>
      </c>
      <c r="E496" s="12" t="str">
        <f>IF(Raw_Data!I499="","",Raw_Data!I499)</f>
        <v/>
      </c>
      <c r="F496" s="12" t="str">
        <f>IF(Raw_Data!J499="","",Raw_Data!J499)</f>
        <v/>
      </c>
      <c r="G496" s="12" t="str">
        <f>IF(Raw_Data!AH499&lt;&gt;"",Raw_Data!AH499,IF(Raw_Data!K499&lt;&gt;"",Raw_Data!K499,""))</f>
        <v/>
      </c>
      <c r="H496" s="12" t="str">
        <f>IF(Raw_Data!AI499&lt;&gt;"",Raw_Data!AI499,IF(Raw_Data!L499&lt;&gt;"",Raw_Data!L499,""))</f>
        <v/>
      </c>
      <c r="I496" s="12" t="str">
        <f t="shared" si="63"/>
        <v/>
      </c>
      <c r="J496" s="12" t="str">
        <f>IF(Raw_Data!M499="","",Raw_Data!M499)</f>
        <v/>
      </c>
      <c r="K496" s="12">
        <f>IF(Raw_Data!AJ499&lt;&gt;"",Raw_Data!AJ499,Raw_Data!N499)</f>
        <v>0</v>
      </c>
      <c r="L496" s="12">
        <f t="shared" si="64"/>
        <v>1</v>
      </c>
      <c r="M496" s="12" t="str">
        <f>IF(Raw_Data!AK499="","",Raw_Data!AK499)</f>
        <v/>
      </c>
      <c r="N496" s="12" t="str">
        <f>IF(Raw_Data!T499="","",Raw_Data!T499)</f>
        <v/>
      </c>
      <c r="O496" s="12" t="str">
        <f>IF(Raw_Data!AB499&lt;&gt;"",Raw_Data!AB499,IF(N496="tres_insatisfait",1,IF(N496="insatisfait",2,IF(N496="neutre",3,IF(N496="satisfait",4,IF(N496="tres_satisfait",5,""))))))</f>
        <v/>
      </c>
      <c r="P496" s="12">
        <f>IF(Raw_Data!AL499&lt;&gt;"",Raw_Data!AL499,Raw_Data!R499)</f>
        <v>0</v>
      </c>
      <c r="Q496" s="12">
        <f t="shared" si="65"/>
        <v>0</v>
      </c>
      <c r="R496" s="12" t="str">
        <f>IF(Raw_Data!AM499="","",Raw_Data!AM499)</f>
        <v/>
      </c>
      <c r="S496" s="12" t="str">
        <f t="shared" si="66"/>
        <v/>
      </c>
      <c r="T496" s="12" t="str">
        <f>IF(Raw_Data!AN499="","",Raw_Data!AN499)</f>
        <v/>
      </c>
      <c r="U496" s="12" t="str">
        <f t="shared" si="67"/>
        <v/>
      </c>
      <c r="V496" s="12" t="str">
        <f>IF(Raw_Data!AP499="","",IF(Raw_Data!AP499="oui",1,0))</f>
        <v/>
      </c>
      <c r="W496" s="12" t="str">
        <f>IF(Raw_Data!AQ499="","",IF(Raw_Data!AQ499="oui",1,0))</f>
        <v/>
      </c>
      <c r="X496" s="12" t="str">
        <f>IF(Raw_Data!AR499="","",IF(Raw_Data!AR499="oui",1,0))</f>
        <v/>
      </c>
      <c r="Y496" s="12" t="str">
        <f>IF(Raw_Data!AS499="","",IF(Raw_Data!AS499="oui",1,0))</f>
        <v/>
      </c>
      <c r="Z496" s="12" t="str">
        <f>IF(Raw_Data!V499="","",IF(Raw_Data!V499="oui",1,0))</f>
        <v/>
      </c>
      <c r="AA496" s="12" t="str">
        <f>IF(Raw_Data!W499="","",IF(Raw_Data!W499="oui",1,0))</f>
        <v/>
      </c>
      <c r="AB496" s="12" t="str">
        <f>IF(Raw_Data!Q499="","",IF(Raw_Data!Q499="oui",1,0))</f>
        <v/>
      </c>
      <c r="AC496" s="12">
        <f>Raw_Data!AF499</f>
        <v>0</v>
      </c>
      <c r="AD496" s="12" t="str">
        <f t="shared" si="68"/>
        <v/>
      </c>
      <c r="AE496" s="12" t="str">
        <f t="shared" si="69"/>
        <v/>
      </c>
      <c r="AF496" s="12" t="str">
        <f t="shared" si="70"/>
        <v/>
      </c>
      <c r="AG496" s="12">
        <f t="shared" si="71"/>
        <v>0</v>
      </c>
    </row>
    <row r="497" spans="1:33" ht="15" customHeight="1" x14ac:dyDescent="0.25">
      <c r="A497" s="12" t="str">
        <f>IF(Raw_Data!B500="","",Raw_Data!B500)</f>
        <v/>
      </c>
      <c r="B497" s="12">
        <f>IF(Raw_Data!X500&lt;&gt;"",Raw_Data!X500,Raw_Data!C500)</f>
        <v>0</v>
      </c>
      <c r="C497" s="12" t="str">
        <f>IF(Raw_Data!G500="","",Raw_Data!G500)</f>
        <v/>
      </c>
      <c r="D497" s="12" t="str">
        <f>IF(Raw_Data!H500="","",Raw_Data!H500)</f>
        <v/>
      </c>
      <c r="E497" s="12" t="str">
        <f>IF(Raw_Data!I500="","",Raw_Data!I500)</f>
        <v/>
      </c>
      <c r="F497" s="12" t="str">
        <f>IF(Raw_Data!J500="","",Raw_Data!J500)</f>
        <v/>
      </c>
      <c r="G497" s="12" t="str">
        <f>IF(Raw_Data!AH500&lt;&gt;"",Raw_Data!AH500,IF(Raw_Data!K500&lt;&gt;"",Raw_Data!K500,""))</f>
        <v/>
      </c>
      <c r="H497" s="12" t="str">
        <f>IF(Raw_Data!AI500&lt;&gt;"",Raw_Data!AI500,IF(Raw_Data!L500&lt;&gt;"",Raw_Data!L500,""))</f>
        <v/>
      </c>
      <c r="I497" s="12" t="str">
        <f t="shared" si="63"/>
        <v/>
      </c>
      <c r="J497" s="12" t="str">
        <f>IF(Raw_Data!M500="","",Raw_Data!M500)</f>
        <v/>
      </c>
      <c r="K497" s="12">
        <f>IF(Raw_Data!AJ500&lt;&gt;"",Raw_Data!AJ500,Raw_Data!N500)</f>
        <v>0</v>
      </c>
      <c r="L497" s="12">
        <f t="shared" si="64"/>
        <v>1</v>
      </c>
      <c r="M497" s="12" t="str">
        <f>IF(Raw_Data!AK500="","",Raw_Data!AK500)</f>
        <v/>
      </c>
      <c r="N497" s="12" t="str">
        <f>IF(Raw_Data!T500="","",Raw_Data!T500)</f>
        <v/>
      </c>
      <c r="O497" s="12" t="str">
        <f>IF(Raw_Data!AB500&lt;&gt;"",Raw_Data!AB500,IF(N497="tres_insatisfait",1,IF(N497="insatisfait",2,IF(N497="neutre",3,IF(N497="satisfait",4,IF(N497="tres_satisfait",5,""))))))</f>
        <v/>
      </c>
      <c r="P497" s="12">
        <f>IF(Raw_Data!AL500&lt;&gt;"",Raw_Data!AL500,Raw_Data!R500)</f>
        <v>0</v>
      </c>
      <c r="Q497" s="12">
        <f t="shared" si="65"/>
        <v>0</v>
      </c>
      <c r="R497" s="12" t="str">
        <f>IF(Raw_Data!AM500="","",Raw_Data!AM500)</f>
        <v/>
      </c>
      <c r="S497" s="12" t="str">
        <f t="shared" si="66"/>
        <v/>
      </c>
      <c r="T497" s="12" t="str">
        <f>IF(Raw_Data!AN500="","",Raw_Data!AN500)</f>
        <v/>
      </c>
      <c r="U497" s="12" t="str">
        <f t="shared" si="67"/>
        <v/>
      </c>
      <c r="V497" s="12" t="str">
        <f>IF(Raw_Data!AP500="","",IF(Raw_Data!AP500="oui",1,0))</f>
        <v/>
      </c>
      <c r="W497" s="12" t="str">
        <f>IF(Raw_Data!AQ500="","",IF(Raw_Data!AQ500="oui",1,0))</f>
        <v/>
      </c>
      <c r="X497" s="12" t="str">
        <f>IF(Raw_Data!AR500="","",IF(Raw_Data!AR500="oui",1,0))</f>
        <v/>
      </c>
      <c r="Y497" s="12" t="str">
        <f>IF(Raw_Data!AS500="","",IF(Raw_Data!AS500="oui",1,0))</f>
        <v/>
      </c>
      <c r="Z497" s="12" t="str">
        <f>IF(Raw_Data!V500="","",IF(Raw_Data!V500="oui",1,0))</f>
        <v/>
      </c>
      <c r="AA497" s="12" t="str">
        <f>IF(Raw_Data!W500="","",IF(Raw_Data!W500="oui",1,0))</f>
        <v/>
      </c>
      <c r="AB497" s="12" t="str">
        <f>IF(Raw_Data!Q500="","",IF(Raw_Data!Q500="oui",1,0))</f>
        <v/>
      </c>
      <c r="AC497" s="12">
        <f>Raw_Data!AF500</f>
        <v>0</v>
      </c>
      <c r="AD497" s="12" t="str">
        <f t="shared" si="68"/>
        <v/>
      </c>
      <c r="AE497" s="12" t="str">
        <f t="shared" si="69"/>
        <v/>
      </c>
      <c r="AF497" s="12" t="str">
        <f t="shared" si="70"/>
        <v/>
      </c>
      <c r="AG497" s="12">
        <f t="shared" si="71"/>
        <v>0</v>
      </c>
    </row>
    <row r="498" spans="1:33" ht="15" customHeight="1" x14ac:dyDescent="0.25">
      <c r="A498" s="12" t="str">
        <f>IF(Raw_Data!B501="","",Raw_Data!B501)</f>
        <v/>
      </c>
      <c r="B498" s="12">
        <f>IF(Raw_Data!X501&lt;&gt;"",Raw_Data!X501,Raw_Data!C501)</f>
        <v>0</v>
      </c>
      <c r="C498" s="12" t="str">
        <f>IF(Raw_Data!G501="","",Raw_Data!G501)</f>
        <v/>
      </c>
      <c r="D498" s="12" t="str">
        <f>IF(Raw_Data!H501="","",Raw_Data!H501)</f>
        <v/>
      </c>
      <c r="E498" s="12" t="str">
        <f>IF(Raw_Data!I501="","",Raw_Data!I501)</f>
        <v/>
      </c>
      <c r="F498" s="12" t="str">
        <f>IF(Raw_Data!J501="","",Raw_Data!J501)</f>
        <v/>
      </c>
      <c r="G498" s="12" t="str">
        <f>IF(Raw_Data!AH501&lt;&gt;"",Raw_Data!AH501,IF(Raw_Data!K501&lt;&gt;"",Raw_Data!K501,""))</f>
        <v/>
      </c>
      <c r="H498" s="12" t="str">
        <f>IF(Raw_Data!AI501&lt;&gt;"",Raw_Data!AI501,IF(Raw_Data!L501&lt;&gt;"",Raw_Data!L501,""))</f>
        <v/>
      </c>
      <c r="I498" s="12" t="str">
        <f t="shared" si="63"/>
        <v/>
      </c>
      <c r="J498" s="12" t="str">
        <f>IF(Raw_Data!M501="","",Raw_Data!M501)</f>
        <v/>
      </c>
      <c r="K498" s="12">
        <f>IF(Raw_Data!AJ501&lt;&gt;"",Raw_Data!AJ501,Raw_Data!N501)</f>
        <v>0</v>
      </c>
      <c r="L498" s="12">
        <f t="shared" si="64"/>
        <v>1</v>
      </c>
      <c r="M498" s="12" t="str">
        <f>IF(Raw_Data!AK501="","",Raw_Data!AK501)</f>
        <v/>
      </c>
      <c r="N498" s="12" t="str">
        <f>IF(Raw_Data!T501="","",Raw_Data!T501)</f>
        <v/>
      </c>
      <c r="O498" s="12" t="str">
        <f>IF(Raw_Data!AB501&lt;&gt;"",Raw_Data!AB501,IF(N498="tres_insatisfait",1,IF(N498="insatisfait",2,IF(N498="neutre",3,IF(N498="satisfait",4,IF(N498="tres_satisfait",5,""))))))</f>
        <v/>
      </c>
      <c r="P498" s="12">
        <f>IF(Raw_Data!AL501&lt;&gt;"",Raw_Data!AL501,Raw_Data!R501)</f>
        <v>0</v>
      </c>
      <c r="Q498" s="12">
        <f t="shared" si="65"/>
        <v>0</v>
      </c>
      <c r="R498" s="12" t="str">
        <f>IF(Raw_Data!AM501="","",Raw_Data!AM501)</f>
        <v/>
      </c>
      <c r="S498" s="12" t="str">
        <f t="shared" si="66"/>
        <v/>
      </c>
      <c r="T498" s="12" t="str">
        <f>IF(Raw_Data!AN501="","",Raw_Data!AN501)</f>
        <v/>
      </c>
      <c r="U498" s="12" t="str">
        <f t="shared" si="67"/>
        <v/>
      </c>
      <c r="V498" s="12" t="str">
        <f>IF(Raw_Data!AP501="","",IF(Raw_Data!AP501="oui",1,0))</f>
        <v/>
      </c>
      <c r="W498" s="12" t="str">
        <f>IF(Raw_Data!AQ501="","",IF(Raw_Data!AQ501="oui",1,0))</f>
        <v/>
      </c>
      <c r="X498" s="12" t="str">
        <f>IF(Raw_Data!AR501="","",IF(Raw_Data!AR501="oui",1,0))</f>
        <v/>
      </c>
      <c r="Y498" s="12" t="str">
        <f>IF(Raw_Data!AS501="","",IF(Raw_Data!AS501="oui",1,0))</f>
        <v/>
      </c>
      <c r="Z498" s="12" t="str">
        <f>IF(Raw_Data!V501="","",IF(Raw_Data!V501="oui",1,0))</f>
        <v/>
      </c>
      <c r="AA498" s="12" t="str">
        <f>IF(Raw_Data!W501="","",IF(Raw_Data!W501="oui",1,0))</f>
        <v/>
      </c>
      <c r="AB498" s="12" t="str">
        <f>IF(Raw_Data!Q501="","",IF(Raw_Data!Q501="oui",1,0))</f>
        <v/>
      </c>
      <c r="AC498" s="12">
        <f>Raw_Data!AF501</f>
        <v>0</v>
      </c>
      <c r="AD498" s="12" t="str">
        <f t="shared" si="68"/>
        <v/>
      </c>
      <c r="AE498" s="12" t="str">
        <f t="shared" si="69"/>
        <v/>
      </c>
      <c r="AF498" s="12" t="str">
        <f t="shared" si="70"/>
        <v/>
      </c>
      <c r="AG498" s="12">
        <f t="shared" si="71"/>
        <v>0</v>
      </c>
    </row>
    <row r="499" spans="1:33" ht="15" customHeight="1" x14ac:dyDescent="0.25">
      <c r="A499" s="12" t="str">
        <f>IF(Raw_Data!B502="","",Raw_Data!B502)</f>
        <v/>
      </c>
      <c r="B499" s="12">
        <f>IF(Raw_Data!X502&lt;&gt;"",Raw_Data!X502,Raw_Data!C502)</f>
        <v>0</v>
      </c>
      <c r="C499" s="12" t="str">
        <f>IF(Raw_Data!G502="","",Raw_Data!G502)</f>
        <v/>
      </c>
      <c r="D499" s="12" t="str">
        <f>IF(Raw_Data!H502="","",Raw_Data!H502)</f>
        <v/>
      </c>
      <c r="E499" s="12" t="str">
        <f>IF(Raw_Data!I502="","",Raw_Data!I502)</f>
        <v/>
      </c>
      <c r="F499" s="12" t="str">
        <f>IF(Raw_Data!J502="","",Raw_Data!J502)</f>
        <v/>
      </c>
      <c r="G499" s="12" t="str">
        <f>IF(Raw_Data!AH502&lt;&gt;"",Raw_Data!AH502,IF(Raw_Data!K502&lt;&gt;"",Raw_Data!K502,""))</f>
        <v/>
      </c>
      <c r="H499" s="12" t="str">
        <f>IF(Raw_Data!AI502&lt;&gt;"",Raw_Data!AI502,IF(Raw_Data!L502&lt;&gt;"",Raw_Data!L502,""))</f>
        <v/>
      </c>
      <c r="I499" s="12" t="str">
        <f t="shared" si="63"/>
        <v/>
      </c>
      <c r="J499" s="12" t="str">
        <f>IF(Raw_Data!M502="","",Raw_Data!M502)</f>
        <v/>
      </c>
      <c r="K499" s="12">
        <f>IF(Raw_Data!AJ502&lt;&gt;"",Raw_Data!AJ502,Raw_Data!N502)</f>
        <v>0</v>
      </c>
      <c r="L499" s="12">
        <f t="shared" si="64"/>
        <v>1</v>
      </c>
      <c r="M499" s="12" t="str">
        <f>IF(Raw_Data!AK502="","",Raw_Data!AK502)</f>
        <v/>
      </c>
      <c r="N499" s="12" t="str">
        <f>IF(Raw_Data!T502="","",Raw_Data!T502)</f>
        <v/>
      </c>
      <c r="O499" s="12" t="str">
        <f>IF(Raw_Data!AB502&lt;&gt;"",Raw_Data!AB502,IF(N499="tres_insatisfait",1,IF(N499="insatisfait",2,IF(N499="neutre",3,IF(N499="satisfait",4,IF(N499="tres_satisfait",5,""))))))</f>
        <v/>
      </c>
      <c r="P499" s="12">
        <f>IF(Raw_Data!AL502&lt;&gt;"",Raw_Data!AL502,Raw_Data!R502)</f>
        <v>0</v>
      </c>
      <c r="Q499" s="12">
        <f t="shared" si="65"/>
        <v>0</v>
      </c>
      <c r="R499" s="12" t="str">
        <f>IF(Raw_Data!AM502="","",Raw_Data!AM502)</f>
        <v/>
      </c>
      <c r="S499" s="12" t="str">
        <f t="shared" si="66"/>
        <v/>
      </c>
      <c r="T499" s="12" t="str">
        <f>IF(Raw_Data!AN502="","",Raw_Data!AN502)</f>
        <v/>
      </c>
      <c r="U499" s="12" t="str">
        <f t="shared" si="67"/>
        <v/>
      </c>
      <c r="V499" s="12" t="str">
        <f>IF(Raw_Data!AP502="","",IF(Raw_Data!AP502="oui",1,0))</f>
        <v/>
      </c>
      <c r="W499" s="12" t="str">
        <f>IF(Raw_Data!AQ502="","",IF(Raw_Data!AQ502="oui",1,0))</f>
        <v/>
      </c>
      <c r="X499" s="12" t="str">
        <f>IF(Raw_Data!AR502="","",IF(Raw_Data!AR502="oui",1,0))</f>
        <v/>
      </c>
      <c r="Y499" s="12" t="str">
        <f>IF(Raw_Data!AS502="","",IF(Raw_Data!AS502="oui",1,0))</f>
        <v/>
      </c>
      <c r="Z499" s="12" t="str">
        <f>IF(Raw_Data!V502="","",IF(Raw_Data!V502="oui",1,0))</f>
        <v/>
      </c>
      <c r="AA499" s="12" t="str">
        <f>IF(Raw_Data!W502="","",IF(Raw_Data!W502="oui",1,0))</f>
        <v/>
      </c>
      <c r="AB499" s="12" t="str">
        <f>IF(Raw_Data!Q502="","",IF(Raw_Data!Q502="oui",1,0))</f>
        <v/>
      </c>
      <c r="AC499" s="12">
        <f>Raw_Data!AF502</f>
        <v>0</v>
      </c>
      <c r="AD499" s="12" t="str">
        <f t="shared" si="68"/>
        <v/>
      </c>
      <c r="AE499" s="12" t="str">
        <f t="shared" si="69"/>
        <v/>
      </c>
      <c r="AF499" s="12" t="str">
        <f t="shared" si="70"/>
        <v/>
      </c>
      <c r="AG499" s="12">
        <f t="shared" si="71"/>
        <v>0</v>
      </c>
    </row>
    <row r="500" spans="1:33" ht="15" customHeight="1" x14ac:dyDescent="0.25">
      <c r="A500" s="12" t="str">
        <f>IF(Raw_Data!B503="","",Raw_Data!B503)</f>
        <v/>
      </c>
      <c r="B500" s="12">
        <f>IF(Raw_Data!X503&lt;&gt;"",Raw_Data!X503,Raw_Data!C503)</f>
        <v>0</v>
      </c>
      <c r="C500" s="12" t="str">
        <f>IF(Raw_Data!G503="","",Raw_Data!G503)</f>
        <v/>
      </c>
      <c r="D500" s="12" t="str">
        <f>IF(Raw_Data!H503="","",Raw_Data!H503)</f>
        <v/>
      </c>
      <c r="E500" s="12" t="str">
        <f>IF(Raw_Data!I503="","",Raw_Data!I503)</f>
        <v/>
      </c>
      <c r="F500" s="12" t="str">
        <f>IF(Raw_Data!J503="","",Raw_Data!J503)</f>
        <v/>
      </c>
      <c r="G500" s="12" t="str">
        <f>IF(Raw_Data!AH503&lt;&gt;"",Raw_Data!AH503,IF(Raw_Data!K503&lt;&gt;"",Raw_Data!K503,""))</f>
        <v/>
      </c>
      <c r="H500" s="12" t="str">
        <f>IF(Raw_Data!AI503&lt;&gt;"",Raw_Data!AI503,IF(Raw_Data!L503&lt;&gt;"",Raw_Data!L503,""))</f>
        <v/>
      </c>
      <c r="I500" s="12" t="str">
        <f t="shared" si="63"/>
        <v/>
      </c>
      <c r="J500" s="12" t="str">
        <f>IF(Raw_Data!M503="","",Raw_Data!M503)</f>
        <v/>
      </c>
      <c r="K500" s="12">
        <f>IF(Raw_Data!AJ503&lt;&gt;"",Raw_Data!AJ503,Raw_Data!N503)</f>
        <v>0</v>
      </c>
      <c r="L500" s="12">
        <f t="shared" si="64"/>
        <v>1</v>
      </c>
      <c r="M500" s="12" t="str">
        <f>IF(Raw_Data!AK503="","",Raw_Data!AK503)</f>
        <v/>
      </c>
      <c r="N500" s="12" t="str">
        <f>IF(Raw_Data!T503="","",Raw_Data!T503)</f>
        <v/>
      </c>
      <c r="O500" s="12" t="str">
        <f>IF(Raw_Data!AB503&lt;&gt;"",Raw_Data!AB503,IF(N500="tres_insatisfait",1,IF(N500="insatisfait",2,IF(N500="neutre",3,IF(N500="satisfait",4,IF(N500="tres_satisfait",5,""))))))</f>
        <v/>
      </c>
      <c r="P500" s="12">
        <f>IF(Raw_Data!AL503&lt;&gt;"",Raw_Data!AL503,Raw_Data!R503)</f>
        <v>0</v>
      </c>
      <c r="Q500" s="12">
        <f t="shared" si="65"/>
        <v>0</v>
      </c>
      <c r="R500" s="12" t="str">
        <f>IF(Raw_Data!AM503="","",Raw_Data!AM503)</f>
        <v/>
      </c>
      <c r="S500" s="12" t="str">
        <f t="shared" si="66"/>
        <v/>
      </c>
      <c r="T500" s="12" t="str">
        <f>IF(Raw_Data!AN503="","",Raw_Data!AN503)</f>
        <v/>
      </c>
      <c r="U500" s="12" t="str">
        <f t="shared" si="67"/>
        <v/>
      </c>
      <c r="V500" s="12" t="str">
        <f>IF(Raw_Data!AP503="","",IF(Raw_Data!AP503="oui",1,0))</f>
        <v/>
      </c>
      <c r="W500" s="12" t="str">
        <f>IF(Raw_Data!AQ503="","",IF(Raw_Data!AQ503="oui",1,0))</f>
        <v/>
      </c>
      <c r="X500" s="12" t="str">
        <f>IF(Raw_Data!AR503="","",IF(Raw_Data!AR503="oui",1,0))</f>
        <v/>
      </c>
      <c r="Y500" s="12" t="str">
        <f>IF(Raw_Data!AS503="","",IF(Raw_Data!AS503="oui",1,0))</f>
        <v/>
      </c>
      <c r="Z500" s="12" t="str">
        <f>IF(Raw_Data!V503="","",IF(Raw_Data!V503="oui",1,0))</f>
        <v/>
      </c>
      <c r="AA500" s="12" t="str">
        <f>IF(Raw_Data!W503="","",IF(Raw_Data!W503="oui",1,0))</f>
        <v/>
      </c>
      <c r="AB500" s="12" t="str">
        <f>IF(Raw_Data!Q503="","",IF(Raw_Data!Q503="oui",1,0))</f>
        <v/>
      </c>
      <c r="AC500" s="12">
        <f>Raw_Data!AF503</f>
        <v>0</v>
      </c>
      <c r="AD500" s="12" t="str">
        <f t="shared" si="68"/>
        <v/>
      </c>
      <c r="AE500" s="12" t="str">
        <f t="shared" si="69"/>
        <v/>
      </c>
      <c r="AF500" s="12" t="str">
        <f t="shared" si="70"/>
        <v/>
      </c>
      <c r="AG500" s="12">
        <f t="shared" si="71"/>
        <v>0</v>
      </c>
    </row>
    <row r="501" spans="1:33" ht="15" customHeight="1" x14ac:dyDescent="0.25">
      <c r="A501" s="12" t="str">
        <f>IF(Raw_Data!B504="","",Raw_Data!B504)</f>
        <v/>
      </c>
      <c r="B501" s="12">
        <f>IF(Raw_Data!X504&lt;&gt;"",Raw_Data!X504,Raw_Data!C504)</f>
        <v>0</v>
      </c>
      <c r="C501" s="12" t="str">
        <f>IF(Raw_Data!G504="","",Raw_Data!G504)</f>
        <v/>
      </c>
      <c r="D501" s="12" t="str">
        <f>IF(Raw_Data!H504="","",Raw_Data!H504)</f>
        <v/>
      </c>
      <c r="E501" s="12" t="str">
        <f>IF(Raw_Data!I504="","",Raw_Data!I504)</f>
        <v/>
      </c>
      <c r="F501" s="12" t="str">
        <f>IF(Raw_Data!J504="","",Raw_Data!J504)</f>
        <v/>
      </c>
      <c r="G501" s="12" t="str">
        <f>IF(Raw_Data!AH504&lt;&gt;"",Raw_Data!AH504,IF(Raw_Data!K504&lt;&gt;"",Raw_Data!K504,""))</f>
        <v/>
      </c>
      <c r="H501" s="12" t="str">
        <f>IF(Raw_Data!AI504&lt;&gt;"",Raw_Data!AI504,IF(Raw_Data!L504&lt;&gt;"",Raw_Data!L504,""))</f>
        <v/>
      </c>
      <c r="I501" s="12" t="str">
        <f t="shared" si="63"/>
        <v/>
      </c>
      <c r="J501" s="12" t="str">
        <f>IF(Raw_Data!M504="","",Raw_Data!M504)</f>
        <v/>
      </c>
      <c r="K501" s="12">
        <f>IF(Raw_Data!AJ504&lt;&gt;"",Raw_Data!AJ504,Raw_Data!N504)</f>
        <v>0</v>
      </c>
      <c r="L501" s="12">
        <f t="shared" si="64"/>
        <v>1</v>
      </c>
      <c r="M501" s="12" t="str">
        <f>IF(Raw_Data!AK504="","",Raw_Data!AK504)</f>
        <v/>
      </c>
      <c r="N501" s="12" t="str">
        <f>IF(Raw_Data!T504="","",Raw_Data!T504)</f>
        <v/>
      </c>
      <c r="O501" s="12" t="str">
        <f>IF(Raw_Data!AB504&lt;&gt;"",Raw_Data!AB504,IF(N501="tres_insatisfait",1,IF(N501="insatisfait",2,IF(N501="neutre",3,IF(N501="satisfait",4,IF(N501="tres_satisfait",5,""))))))</f>
        <v/>
      </c>
      <c r="P501" s="12">
        <f>IF(Raw_Data!AL504&lt;&gt;"",Raw_Data!AL504,Raw_Data!R504)</f>
        <v>0</v>
      </c>
      <c r="Q501" s="12">
        <f t="shared" si="65"/>
        <v>0</v>
      </c>
      <c r="R501" s="12" t="str">
        <f>IF(Raw_Data!AM504="","",Raw_Data!AM504)</f>
        <v/>
      </c>
      <c r="S501" s="12" t="str">
        <f t="shared" si="66"/>
        <v/>
      </c>
      <c r="T501" s="12" t="str">
        <f>IF(Raw_Data!AN504="","",Raw_Data!AN504)</f>
        <v/>
      </c>
      <c r="U501" s="12" t="str">
        <f t="shared" si="67"/>
        <v/>
      </c>
      <c r="V501" s="12" t="str">
        <f>IF(Raw_Data!AP504="","",IF(Raw_Data!AP504="oui",1,0))</f>
        <v/>
      </c>
      <c r="W501" s="12" t="str">
        <f>IF(Raw_Data!AQ504="","",IF(Raw_Data!AQ504="oui",1,0))</f>
        <v/>
      </c>
      <c r="X501" s="12" t="str">
        <f>IF(Raw_Data!AR504="","",IF(Raw_Data!AR504="oui",1,0))</f>
        <v/>
      </c>
      <c r="Y501" s="12" t="str">
        <f>IF(Raw_Data!AS504="","",IF(Raw_Data!AS504="oui",1,0))</f>
        <v/>
      </c>
      <c r="Z501" s="12" t="str">
        <f>IF(Raw_Data!V504="","",IF(Raw_Data!V504="oui",1,0))</f>
        <v/>
      </c>
      <c r="AA501" s="12" t="str">
        <f>IF(Raw_Data!W504="","",IF(Raw_Data!W504="oui",1,0))</f>
        <v/>
      </c>
      <c r="AB501" s="12" t="str">
        <f>IF(Raw_Data!Q504="","",IF(Raw_Data!Q504="oui",1,0))</f>
        <v/>
      </c>
      <c r="AC501" s="12">
        <f>Raw_Data!AF504</f>
        <v>0</v>
      </c>
      <c r="AD501" s="12" t="str">
        <f t="shared" si="68"/>
        <v/>
      </c>
      <c r="AE501" s="12" t="str">
        <f t="shared" si="69"/>
        <v/>
      </c>
      <c r="AF501" s="12" t="str">
        <f t="shared" si="70"/>
        <v/>
      </c>
      <c r="AG501" s="12">
        <f t="shared" si="71"/>
        <v>0</v>
      </c>
    </row>
    <row r="502" spans="1:33" ht="15" customHeight="1" x14ac:dyDescent="0.25">
      <c r="A502" s="12" t="str">
        <f>IF(Raw_Data!B505="","",Raw_Data!B505)</f>
        <v/>
      </c>
      <c r="B502" s="12">
        <f>IF(Raw_Data!X505&lt;&gt;"",Raw_Data!X505,Raw_Data!C505)</f>
        <v>0</v>
      </c>
      <c r="C502" s="12" t="str">
        <f>IF(Raw_Data!G505="","",Raw_Data!G505)</f>
        <v/>
      </c>
      <c r="D502" s="12" t="str">
        <f>IF(Raw_Data!H505="","",Raw_Data!H505)</f>
        <v/>
      </c>
      <c r="E502" s="12" t="str">
        <f>IF(Raw_Data!I505="","",Raw_Data!I505)</f>
        <v/>
      </c>
      <c r="F502" s="12" t="str">
        <f>IF(Raw_Data!J505="","",Raw_Data!J505)</f>
        <v/>
      </c>
      <c r="G502" s="12" t="str">
        <f>IF(Raw_Data!AH505&lt;&gt;"",Raw_Data!AH505,IF(Raw_Data!K505&lt;&gt;"",Raw_Data!K505,""))</f>
        <v/>
      </c>
      <c r="H502" s="12" t="str">
        <f>IF(Raw_Data!AI505&lt;&gt;"",Raw_Data!AI505,IF(Raw_Data!L505&lt;&gt;"",Raw_Data!L505,""))</f>
        <v/>
      </c>
      <c r="I502" s="12" t="str">
        <f t="shared" si="63"/>
        <v/>
      </c>
      <c r="J502" s="12" t="str">
        <f>IF(Raw_Data!M505="","",Raw_Data!M505)</f>
        <v/>
      </c>
      <c r="K502" s="12">
        <f>IF(Raw_Data!AJ505&lt;&gt;"",Raw_Data!AJ505,Raw_Data!N505)</f>
        <v>0</v>
      </c>
      <c r="L502" s="12">
        <f t="shared" si="64"/>
        <v>1</v>
      </c>
      <c r="M502" s="12" t="str">
        <f>IF(Raw_Data!AK505="","",Raw_Data!AK505)</f>
        <v/>
      </c>
      <c r="N502" s="12" t="str">
        <f>IF(Raw_Data!T505="","",Raw_Data!T505)</f>
        <v/>
      </c>
      <c r="O502" s="12" t="str">
        <f>IF(Raw_Data!AB505&lt;&gt;"",Raw_Data!AB505,IF(N502="tres_insatisfait",1,IF(N502="insatisfait",2,IF(N502="neutre",3,IF(N502="satisfait",4,IF(N502="tres_satisfait",5,""))))))</f>
        <v/>
      </c>
      <c r="P502" s="12">
        <f>IF(Raw_Data!AL505&lt;&gt;"",Raw_Data!AL505,Raw_Data!R505)</f>
        <v>0</v>
      </c>
      <c r="Q502" s="12">
        <f t="shared" si="65"/>
        <v>0</v>
      </c>
      <c r="R502" s="12" t="str">
        <f>IF(Raw_Data!AM505="","",Raw_Data!AM505)</f>
        <v/>
      </c>
      <c r="S502" s="12" t="str">
        <f t="shared" si="66"/>
        <v/>
      </c>
      <c r="T502" s="12" t="str">
        <f>IF(Raw_Data!AN505="","",Raw_Data!AN505)</f>
        <v/>
      </c>
      <c r="U502" s="12" t="str">
        <f t="shared" si="67"/>
        <v/>
      </c>
      <c r="V502" s="12" t="str">
        <f>IF(Raw_Data!AP505="","",IF(Raw_Data!AP505="oui",1,0))</f>
        <v/>
      </c>
      <c r="W502" s="12" t="str">
        <f>IF(Raw_Data!AQ505="","",IF(Raw_Data!AQ505="oui",1,0))</f>
        <v/>
      </c>
      <c r="X502" s="12" t="str">
        <f>IF(Raw_Data!AR505="","",IF(Raw_Data!AR505="oui",1,0))</f>
        <v/>
      </c>
      <c r="Y502" s="12" t="str">
        <f>IF(Raw_Data!AS505="","",IF(Raw_Data!AS505="oui",1,0))</f>
        <v/>
      </c>
      <c r="Z502" s="12" t="str">
        <f>IF(Raw_Data!V505="","",IF(Raw_Data!V505="oui",1,0))</f>
        <v/>
      </c>
      <c r="AA502" s="12" t="str">
        <f>IF(Raw_Data!W505="","",IF(Raw_Data!W505="oui",1,0))</f>
        <v/>
      </c>
      <c r="AB502" s="12" t="str">
        <f>IF(Raw_Data!Q505="","",IF(Raw_Data!Q505="oui",1,0))</f>
        <v/>
      </c>
      <c r="AC502" s="12">
        <f>Raw_Data!AF505</f>
        <v>0</v>
      </c>
      <c r="AD502" s="12" t="str">
        <f t="shared" si="68"/>
        <v/>
      </c>
      <c r="AE502" s="12" t="str">
        <f t="shared" si="69"/>
        <v/>
      </c>
      <c r="AF502" s="12" t="str">
        <f t="shared" si="70"/>
        <v/>
      </c>
      <c r="AG502" s="12">
        <f t="shared" si="71"/>
        <v>0</v>
      </c>
    </row>
    <row r="503" spans="1:33" ht="15" customHeight="1" x14ac:dyDescent="0.25">
      <c r="A503" s="12" t="str">
        <f>IF(Raw_Data!B506="","",Raw_Data!B506)</f>
        <v/>
      </c>
      <c r="B503" s="12">
        <f>IF(Raw_Data!X506&lt;&gt;"",Raw_Data!X506,Raw_Data!C506)</f>
        <v>0</v>
      </c>
      <c r="C503" s="12" t="str">
        <f>IF(Raw_Data!G506="","",Raw_Data!G506)</f>
        <v/>
      </c>
      <c r="D503" s="12" t="str">
        <f>IF(Raw_Data!H506="","",Raw_Data!H506)</f>
        <v/>
      </c>
      <c r="E503" s="12" t="str">
        <f>IF(Raw_Data!I506="","",Raw_Data!I506)</f>
        <v/>
      </c>
      <c r="F503" s="12" t="str">
        <f>IF(Raw_Data!J506="","",Raw_Data!J506)</f>
        <v/>
      </c>
      <c r="G503" s="12" t="str">
        <f>IF(Raw_Data!AH506&lt;&gt;"",Raw_Data!AH506,IF(Raw_Data!K506&lt;&gt;"",Raw_Data!K506,""))</f>
        <v/>
      </c>
      <c r="H503" s="12" t="str">
        <f>IF(Raw_Data!AI506&lt;&gt;"",Raw_Data!AI506,IF(Raw_Data!L506&lt;&gt;"",Raw_Data!L506,""))</f>
        <v/>
      </c>
      <c r="I503" s="12" t="str">
        <f t="shared" si="63"/>
        <v/>
      </c>
      <c r="J503" s="12" t="str">
        <f>IF(Raw_Data!M506="","",Raw_Data!M506)</f>
        <v/>
      </c>
      <c r="K503" s="12">
        <f>IF(Raw_Data!AJ506&lt;&gt;"",Raw_Data!AJ506,Raw_Data!N506)</f>
        <v>0</v>
      </c>
      <c r="L503" s="12">
        <f t="shared" si="64"/>
        <v>1</v>
      </c>
      <c r="M503" s="12" t="str">
        <f>IF(Raw_Data!AK506="","",Raw_Data!AK506)</f>
        <v/>
      </c>
      <c r="N503" s="12" t="str">
        <f>IF(Raw_Data!T506="","",Raw_Data!T506)</f>
        <v/>
      </c>
      <c r="O503" s="12" t="str">
        <f>IF(Raw_Data!AB506&lt;&gt;"",Raw_Data!AB506,IF(N503="tres_insatisfait",1,IF(N503="insatisfait",2,IF(N503="neutre",3,IF(N503="satisfait",4,IF(N503="tres_satisfait",5,""))))))</f>
        <v/>
      </c>
      <c r="P503" s="12">
        <f>IF(Raw_Data!AL506&lt;&gt;"",Raw_Data!AL506,Raw_Data!R506)</f>
        <v>0</v>
      </c>
      <c r="Q503" s="12">
        <f t="shared" si="65"/>
        <v>0</v>
      </c>
      <c r="R503" s="12" t="str">
        <f>IF(Raw_Data!AM506="","",Raw_Data!AM506)</f>
        <v/>
      </c>
      <c r="S503" s="12" t="str">
        <f t="shared" si="66"/>
        <v/>
      </c>
      <c r="T503" s="12" t="str">
        <f>IF(Raw_Data!AN506="","",Raw_Data!AN506)</f>
        <v/>
      </c>
      <c r="U503" s="12" t="str">
        <f t="shared" si="67"/>
        <v/>
      </c>
      <c r="V503" s="12" t="str">
        <f>IF(Raw_Data!AP506="","",IF(Raw_Data!AP506="oui",1,0))</f>
        <v/>
      </c>
      <c r="W503" s="12" t="str">
        <f>IF(Raw_Data!AQ506="","",IF(Raw_Data!AQ506="oui",1,0))</f>
        <v/>
      </c>
      <c r="X503" s="12" t="str">
        <f>IF(Raw_Data!AR506="","",IF(Raw_Data!AR506="oui",1,0))</f>
        <v/>
      </c>
      <c r="Y503" s="12" t="str">
        <f>IF(Raw_Data!AS506="","",IF(Raw_Data!AS506="oui",1,0))</f>
        <v/>
      </c>
      <c r="Z503" s="12" t="str">
        <f>IF(Raw_Data!V506="","",IF(Raw_Data!V506="oui",1,0))</f>
        <v/>
      </c>
      <c r="AA503" s="12" t="str">
        <f>IF(Raw_Data!W506="","",IF(Raw_Data!W506="oui",1,0))</f>
        <v/>
      </c>
      <c r="AB503" s="12" t="str">
        <f>IF(Raw_Data!Q506="","",IF(Raw_Data!Q506="oui",1,0))</f>
        <v/>
      </c>
      <c r="AC503" s="12">
        <f>Raw_Data!AF506</f>
        <v>0</v>
      </c>
      <c r="AD503" s="12" t="str">
        <f t="shared" si="68"/>
        <v/>
      </c>
      <c r="AE503" s="12" t="str">
        <f t="shared" si="69"/>
        <v/>
      </c>
      <c r="AF503" s="12" t="str">
        <f t="shared" si="70"/>
        <v/>
      </c>
      <c r="AG503" s="12">
        <f t="shared" si="71"/>
        <v>0</v>
      </c>
    </row>
    <row r="504" spans="1:33" ht="15" customHeight="1" x14ac:dyDescent="0.25">
      <c r="A504" s="12" t="str">
        <f>IF(Raw_Data!B507="","",Raw_Data!B507)</f>
        <v/>
      </c>
      <c r="B504" s="12">
        <f>IF(Raw_Data!X507&lt;&gt;"",Raw_Data!X507,Raw_Data!C507)</f>
        <v>0</v>
      </c>
      <c r="C504" s="12" t="str">
        <f>IF(Raw_Data!G507="","",Raw_Data!G507)</f>
        <v/>
      </c>
      <c r="D504" s="12" t="str">
        <f>IF(Raw_Data!H507="","",Raw_Data!H507)</f>
        <v/>
      </c>
      <c r="E504" s="12" t="str">
        <f>IF(Raw_Data!I507="","",Raw_Data!I507)</f>
        <v/>
      </c>
      <c r="F504" s="12" t="str">
        <f>IF(Raw_Data!J507="","",Raw_Data!J507)</f>
        <v/>
      </c>
      <c r="G504" s="12" t="str">
        <f>IF(Raw_Data!AH507&lt;&gt;"",Raw_Data!AH507,IF(Raw_Data!K507&lt;&gt;"",Raw_Data!K507,""))</f>
        <v/>
      </c>
      <c r="H504" s="12" t="str">
        <f>IF(Raw_Data!AI507&lt;&gt;"",Raw_Data!AI507,IF(Raw_Data!L507&lt;&gt;"",Raw_Data!L507,""))</f>
        <v/>
      </c>
      <c r="I504" s="12" t="str">
        <f t="shared" si="63"/>
        <v/>
      </c>
      <c r="J504" s="12" t="str">
        <f>IF(Raw_Data!M507="","",Raw_Data!M507)</f>
        <v/>
      </c>
      <c r="K504" s="12">
        <f>IF(Raw_Data!AJ507&lt;&gt;"",Raw_Data!AJ507,Raw_Data!N507)</f>
        <v>0</v>
      </c>
      <c r="L504" s="12">
        <f t="shared" si="64"/>
        <v>1</v>
      </c>
      <c r="M504" s="12" t="str">
        <f>IF(Raw_Data!AK507="","",Raw_Data!AK507)</f>
        <v/>
      </c>
      <c r="N504" s="12" t="str">
        <f>IF(Raw_Data!T507="","",Raw_Data!T507)</f>
        <v/>
      </c>
      <c r="O504" s="12" t="str">
        <f>IF(Raw_Data!AB507&lt;&gt;"",Raw_Data!AB507,IF(N504="tres_insatisfait",1,IF(N504="insatisfait",2,IF(N504="neutre",3,IF(N504="satisfait",4,IF(N504="tres_satisfait",5,""))))))</f>
        <v/>
      </c>
      <c r="P504" s="12">
        <f>IF(Raw_Data!AL507&lt;&gt;"",Raw_Data!AL507,Raw_Data!R507)</f>
        <v>0</v>
      </c>
      <c r="Q504" s="12">
        <f t="shared" si="65"/>
        <v>0</v>
      </c>
      <c r="R504" s="12" t="str">
        <f>IF(Raw_Data!AM507="","",Raw_Data!AM507)</f>
        <v/>
      </c>
      <c r="S504" s="12" t="str">
        <f t="shared" si="66"/>
        <v/>
      </c>
      <c r="T504" s="12" t="str">
        <f>IF(Raw_Data!AN507="","",Raw_Data!AN507)</f>
        <v/>
      </c>
      <c r="U504" s="12" t="str">
        <f t="shared" si="67"/>
        <v/>
      </c>
      <c r="V504" s="12" t="str">
        <f>IF(Raw_Data!AP507="","",IF(Raw_Data!AP507="oui",1,0))</f>
        <v/>
      </c>
      <c r="W504" s="12" t="str">
        <f>IF(Raw_Data!AQ507="","",IF(Raw_Data!AQ507="oui",1,0))</f>
        <v/>
      </c>
      <c r="X504" s="12" t="str">
        <f>IF(Raw_Data!AR507="","",IF(Raw_Data!AR507="oui",1,0))</f>
        <v/>
      </c>
      <c r="Y504" s="12" t="str">
        <f>IF(Raw_Data!AS507="","",IF(Raw_Data!AS507="oui",1,0))</f>
        <v/>
      </c>
      <c r="Z504" s="12" t="str">
        <f>IF(Raw_Data!V507="","",IF(Raw_Data!V507="oui",1,0))</f>
        <v/>
      </c>
      <c r="AA504" s="12" t="str">
        <f>IF(Raw_Data!W507="","",IF(Raw_Data!W507="oui",1,0))</f>
        <v/>
      </c>
      <c r="AB504" s="12" t="str">
        <f>IF(Raw_Data!Q507="","",IF(Raw_Data!Q507="oui",1,0))</f>
        <v/>
      </c>
      <c r="AC504" s="12">
        <f>Raw_Data!AF507</f>
        <v>0</v>
      </c>
      <c r="AD504" s="12" t="str">
        <f t="shared" si="68"/>
        <v/>
      </c>
      <c r="AE504" s="12" t="str">
        <f t="shared" si="69"/>
        <v/>
      </c>
      <c r="AF504" s="12" t="str">
        <f t="shared" si="70"/>
        <v/>
      </c>
      <c r="AG504" s="12">
        <f t="shared" si="71"/>
        <v>0</v>
      </c>
    </row>
    <row r="505" spans="1:33" ht="15" customHeight="1" x14ac:dyDescent="0.25">
      <c r="A505" s="12" t="str">
        <f>IF(Raw_Data!B508="","",Raw_Data!B508)</f>
        <v/>
      </c>
      <c r="B505" s="12">
        <f>IF(Raw_Data!X508&lt;&gt;"",Raw_Data!X508,Raw_Data!C508)</f>
        <v>0</v>
      </c>
      <c r="C505" s="12" t="str">
        <f>IF(Raw_Data!G508="","",Raw_Data!G508)</f>
        <v/>
      </c>
      <c r="D505" s="12" t="str">
        <f>IF(Raw_Data!H508="","",Raw_Data!H508)</f>
        <v/>
      </c>
      <c r="E505" s="12" t="str">
        <f>IF(Raw_Data!I508="","",Raw_Data!I508)</f>
        <v/>
      </c>
      <c r="F505" s="12" t="str">
        <f>IF(Raw_Data!J508="","",Raw_Data!J508)</f>
        <v/>
      </c>
      <c r="G505" s="12" t="str">
        <f>IF(Raw_Data!AH508&lt;&gt;"",Raw_Data!AH508,IF(Raw_Data!K508&lt;&gt;"",Raw_Data!K508,""))</f>
        <v/>
      </c>
      <c r="H505" s="12" t="str">
        <f>IF(Raw_Data!AI508&lt;&gt;"",Raw_Data!AI508,IF(Raw_Data!L508&lt;&gt;"",Raw_Data!L508,""))</f>
        <v/>
      </c>
      <c r="I505" s="12" t="str">
        <f t="shared" si="63"/>
        <v/>
      </c>
      <c r="J505" s="12" t="str">
        <f>IF(Raw_Data!M508="","",Raw_Data!M508)</f>
        <v/>
      </c>
      <c r="K505" s="12">
        <f>IF(Raw_Data!AJ508&lt;&gt;"",Raw_Data!AJ508,Raw_Data!N508)</f>
        <v>0</v>
      </c>
      <c r="L505" s="12">
        <f t="shared" si="64"/>
        <v>1</v>
      </c>
      <c r="M505" s="12" t="str">
        <f>IF(Raw_Data!AK508="","",Raw_Data!AK508)</f>
        <v/>
      </c>
      <c r="N505" s="12" t="str">
        <f>IF(Raw_Data!T508="","",Raw_Data!T508)</f>
        <v/>
      </c>
      <c r="O505" s="12" t="str">
        <f>IF(Raw_Data!AB508&lt;&gt;"",Raw_Data!AB508,IF(N505="tres_insatisfait",1,IF(N505="insatisfait",2,IF(N505="neutre",3,IF(N505="satisfait",4,IF(N505="tres_satisfait",5,""))))))</f>
        <v/>
      </c>
      <c r="P505" s="12">
        <f>IF(Raw_Data!AL508&lt;&gt;"",Raw_Data!AL508,Raw_Data!R508)</f>
        <v>0</v>
      </c>
      <c r="Q505" s="12">
        <f t="shared" si="65"/>
        <v>0</v>
      </c>
      <c r="R505" s="12" t="str">
        <f>IF(Raw_Data!AM508="","",Raw_Data!AM508)</f>
        <v/>
      </c>
      <c r="S505" s="12" t="str">
        <f t="shared" si="66"/>
        <v/>
      </c>
      <c r="T505" s="12" t="str">
        <f>IF(Raw_Data!AN508="","",Raw_Data!AN508)</f>
        <v/>
      </c>
      <c r="U505" s="12" t="str">
        <f t="shared" si="67"/>
        <v/>
      </c>
      <c r="V505" s="12" t="str">
        <f>IF(Raw_Data!AP508="","",IF(Raw_Data!AP508="oui",1,0))</f>
        <v/>
      </c>
      <c r="W505" s="12" t="str">
        <f>IF(Raw_Data!AQ508="","",IF(Raw_Data!AQ508="oui",1,0))</f>
        <v/>
      </c>
      <c r="X505" s="12" t="str">
        <f>IF(Raw_Data!AR508="","",IF(Raw_Data!AR508="oui",1,0))</f>
        <v/>
      </c>
      <c r="Y505" s="12" t="str">
        <f>IF(Raw_Data!AS508="","",IF(Raw_Data!AS508="oui",1,0))</f>
        <v/>
      </c>
      <c r="Z505" s="12" t="str">
        <f>IF(Raw_Data!V508="","",IF(Raw_Data!V508="oui",1,0))</f>
        <v/>
      </c>
      <c r="AA505" s="12" t="str">
        <f>IF(Raw_Data!W508="","",IF(Raw_Data!W508="oui",1,0))</f>
        <v/>
      </c>
      <c r="AB505" s="12" t="str">
        <f>IF(Raw_Data!Q508="","",IF(Raw_Data!Q508="oui",1,0))</f>
        <v/>
      </c>
      <c r="AC505" s="12">
        <f>Raw_Data!AF508</f>
        <v>0</v>
      </c>
      <c r="AD505" s="12" t="str">
        <f t="shared" si="68"/>
        <v/>
      </c>
      <c r="AE505" s="12" t="str">
        <f t="shared" si="69"/>
        <v/>
      </c>
      <c r="AF505" s="12" t="str">
        <f t="shared" si="70"/>
        <v/>
      </c>
      <c r="AG505" s="12">
        <f t="shared" si="71"/>
        <v>0</v>
      </c>
    </row>
    <row r="506" spans="1:33" ht="15" customHeight="1" x14ac:dyDescent="0.25">
      <c r="A506" s="12" t="str">
        <f>IF(Raw_Data!B509="","",Raw_Data!B509)</f>
        <v/>
      </c>
      <c r="B506" s="12">
        <f>IF(Raw_Data!X509&lt;&gt;"",Raw_Data!X509,Raw_Data!C509)</f>
        <v>0</v>
      </c>
      <c r="C506" s="12" t="str">
        <f>IF(Raw_Data!G509="","",Raw_Data!G509)</f>
        <v/>
      </c>
      <c r="D506" s="12" t="str">
        <f>IF(Raw_Data!H509="","",Raw_Data!H509)</f>
        <v/>
      </c>
      <c r="E506" s="12" t="str">
        <f>IF(Raw_Data!I509="","",Raw_Data!I509)</f>
        <v/>
      </c>
      <c r="F506" s="12" t="str">
        <f>IF(Raw_Data!J509="","",Raw_Data!J509)</f>
        <v/>
      </c>
      <c r="G506" s="12" t="str">
        <f>IF(Raw_Data!AH509&lt;&gt;"",Raw_Data!AH509,IF(Raw_Data!K509&lt;&gt;"",Raw_Data!K509,""))</f>
        <v/>
      </c>
      <c r="H506" s="12" t="str">
        <f>IF(Raw_Data!AI509&lt;&gt;"",Raw_Data!AI509,IF(Raw_Data!L509&lt;&gt;"",Raw_Data!L509,""))</f>
        <v/>
      </c>
      <c r="I506" s="12" t="str">
        <f t="shared" si="63"/>
        <v/>
      </c>
      <c r="J506" s="12" t="str">
        <f>IF(Raw_Data!M509="","",Raw_Data!M509)</f>
        <v/>
      </c>
      <c r="K506" s="12">
        <f>IF(Raw_Data!AJ509&lt;&gt;"",Raw_Data!AJ509,Raw_Data!N509)</f>
        <v>0</v>
      </c>
      <c r="L506" s="12">
        <f t="shared" si="64"/>
        <v>1</v>
      </c>
      <c r="M506" s="12" t="str">
        <f>IF(Raw_Data!AK509="","",Raw_Data!AK509)</f>
        <v/>
      </c>
      <c r="N506" s="12" t="str">
        <f>IF(Raw_Data!T509="","",Raw_Data!T509)</f>
        <v/>
      </c>
      <c r="O506" s="12" t="str">
        <f>IF(Raw_Data!AB509&lt;&gt;"",Raw_Data!AB509,IF(N506="tres_insatisfait",1,IF(N506="insatisfait",2,IF(N506="neutre",3,IF(N506="satisfait",4,IF(N506="tres_satisfait",5,""))))))</f>
        <v/>
      </c>
      <c r="P506" s="12">
        <f>IF(Raw_Data!AL509&lt;&gt;"",Raw_Data!AL509,Raw_Data!R509)</f>
        <v>0</v>
      </c>
      <c r="Q506" s="12">
        <f t="shared" si="65"/>
        <v>0</v>
      </c>
      <c r="R506" s="12" t="str">
        <f>IF(Raw_Data!AM509="","",Raw_Data!AM509)</f>
        <v/>
      </c>
      <c r="S506" s="12" t="str">
        <f t="shared" si="66"/>
        <v/>
      </c>
      <c r="T506" s="12" t="str">
        <f>IF(Raw_Data!AN509="","",Raw_Data!AN509)</f>
        <v/>
      </c>
      <c r="U506" s="12" t="str">
        <f t="shared" si="67"/>
        <v/>
      </c>
      <c r="V506" s="12" t="str">
        <f>IF(Raw_Data!AP509="","",IF(Raw_Data!AP509="oui",1,0))</f>
        <v/>
      </c>
      <c r="W506" s="12" t="str">
        <f>IF(Raw_Data!AQ509="","",IF(Raw_Data!AQ509="oui",1,0))</f>
        <v/>
      </c>
      <c r="X506" s="12" t="str">
        <f>IF(Raw_Data!AR509="","",IF(Raw_Data!AR509="oui",1,0))</f>
        <v/>
      </c>
      <c r="Y506" s="12" t="str">
        <f>IF(Raw_Data!AS509="","",IF(Raw_Data!AS509="oui",1,0))</f>
        <v/>
      </c>
      <c r="Z506" s="12" t="str">
        <f>IF(Raw_Data!V509="","",IF(Raw_Data!V509="oui",1,0))</f>
        <v/>
      </c>
      <c r="AA506" s="12" t="str">
        <f>IF(Raw_Data!W509="","",IF(Raw_Data!W509="oui",1,0))</f>
        <v/>
      </c>
      <c r="AB506" s="12" t="str">
        <f>IF(Raw_Data!Q509="","",IF(Raw_Data!Q509="oui",1,0))</f>
        <v/>
      </c>
      <c r="AC506" s="12">
        <f>Raw_Data!AF509</f>
        <v>0</v>
      </c>
      <c r="AD506" s="12" t="str">
        <f t="shared" si="68"/>
        <v/>
      </c>
      <c r="AE506" s="12" t="str">
        <f t="shared" si="69"/>
        <v/>
      </c>
      <c r="AF506" s="12" t="str">
        <f t="shared" si="70"/>
        <v/>
      </c>
      <c r="AG506" s="12">
        <f t="shared" si="71"/>
        <v>0</v>
      </c>
    </row>
    <row r="507" spans="1:33" ht="15" customHeight="1" x14ac:dyDescent="0.25">
      <c r="A507" s="12" t="str">
        <f>IF(Raw_Data!B510="","",Raw_Data!B510)</f>
        <v/>
      </c>
      <c r="B507" s="12">
        <f>IF(Raw_Data!X510&lt;&gt;"",Raw_Data!X510,Raw_Data!C510)</f>
        <v>0</v>
      </c>
      <c r="C507" s="12" t="str">
        <f>IF(Raw_Data!G510="","",Raw_Data!G510)</f>
        <v/>
      </c>
      <c r="D507" s="12" t="str">
        <f>IF(Raw_Data!H510="","",Raw_Data!H510)</f>
        <v/>
      </c>
      <c r="E507" s="12" t="str">
        <f>IF(Raw_Data!I510="","",Raw_Data!I510)</f>
        <v/>
      </c>
      <c r="F507" s="12" t="str">
        <f>IF(Raw_Data!J510="","",Raw_Data!J510)</f>
        <v/>
      </c>
      <c r="G507" s="12" t="str">
        <f>IF(Raw_Data!AH510&lt;&gt;"",Raw_Data!AH510,IF(Raw_Data!K510&lt;&gt;"",Raw_Data!K510,""))</f>
        <v/>
      </c>
      <c r="H507" s="12" t="str">
        <f>IF(Raw_Data!AI510&lt;&gt;"",Raw_Data!AI510,IF(Raw_Data!L510&lt;&gt;"",Raw_Data!L510,""))</f>
        <v/>
      </c>
      <c r="I507" s="12" t="str">
        <f t="shared" si="63"/>
        <v/>
      </c>
      <c r="J507" s="12" t="str">
        <f>IF(Raw_Data!M510="","",Raw_Data!M510)</f>
        <v/>
      </c>
      <c r="K507" s="12">
        <f>IF(Raw_Data!AJ510&lt;&gt;"",Raw_Data!AJ510,Raw_Data!N510)</f>
        <v>0</v>
      </c>
      <c r="L507" s="12">
        <f t="shared" si="64"/>
        <v>1</v>
      </c>
      <c r="M507" s="12" t="str">
        <f>IF(Raw_Data!AK510="","",Raw_Data!AK510)</f>
        <v/>
      </c>
      <c r="N507" s="12" t="str">
        <f>IF(Raw_Data!T510="","",Raw_Data!T510)</f>
        <v/>
      </c>
      <c r="O507" s="12" t="str">
        <f>IF(Raw_Data!AB510&lt;&gt;"",Raw_Data!AB510,IF(N507="tres_insatisfait",1,IF(N507="insatisfait",2,IF(N507="neutre",3,IF(N507="satisfait",4,IF(N507="tres_satisfait",5,""))))))</f>
        <v/>
      </c>
      <c r="P507" s="12">
        <f>IF(Raw_Data!AL510&lt;&gt;"",Raw_Data!AL510,Raw_Data!R510)</f>
        <v>0</v>
      </c>
      <c r="Q507" s="12">
        <f t="shared" si="65"/>
        <v>0</v>
      </c>
      <c r="R507" s="12" t="str">
        <f>IF(Raw_Data!AM510="","",Raw_Data!AM510)</f>
        <v/>
      </c>
      <c r="S507" s="12" t="str">
        <f t="shared" si="66"/>
        <v/>
      </c>
      <c r="T507" s="12" t="str">
        <f>IF(Raw_Data!AN510="","",Raw_Data!AN510)</f>
        <v/>
      </c>
      <c r="U507" s="12" t="str">
        <f t="shared" si="67"/>
        <v/>
      </c>
      <c r="V507" s="12" t="str">
        <f>IF(Raw_Data!AP510="","",IF(Raw_Data!AP510="oui",1,0))</f>
        <v/>
      </c>
      <c r="W507" s="12" t="str">
        <f>IF(Raw_Data!AQ510="","",IF(Raw_Data!AQ510="oui",1,0))</f>
        <v/>
      </c>
      <c r="X507" s="12" t="str">
        <f>IF(Raw_Data!AR510="","",IF(Raw_Data!AR510="oui",1,0))</f>
        <v/>
      </c>
      <c r="Y507" s="12" t="str">
        <f>IF(Raw_Data!AS510="","",IF(Raw_Data!AS510="oui",1,0))</f>
        <v/>
      </c>
      <c r="Z507" s="12" t="str">
        <f>IF(Raw_Data!V510="","",IF(Raw_Data!V510="oui",1,0))</f>
        <v/>
      </c>
      <c r="AA507" s="12" t="str">
        <f>IF(Raw_Data!W510="","",IF(Raw_Data!W510="oui",1,0))</f>
        <v/>
      </c>
      <c r="AB507" s="12" t="str">
        <f>IF(Raw_Data!Q510="","",IF(Raw_Data!Q510="oui",1,0))</f>
        <v/>
      </c>
      <c r="AC507" s="12">
        <f>Raw_Data!AF510</f>
        <v>0</v>
      </c>
      <c r="AD507" s="12" t="str">
        <f t="shared" si="68"/>
        <v/>
      </c>
      <c r="AE507" s="12" t="str">
        <f t="shared" si="69"/>
        <v/>
      </c>
      <c r="AF507" s="12" t="str">
        <f t="shared" si="70"/>
        <v/>
      </c>
      <c r="AG507" s="12">
        <f t="shared" si="71"/>
        <v>0</v>
      </c>
    </row>
    <row r="508" spans="1:33" ht="15" customHeight="1" x14ac:dyDescent="0.25">
      <c r="A508" s="12" t="str">
        <f>IF(Raw_Data!B511="","",Raw_Data!B511)</f>
        <v/>
      </c>
      <c r="B508" s="12">
        <f>IF(Raw_Data!X511&lt;&gt;"",Raw_Data!X511,Raw_Data!C511)</f>
        <v>0</v>
      </c>
      <c r="C508" s="12" t="str">
        <f>IF(Raw_Data!G511="","",Raw_Data!G511)</f>
        <v/>
      </c>
      <c r="D508" s="12" t="str">
        <f>IF(Raw_Data!H511="","",Raw_Data!H511)</f>
        <v/>
      </c>
      <c r="E508" s="12" t="str">
        <f>IF(Raw_Data!I511="","",Raw_Data!I511)</f>
        <v/>
      </c>
      <c r="F508" s="12" t="str">
        <f>IF(Raw_Data!J511="","",Raw_Data!J511)</f>
        <v/>
      </c>
      <c r="G508" s="12" t="str">
        <f>IF(Raw_Data!AH511&lt;&gt;"",Raw_Data!AH511,IF(Raw_Data!K511&lt;&gt;"",Raw_Data!K511,""))</f>
        <v/>
      </c>
      <c r="H508" s="12" t="str">
        <f>IF(Raw_Data!AI511&lt;&gt;"",Raw_Data!AI511,IF(Raw_Data!L511&lt;&gt;"",Raw_Data!L511,""))</f>
        <v/>
      </c>
      <c r="I508" s="12" t="str">
        <f t="shared" si="63"/>
        <v/>
      </c>
      <c r="J508" s="12" t="str">
        <f>IF(Raw_Data!M511="","",Raw_Data!M511)</f>
        <v/>
      </c>
      <c r="K508" s="12">
        <f>IF(Raw_Data!AJ511&lt;&gt;"",Raw_Data!AJ511,Raw_Data!N511)</f>
        <v>0</v>
      </c>
      <c r="L508" s="12">
        <f t="shared" si="64"/>
        <v>1</v>
      </c>
      <c r="M508" s="12" t="str">
        <f>IF(Raw_Data!AK511="","",Raw_Data!AK511)</f>
        <v/>
      </c>
      <c r="N508" s="12" t="str">
        <f>IF(Raw_Data!T511="","",Raw_Data!T511)</f>
        <v/>
      </c>
      <c r="O508" s="12" t="str">
        <f>IF(Raw_Data!AB511&lt;&gt;"",Raw_Data!AB511,IF(N508="tres_insatisfait",1,IF(N508="insatisfait",2,IF(N508="neutre",3,IF(N508="satisfait",4,IF(N508="tres_satisfait",5,""))))))</f>
        <v/>
      </c>
      <c r="P508" s="12">
        <f>IF(Raw_Data!AL511&lt;&gt;"",Raw_Data!AL511,Raw_Data!R511)</f>
        <v>0</v>
      </c>
      <c r="Q508" s="12">
        <f t="shared" si="65"/>
        <v>0</v>
      </c>
      <c r="R508" s="12" t="str">
        <f>IF(Raw_Data!AM511="","",Raw_Data!AM511)</f>
        <v/>
      </c>
      <c r="S508" s="12" t="str">
        <f t="shared" si="66"/>
        <v/>
      </c>
      <c r="T508" s="12" t="str">
        <f>IF(Raw_Data!AN511="","",Raw_Data!AN511)</f>
        <v/>
      </c>
      <c r="U508" s="12" t="str">
        <f t="shared" si="67"/>
        <v/>
      </c>
      <c r="V508" s="12" t="str">
        <f>IF(Raw_Data!AP511="","",IF(Raw_Data!AP511="oui",1,0))</f>
        <v/>
      </c>
      <c r="W508" s="12" t="str">
        <f>IF(Raw_Data!AQ511="","",IF(Raw_Data!AQ511="oui",1,0))</f>
        <v/>
      </c>
      <c r="X508" s="12" t="str">
        <f>IF(Raw_Data!AR511="","",IF(Raw_Data!AR511="oui",1,0))</f>
        <v/>
      </c>
      <c r="Y508" s="12" t="str">
        <f>IF(Raw_Data!AS511="","",IF(Raw_Data!AS511="oui",1,0))</f>
        <v/>
      </c>
      <c r="Z508" s="12" t="str">
        <f>IF(Raw_Data!V511="","",IF(Raw_Data!V511="oui",1,0))</f>
        <v/>
      </c>
      <c r="AA508" s="12" t="str">
        <f>IF(Raw_Data!W511="","",IF(Raw_Data!W511="oui",1,0))</f>
        <v/>
      </c>
      <c r="AB508" s="12" t="str">
        <f>IF(Raw_Data!Q511="","",IF(Raw_Data!Q511="oui",1,0))</f>
        <v/>
      </c>
      <c r="AC508" s="12">
        <f>Raw_Data!AF511</f>
        <v>0</v>
      </c>
      <c r="AD508" s="12" t="str">
        <f t="shared" si="68"/>
        <v/>
      </c>
      <c r="AE508" s="12" t="str">
        <f t="shared" si="69"/>
        <v/>
      </c>
      <c r="AF508" s="12" t="str">
        <f t="shared" si="70"/>
        <v/>
      </c>
      <c r="AG508" s="12">
        <f t="shared" si="71"/>
        <v>0</v>
      </c>
    </row>
    <row r="509" spans="1:33" ht="15" customHeight="1" x14ac:dyDescent="0.25">
      <c r="A509" s="12" t="str">
        <f>IF(Raw_Data!B512="","",Raw_Data!B512)</f>
        <v/>
      </c>
      <c r="B509" s="12">
        <f>IF(Raw_Data!X512&lt;&gt;"",Raw_Data!X512,Raw_Data!C512)</f>
        <v>0</v>
      </c>
      <c r="C509" s="12" t="str">
        <f>IF(Raw_Data!G512="","",Raw_Data!G512)</f>
        <v/>
      </c>
      <c r="D509" s="12" t="str">
        <f>IF(Raw_Data!H512="","",Raw_Data!H512)</f>
        <v/>
      </c>
      <c r="E509" s="12" t="str">
        <f>IF(Raw_Data!I512="","",Raw_Data!I512)</f>
        <v/>
      </c>
      <c r="F509" s="12" t="str">
        <f>IF(Raw_Data!J512="","",Raw_Data!J512)</f>
        <v/>
      </c>
      <c r="G509" s="12" t="str">
        <f>IF(Raw_Data!AH512&lt;&gt;"",Raw_Data!AH512,IF(Raw_Data!K512&lt;&gt;"",Raw_Data!K512,""))</f>
        <v/>
      </c>
      <c r="H509" s="12" t="str">
        <f>IF(Raw_Data!AI512&lt;&gt;"",Raw_Data!AI512,IF(Raw_Data!L512&lt;&gt;"",Raw_Data!L512,""))</f>
        <v/>
      </c>
      <c r="I509" s="12" t="str">
        <f t="shared" si="63"/>
        <v/>
      </c>
      <c r="J509" s="12" t="str">
        <f>IF(Raw_Data!M512="","",Raw_Data!M512)</f>
        <v/>
      </c>
      <c r="K509" s="12">
        <f>IF(Raw_Data!AJ512&lt;&gt;"",Raw_Data!AJ512,Raw_Data!N512)</f>
        <v>0</v>
      </c>
      <c r="L509" s="12">
        <f t="shared" si="64"/>
        <v>1</v>
      </c>
      <c r="M509" s="12" t="str">
        <f>IF(Raw_Data!AK512="","",Raw_Data!AK512)</f>
        <v/>
      </c>
      <c r="N509" s="12" t="str">
        <f>IF(Raw_Data!T512="","",Raw_Data!T512)</f>
        <v/>
      </c>
      <c r="O509" s="12" t="str">
        <f>IF(Raw_Data!AB512&lt;&gt;"",Raw_Data!AB512,IF(N509="tres_insatisfait",1,IF(N509="insatisfait",2,IF(N509="neutre",3,IF(N509="satisfait",4,IF(N509="tres_satisfait",5,""))))))</f>
        <v/>
      </c>
      <c r="P509" s="12">
        <f>IF(Raw_Data!AL512&lt;&gt;"",Raw_Data!AL512,Raw_Data!R512)</f>
        <v>0</v>
      </c>
      <c r="Q509" s="12">
        <f t="shared" si="65"/>
        <v>0</v>
      </c>
      <c r="R509" s="12" t="str">
        <f>IF(Raw_Data!AM512="","",Raw_Data!AM512)</f>
        <v/>
      </c>
      <c r="S509" s="12" t="str">
        <f t="shared" si="66"/>
        <v/>
      </c>
      <c r="T509" s="12" t="str">
        <f>IF(Raw_Data!AN512="","",Raw_Data!AN512)</f>
        <v/>
      </c>
      <c r="U509" s="12" t="str">
        <f t="shared" si="67"/>
        <v/>
      </c>
      <c r="V509" s="12" t="str">
        <f>IF(Raw_Data!AP512="","",IF(Raw_Data!AP512="oui",1,0))</f>
        <v/>
      </c>
      <c r="W509" s="12" t="str">
        <f>IF(Raw_Data!AQ512="","",IF(Raw_Data!AQ512="oui",1,0))</f>
        <v/>
      </c>
      <c r="X509" s="12" t="str">
        <f>IF(Raw_Data!AR512="","",IF(Raw_Data!AR512="oui",1,0))</f>
        <v/>
      </c>
      <c r="Y509" s="12" t="str">
        <f>IF(Raw_Data!AS512="","",IF(Raw_Data!AS512="oui",1,0))</f>
        <v/>
      </c>
      <c r="Z509" s="12" t="str">
        <f>IF(Raw_Data!V512="","",IF(Raw_Data!V512="oui",1,0))</f>
        <v/>
      </c>
      <c r="AA509" s="12" t="str">
        <f>IF(Raw_Data!W512="","",IF(Raw_Data!W512="oui",1,0))</f>
        <v/>
      </c>
      <c r="AB509" s="12" t="str">
        <f>IF(Raw_Data!Q512="","",IF(Raw_Data!Q512="oui",1,0))</f>
        <v/>
      </c>
      <c r="AC509" s="12">
        <f>Raw_Data!AF512</f>
        <v>0</v>
      </c>
      <c r="AD509" s="12" t="str">
        <f t="shared" si="68"/>
        <v/>
      </c>
      <c r="AE509" s="12" t="str">
        <f t="shared" si="69"/>
        <v/>
      </c>
      <c r="AF509" s="12" t="str">
        <f t="shared" si="70"/>
        <v/>
      </c>
      <c r="AG509" s="12">
        <f t="shared" si="71"/>
        <v>0</v>
      </c>
    </row>
    <row r="510" spans="1:33" ht="15" customHeight="1" x14ac:dyDescent="0.25">
      <c r="A510" s="12" t="str">
        <f>IF(Raw_Data!B513="","",Raw_Data!B513)</f>
        <v/>
      </c>
      <c r="B510" s="12">
        <f>IF(Raw_Data!X513&lt;&gt;"",Raw_Data!X513,Raw_Data!C513)</f>
        <v>0</v>
      </c>
      <c r="C510" s="12" t="str">
        <f>IF(Raw_Data!G513="","",Raw_Data!G513)</f>
        <v/>
      </c>
      <c r="D510" s="12" t="str">
        <f>IF(Raw_Data!H513="","",Raw_Data!H513)</f>
        <v/>
      </c>
      <c r="E510" s="12" t="str">
        <f>IF(Raw_Data!I513="","",Raw_Data!I513)</f>
        <v/>
      </c>
      <c r="F510" s="12" t="str">
        <f>IF(Raw_Data!J513="","",Raw_Data!J513)</f>
        <v/>
      </c>
      <c r="G510" s="12" t="str">
        <f>IF(Raw_Data!AH513&lt;&gt;"",Raw_Data!AH513,IF(Raw_Data!K513&lt;&gt;"",Raw_Data!K513,""))</f>
        <v/>
      </c>
      <c r="H510" s="12" t="str">
        <f>IF(Raw_Data!AI513&lt;&gt;"",Raw_Data!AI513,IF(Raw_Data!L513&lt;&gt;"",Raw_Data!L513,""))</f>
        <v/>
      </c>
      <c r="I510" s="12" t="str">
        <f t="shared" si="63"/>
        <v/>
      </c>
      <c r="J510" s="12" t="str">
        <f>IF(Raw_Data!M513="","",Raw_Data!M513)</f>
        <v/>
      </c>
      <c r="K510" s="12">
        <f>IF(Raw_Data!AJ513&lt;&gt;"",Raw_Data!AJ513,Raw_Data!N513)</f>
        <v>0</v>
      </c>
      <c r="L510" s="12">
        <f t="shared" si="64"/>
        <v>1</v>
      </c>
      <c r="M510" s="12" t="str">
        <f>IF(Raw_Data!AK513="","",Raw_Data!AK513)</f>
        <v/>
      </c>
      <c r="N510" s="12" t="str">
        <f>IF(Raw_Data!T513="","",Raw_Data!T513)</f>
        <v/>
      </c>
      <c r="O510" s="12" t="str">
        <f>IF(Raw_Data!AB513&lt;&gt;"",Raw_Data!AB513,IF(N510="tres_insatisfait",1,IF(N510="insatisfait",2,IF(N510="neutre",3,IF(N510="satisfait",4,IF(N510="tres_satisfait",5,""))))))</f>
        <v/>
      </c>
      <c r="P510" s="12">
        <f>IF(Raw_Data!AL513&lt;&gt;"",Raw_Data!AL513,Raw_Data!R513)</f>
        <v>0</v>
      </c>
      <c r="Q510" s="12">
        <f t="shared" si="65"/>
        <v>0</v>
      </c>
      <c r="R510" s="12" t="str">
        <f>IF(Raw_Data!AM513="","",Raw_Data!AM513)</f>
        <v/>
      </c>
      <c r="S510" s="12" t="str">
        <f t="shared" si="66"/>
        <v/>
      </c>
      <c r="T510" s="12" t="str">
        <f>IF(Raw_Data!AN513="","",Raw_Data!AN513)</f>
        <v/>
      </c>
      <c r="U510" s="12" t="str">
        <f t="shared" si="67"/>
        <v/>
      </c>
      <c r="V510" s="12" t="str">
        <f>IF(Raw_Data!AP513="","",IF(Raw_Data!AP513="oui",1,0))</f>
        <v/>
      </c>
      <c r="W510" s="12" t="str">
        <f>IF(Raw_Data!AQ513="","",IF(Raw_Data!AQ513="oui",1,0))</f>
        <v/>
      </c>
      <c r="X510" s="12" t="str">
        <f>IF(Raw_Data!AR513="","",IF(Raw_Data!AR513="oui",1,0))</f>
        <v/>
      </c>
      <c r="Y510" s="12" t="str">
        <f>IF(Raw_Data!AS513="","",IF(Raw_Data!AS513="oui",1,0))</f>
        <v/>
      </c>
      <c r="Z510" s="12" t="str">
        <f>IF(Raw_Data!V513="","",IF(Raw_Data!V513="oui",1,0))</f>
        <v/>
      </c>
      <c r="AA510" s="12" t="str">
        <f>IF(Raw_Data!W513="","",IF(Raw_Data!W513="oui",1,0))</f>
        <v/>
      </c>
      <c r="AB510" s="12" t="str">
        <f>IF(Raw_Data!Q513="","",IF(Raw_Data!Q513="oui",1,0))</f>
        <v/>
      </c>
      <c r="AC510" s="12">
        <f>Raw_Data!AF513</f>
        <v>0</v>
      </c>
      <c r="AD510" s="12" t="str">
        <f t="shared" si="68"/>
        <v/>
      </c>
      <c r="AE510" s="12" t="str">
        <f t="shared" si="69"/>
        <v/>
      </c>
      <c r="AF510" s="12" t="str">
        <f t="shared" si="70"/>
        <v/>
      </c>
      <c r="AG510" s="12">
        <f t="shared" si="71"/>
        <v>0</v>
      </c>
    </row>
    <row r="511" spans="1:33" ht="15" customHeight="1" x14ac:dyDescent="0.25">
      <c r="A511" s="12" t="str">
        <f>IF(Raw_Data!B514="","",Raw_Data!B514)</f>
        <v/>
      </c>
      <c r="B511" s="12">
        <f>IF(Raw_Data!X514&lt;&gt;"",Raw_Data!X514,Raw_Data!C514)</f>
        <v>0</v>
      </c>
      <c r="C511" s="12" t="str">
        <f>IF(Raw_Data!G514="","",Raw_Data!G514)</f>
        <v/>
      </c>
      <c r="D511" s="12" t="str">
        <f>IF(Raw_Data!H514="","",Raw_Data!H514)</f>
        <v/>
      </c>
      <c r="E511" s="12" t="str">
        <f>IF(Raw_Data!I514="","",Raw_Data!I514)</f>
        <v/>
      </c>
      <c r="F511" s="12" t="str">
        <f>IF(Raw_Data!J514="","",Raw_Data!J514)</f>
        <v/>
      </c>
      <c r="G511" s="12" t="str">
        <f>IF(Raw_Data!AH514&lt;&gt;"",Raw_Data!AH514,IF(Raw_Data!K514&lt;&gt;"",Raw_Data!K514,""))</f>
        <v/>
      </c>
      <c r="H511" s="12" t="str">
        <f>IF(Raw_Data!AI514&lt;&gt;"",Raw_Data!AI514,IF(Raw_Data!L514&lt;&gt;"",Raw_Data!L514,""))</f>
        <v/>
      </c>
      <c r="I511" s="12" t="str">
        <f t="shared" si="63"/>
        <v/>
      </c>
      <c r="J511" s="12" t="str">
        <f>IF(Raw_Data!M514="","",Raw_Data!M514)</f>
        <v/>
      </c>
      <c r="K511" s="12">
        <f>IF(Raw_Data!AJ514&lt;&gt;"",Raw_Data!AJ514,Raw_Data!N514)</f>
        <v>0</v>
      </c>
      <c r="L511" s="12">
        <f t="shared" si="64"/>
        <v>1</v>
      </c>
      <c r="M511" s="12" t="str">
        <f>IF(Raw_Data!AK514="","",Raw_Data!AK514)</f>
        <v/>
      </c>
      <c r="N511" s="12" t="str">
        <f>IF(Raw_Data!T514="","",Raw_Data!T514)</f>
        <v/>
      </c>
      <c r="O511" s="12" t="str">
        <f>IF(Raw_Data!AB514&lt;&gt;"",Raw_Data!AB514,IF(N511="tres_insatisfait",1,IF(N511="insatisfait",2,IF(N511="neutre",3,IF(N511="satisfait",4,IF(N511="tres_satisfait",5,""))))))</f>
        <v/>
      </c>
      <c r="P511" s="12">
        <f>IF(Raw_Data!AL514&lt;&gt;"",Raw_Data!AL514,Raw_Data!R514)</f>
        <v>0</v>
      </c>
      <c r="Q511" s="12">
        <f t="shared" si="65"/>
        <v>0</v>
      </c>
      <c r="R511" s="12" t="str">
        <f>IF(Raw_Data!AM514="","",Raw_Data!AM514)</f>
        <v/>
      </c>
      <c r="S511" s="12" t="str">
        <f t="shared" si="66"/>
        <v/>
      </c>
      <c r="T511" s="12" t="str">
        <f>IF(Raw_Data!AN514="","",Raw_Data!AN514)</f>
        <v/>
      </c>
      <c r="U511" s="12" t="str">
        <f t="shared" si="67"/>
        <v/>
      </c>
      <c r="V511" s="12" t="str">
        <f>IF(Raw_Data!AP514="","",IF(Raw_Data!AP514="oui",1,0))</f>
        <v/>
      </c>
      <c r="W511" s="12" t="str">
        <f>IF(Raw_Data!AQ514="","",IF(Raw_Data!AQ514="oui",1,0))</f>
        <v/>
      </c>
      <c r="X511" s="12" t="str">
        <f>IF(Raw_Data!AR514="","",IF(Raw_Data!AR514="oui",1,0))</f>
        <v/>
      </c>
      <c r="Y511" s="12" t="str">
        <f>IF(Raw_Data!AS514="","",IF(Raw_Data!AS514="oui",1,0))</f>
        <v/>
      </c>
      <c r="Z511" s="12" t="str">
        <f>IF(Raw_Data!V514="","",IF(Raw_Data!V514="oui",1,0))</f>
        <v/>
      </c>
      <c r="AA511" s="12" t="str">
        <f>IF(Raw_Data!W514="","",IF(Raw_Data!W514="oui",1,0))</f>
        <v/>
      </c>
      <c r="AB511" s="12" t="str">
        <f>IF(Raw_Data!Q514="","",IF(Raw_Data!Q514="oui",1,0))</f>
        <v/>
      </c>
      <c r="AC511" s="12">
        <f>Raw_Data!AF514</f>
        <v>0</v>
      </c>
      <c r="AD511" s="12" t="str">
        <f t="shared" si="68"/>
        <v/>
      </c>
      <c r="AE511" s="12" t="str">
        <f t="shared" si="69"/>
        <v/>
      </c>
      <c r="AF511" s="12" t="str">
        <f t="shared" si="70"/>
        <v/>
      </c>
      <c r="AG511" s="12">
        <f t="shared" si="71"/>
        <v>0</v>
      </c>
    </row>
    <row r="512" spans="1:33" ht="15" customHeight="1" x14ac:dyDescent="0.25">
      <c r="A512" s="12" t="str">
        <f>IF(Raw_Data!B515="","",Raw_Data!B515)</f>
        <v/>
      </c>
      <c r="B512" s="12">
        <f>IF(Raw_Data!X515&lt;&gt;"",Raw_Data!X515,Raw_Data!C515)</f>
        <v>0</v>
      </c>
      <c r="C512" s="12" t="str">
        <f>IF(Raw_Data!G515="","",Raw_Data!G515)</f>
        <v/>
      </c>
      <c r="D512" s="12" t="str">
        <f>IF(Raw_Data!H515="","",Raw_Data!H515)</f>
        <v/>
      </c>
      <c r="E512" s="12" t="str">
        <f>IF(Raw_Data!I515="","",Raw_Data!I515)</f>
        <v/>
      </c>
      <c r="F512" s="12" t="str">
        <f>IF(Raw_Data!J515="","",Raw_Data!J515)</f>
        <v/>
      </c>
      <c r="G512" s="12" t="str">
        <f>IF(Raw_Data!AH515&lt;&gt;"",Raw_Data!AH515,IF(Raw_Data!K515&lt;&gt;"",Raw_Data!K515,""))</f>
        <v/>
      </c>
      <c r="H512" s="12" t="str">
        <f>IF(Raw_Data!AI515&lt;&gt;"",Raw_Data!AI515,IF(Raw_Data!L515&lt;&gt;"",Raw_Data!L515,""))</f>
        <v/>
      </c>
      <c r="I512" s="12" t="str">
        <f t="shared" si="63"/>
        <v/>
      </c>
      <c r="J512" s="12" t="str">
        <f>IF(Raw_Data!M515="","",Raw_Data!M515)</f>
        <v/>
      </c>
      <c r="K512" s="12">
        <f>IF(Raw_Data!AJ515&lt;&gt;"",Raw_Data!AJ515,Raw_Data!N515)</f>
        <v>0</v>
      </c>
      <c r="L512" s="12">
        <f t="shared" si="64"/>
        <v>1</v>
      </c>
      <c r="M512" s="12" t="str">
        <f>IF(Raw_Data!AK515="","",Raw_Data!AK515)</f>
        <v/>
      </c>
      <c r="N512" s="12" t="str">
        <f>IF(Raw_Data!T515="","",Raw_Data!T515)</f>
        <v/>
      </c>
      <c r="O512" s="12" t="str">
        <f>IF(Raw_Data!AB515&lt;&gt;"",Raw_Data!AB515,IF(N512="tres_insatisfait",1,IF(N512="insatisfait",2,IF(N512="neutre",3,IF(N512="satisfait",4,IF(N512="tres_satisfait",5,""))))))</f>
        <v/>
      </c>
      <c r="P512" s="12">
        <f>IF(Raw_Data!AL515&lt;&gt;"",Raw_Data!AL515,Raw_Data!R515)</f>
        <v>0</v>
      </c>
      <c r="Q512" s="12">
        <f t="shared" si="65"/>
        <v>0</v>
      </c>
      <c r="R512" s="12" t="str">
        <f>IF(Raw_Data!AM515="","",Raw_Data!AM515)</f>
        <v/>
      </c>
      <c r="S512" s="12" t="str">
        <f t="shared" si="66"/>
        <v/>
      </c>
      <c r="T512" s="12" t="str">
        <f>IF(Raw_Data!AN515="","",Raw_Data!AN515)</f>
        <v/>
      </c>
      <c r="U512" s="12" t="str">
        <f t="shared" si="67"/>
        <v/>
      </c>
      <c r="V512" s="12" t="str">
        <f>IF(Raw_Data!AP515="","",IF(Raw_Data!AP515="oui",1,0))</f>
        <v/>
      </c>
      <c r="W512" s="12" t="str">
        <f>IF(Raw_Data!AQ515="","",IF(Raw_Data!AQ515="oui",1,0))</f>
        <v/>
      </c>
      <c r="X512" s="12" t="str">
        <f>IF(Raw_Data!AR515="","",IF(Raw_Data!AR515="oui",1,0))</f>
        <v/>
      </c>
      <c r="Y512" s="12" t="str">
        <f>IF(Raw_Data!AS515="","",IF(Raw_Data!AS515="oui",1,0))</f>
        <v/>
      </c>
      <c r="Z512" s="12" t="str">
        <f>IF(Raw_Data!V515="","",IF(Raw_Data!V515="oui",1,0))</f>
        <v/>
      </c>
      <c r="AA512" s="12" t="str">
        <f>IF(Raw_Data!W515="","",IF(Raw_Data!W515="oui",1,0))</f>
        <v/>
      </c>
      <c r="AB512" s="12" t="str">
        <f>IF(Raw_Data!Q515="","",IF(Raw_Data!Q515="oui",1,0))</f>
        <v/>
      </c>
      <c r="AC512" s="12">
        <f>Raw_Data!AF515</f>
        <v>0</v>
      </c>
      <c r="AD512" s="12" t="str">
        <f t="shared" si="68"/>
        <v/>
      </c>
      <c r="AE512" s="12" t="str">
        <f t="shared" si="69"/>
        <v/>
      </c>
      <c r="AF512" s="12" t="str">
        <f t="shared" si="70"/>
        <v/>
      </c>
      <c r="AG512" s="12">
        <f t="shared" si="71"/>
        <v>0</v>
      </c>
    </row>
    <row r="513" spans="1:33" ht="15" customHeight="1" x14ac:dyDescent="0.25">
      <c r="A513" s="12" t="str">
        <f>IF(Raw_Data!B516="","",Raw_Data!B516)</f>
        <v/>
      </c>
      <c r="B513" s="12">
        <f>IF(Raw_Data!X516&lt;&gt;"",Raw_Data!X516,Raw_Data!C516)</f>
        <v>0</v>
      </c>
      <c r="C513" s="12" t="str">
        <f>IF(Raw_Data!G516="","",Raw_Data!G516)</f>
        <v/>
      </c>
      <c r="D513" s="12" t="str">
        <f>IF(Raw_Data!H516="","",Raw_Data!H516)</f>
        <v/>
      </c>
      <c r="E513" s="12" t="str">
        <f>IF(Raw_Data!I516="","",Raw_Data!I516)</f>
        <v/>
      </c>
      <c r="F513" s="12" t="str">
        <f>IF(Raw_Data!J516="","",Raw_Data!J516)</f>
        <v/>
      </c>
      <c r="G513" s="12" t="str">
        <f>IF(Raw_Data!AH516&lt;&gt;"",Raw_Data!AH516,IF(Raw_Data!K516&lt;&gt;"",Raw_Data!K516,""))</f>
        <v/>
      </c>
      <c r="H513" s="12" t="str">
        <f>IF(Raw_Data!AI516&lt;&gt;"",Raw_Data!AI516,IF(Raw_Data!L516&lt;&gt;"",Raw_Data!L516,""))</f>
        <v/>
      </c>
      <c r="I513" s="12" t="str">
        <f t="shared" si="63"/>
        <v/>
      </c>
      <c r="J513" s="12" t="str">
        <f>IF(Raw_Data!M516="","",Raw_Data!M516)</f>
        <v/>
      </c>
      <c r="K513" s="12">
        <f>IF(Raw_Data!AJ516&lt;&gt;"",Raw_Data!AJ516,Raw_Data!N516)</f>
        <v>0</v>
      </c>
      <c r="L513" s="12">
        <f t="shared" si="64"/>
        <v>1</v>
      </c>
      <c r="M513" s="12" t="str">
        <f>IF(Raw_Data!AK516="","",Raw_Data!AK516)</f>
        <v/>
      </c>
      <c r="N513" s="12" t="str">
        <f>IF(Raw_Data!T516="","",Raw_Data!T516)</f>
        <v/>
      </c>
      <c r="O513" s="12" t="str">
        <f>IF(Raw_Data!AB516&lt;&gt;"",Raw_Data!AB516,IF(N513="tres_insatisfait",1,IF(N513="insatisfait",2,IF(N513="neutre",3,IF(N513="satisfait",4,IF(N513="tres_satisfait",5,""))))))</f>
        <v/>
      </c>
      <c r="P513" s="12">
        <f>IF(Raw_Data!AL516&lt;&gt;"",Raw_Data!AL516,Raw_Data!R516)</f>
        <v>0</v>
      </c>
      <c r="Q513" s="12">
        <f t="shared" si="65"/>
        <v>0</v>
      </c>
      <c r="R513" s="12" t="str">
        <f>IF(Raw_Data!AM516="","",Raw_Data!AM516)</f>
        <v/>
      </c>
      <c r="S513" s="12" t="str">
        <f t="shared" si="66"/>
        <v/>
      </c>
      <c r="T513" s="12" t="str">
        <f>IF(Raw_Data!AN516="","",Raw_Data!AN516)</f>
        <v/>
      </c>
      <c r="U513" s="12" t="str">
        <f t="shared" si="67"/>
        <v/>
      </c>
      <c r="V513" s="12" t="str">
        <f>IF(Raw_Data!AP516="","",IF(Raw_Data!AP516="oui",1,0))</f>
        <v/>
      </c>
      <c r="W513" s="12" t="str">
        <f>IF(Raw_Data!AQ516="","",IF(Raw_Data!AQ516="oui",1,0))</f>
        <v/>
      </c>
      <c r="X513" s="12" t="str">
        <f>IF(Raw_Data!AR516="","",IF(Raw_Data!AR516="oui",1,0))</f>
        <v/>
      </c>
      <c r="Y513" s="12" t="str">
        <f>IF(Raw_Data!AS516="","",IF(Raw_Data!AS516="oui",1,0))</f>
        <v/>
      </c>
      <c r="Z513" s="12" t="str">
        <f>IF(Raw_Data!V516="","",IF(Raw_Data!V516="oui",1,0))</f>
        <v/>
      </c>
      <c r="AA513" s="12" t="str">
        <f>IF(Raw_Data!W516="","",IF(Raw_Data!W516="oui",1,0))</f>
        <v/>
      </c>
      <c r="AB513" s="12" t="str">
        <f>IF(Raw_Data!Q516="","",IF(Raw_Data!Q516="oui",1,0))</f>
        <v/>
      </c>
      <c r="AC513" s="12">
        <f>Raw_Data!AF516</f>
        <v>0</v>
      </c>
      <c r="AD513" s="12" t="str">
        <f t="shared" si="68"/>
        <v/>
      </c>
      <c r="AE513" s="12" t="str">
        <f t="shared" si="69"/>
        <v/>
      </c>
      <c r="AF513" s="12" t="str">
        <f t="shared" si="70"/>
        <v/>
      </c>
      <c r="AG513" s="12">
        <f t="shared" si="71"/>
        <v>0</v>
      </c>
    </row>
    <row r="514" spans="1:33" ht="15" customHeight="1" x14ac:dyDescent="0.25">
      <c r="A514" s="12" t="str">
        <f>IF(Raw_Data!B517="","",Raw_Data!B517)</f>
        <v/>
      </c>
      <c r="B514" s="12">
        <f>IF(Raw_Data!X517&lt;&gt;"",Raw_Data!X517,Raw_Data!C517)</f>
        <v>0</v>
      </c>
      <c r="C514" s="12" t="str">
        <f>IF(Raw_Data!G517="","",Raw_Data!G517)</f>
        <v/>
      </c>
      <c r="D514" s="12" t="str">
        <f>IF(Raw_Data!H517="","",Raw_Data!H517)</f>
        <v/>
      </c>
      <c r="E514" s="12" t="str">
        <f>IF(Raw_Data!I517="","",Raw_Data!I517)</f>
        <v/>
      </c>
      <c r="F514" s="12" t="str">
        <f>IF(Raw_Data!J517="","",Raw_Data!J517)</f>
        <v/>
      </c>
      <c r="G514" s="12" t="str">
        <f>IF(Raw_Data!AH517&lt;&gt;"",Raw_Data!AH517,IF(Raw_Data!K517&lt;&gt;"",Raw_Data!K517,""))</f>
        <v/>
      </c>
      <c r="H514" s="12" t="str">
        <f>IF(Raw_Data!AI517&lt;&gt;"",Raw_Data!AI517,IF(Raw_Data!L517&lt;&gt;"",Raw_Data!L517,""))</f>
        <v/>
      </c>
      <c r="I514" s="12" t="str">
        <f t="shared" ref="I514:I577" si="72">IF(H514="","",IF(H514&lt;18,"&lt;18 ans",IF(H514&lt;60,"18-59 ans","60 ans et +")))</f>
        <v/>
      </c>
      <c r="J514" s="12" t="str">
        <f>IF(Raw_Data!M517="","",Raw_Data!M517)</f>
        <v/>
      </c>
      <c r="K514" s="12">
        <f>IF(Raw_Data!AJ517&lt;&gt;"",Raw_Data!AJ517,Raw_Data!N517)</f>
        <v>0</v>
      </c>
      <c r="L514" s="12">
        <f t="shared" ref="L514:L577" si="73">IF(K514="",0,1)</f>
        <v>1</v>
      </c>
      <c r="M514" s="12" t="str">
        <f>IF(Raw_Data!AK517="","",Raw_Data!AK517)</f>
        <v/>
      </c>
      <c r="N514" s="12" t="str">
        <f>IF(Raw_Data!T517="","",Raw_Data!T517)</f>
        <v/>
      </c>
      <c r="O514" s="12" t="str">
        <f>IF(Raw_Data!AB517&lt;&gt;"",Raw_Data!AB517,IF(N514="tres_insatisfait",1,IF(N514="insatisfait",2,IF(N514="neutre",3,IF(N514="satisfait",4,IF(N514="tres_satisfait",5,""))))))</f>
        <v/>
      </c>
      <c r="P514" s="12">
        <f>IF(Raw_Data!AL517&lt;&gt;"",Raw_Data!AL517,Raw_Data!R517)</f>
        <v>0</v>
      </c>
      <c r="Q514" s="12">
        <f t="shared" ref="Q514:Q577" si="74">IF(P514="","",IF(P514="oui",1,0))</f>
        <v>0</v>
      </c>
      <c r="R514" s="12" t="str">
        <f>IF(Raw_Data!AM517="","",Raw_Data!AM517)</f>
        <v/>
      </c>
      <c r="S514" s="12" t="str">
        <f t="shared" ref="S514:S577" si="75">IF(R514="","",IF(R514="oui",1,0))</f>
        <v/>
      </c>
      <c r="T514" s="12" t="str">
        <f>IF(Raw_Data!AN517="","",Raw_Data!AN517)</f>
        <v/>
      </c>
      <c r="U514" s="12" t="str">
        <f t="shared" ref="U514:U577" si="76">IF(T514="","",IF(T514="oui",1,0))</f>
        <v/>
      </c>
      <c r="V514" s="12" t="str">
        <f>IF(Raw_Data!AP517="","",IF(Raw_Data!AP517="oui",1,0))</f>
        <v/>
      </c>
      <c r="W514" s="12" t="str">
        <f>IF(Raw_Data!AQ517="","",IF(Raw_Data!AQ517="oui",1,0))</f>
        <v/>
      </c>
      <c r="X514" s="12" t="str">
        <f>IF(Raw_Data!AR517="","",IF(Raw_Data!AR517="oui",1,0))</f>
        <v/>
      </c>
      <c r="Y514" s="12" t="str">
        <f>IF(Raw_Data!AS517="","",IF(Raw_Data!AS517="oui",1,0))</f>
        <v/>
      </c>
      <c r="Z514" s="12" t="str">
        <f>IF(Raw_Data!V517="","",IF(Raw_Data!V517="oui",1,0))</f>
        <v/>
      </c>
      <c r="AA514" s="12" t="str">
        <f>IF(Raw_Data!W517="","",IF(Raw_Data!W517="oui",1,0))</f>
        <v/>
      </c>
      <c r="AB514" s="12" t="str">
        <f>IF(Raw_Data!Q517="","",IF(Raw_Data!Q517="oui",1,0))</f>
        <v/>
      </c>
      <c r="AC514" s="12">
        <f>Raw_Data!AF517</f>
        <v>0</v>
      </c>
      <c r="AD514" s="12" t="str">
        <f t="shared" ref="AD514:AD577" si="77">IF(A514="","",F514&amp;"|"&amp;E514&amp;"|"&amp;TEXT(B514,"YYYY-MM-DD"))</f>
        <v/>
      </c>
      <c r="AE514" s="12" t="str">
        <f t="shared" ref="AE514:AE577" si="78">IF(AD514="","",IF(COUNTIF($AD$2:$AD$1000,AD514)&gt;1,1,0))</f>
        <v/>
      </c>
      <c r="AF514" s="12" t="str">
        <f t="shared" ref="AF514:AF577" si="79">IF(A514="","",IF(OR(C514="",D514="",G514="",H514="",N514=""),1,0))</f>
        <v/>
      </c>
      <c r="AG514" s="12">
        <f t="shared" ref="AG514:AG577" si="80">IF(A514="",0,1)</f>
        <v>0</v>
      </c>
    </row>
    <row r="515" spans="1:33" ht="15" customHeight="1" x14ac:dyDescent="0.25">
      <c r="A515" s="12" t="str">
        <f>IF(Raw_Data!B518="","",Raw_Data!B518)</f>
        <v/>
      </c>
      <c r="B515" s="12">
        <f>IF(Raw_Data!X518&lt;&gt;"",Raw_Data!X518,Raw_Data!C518)</f>
        <v>0</v>
      </c>
      <c r="C515" s="12" t="str">
        <f>IF(Raw_Data!G518="","",Raw_Data!G518)</f>
        <v/>
      </c>
      <c r="D515" s="12" t="str">
        <f>IF(Raw_Data!H518="","",Raw_Data!H518)</f>
        <v/>
      </c>
      <c r="E515" s="12" t="str">
        <f>IF(Raw_Data!I518="","",Raw_Data!I518)</f>
        <v/>
      </c>
      <c r="F515" s="12" t="str">
        <f>IF(Raw_Data!J518="","",Raw_Data!J518)</f>
        <v/>
      </c>
      <c r="G515" s="12" t="str">
        <f>IF(Raw_Data!AH518&lt;&gt;"",Raw_Data!AH518,IF(Raw_Data!K518&lt;&gt;"",Raw_Data!K518,""))</f>
        <v/>
      </c>
      <c r="H515" s="12" t="str">
        <f>IF(Raw_Data!AI518&lt;&gt;"",Raw_Data!AI518,IF(Raw_Data!L518&lt;&gt;"",Raw_Data!L518,""))</f>
        <v/>
      </c>
      <c r="I515" s="12" t="str">
        <f t="shared" si="72"/>
        <v/>
      </c>
      <c r="J515" s="12" t="str">
        <f>IF(Raw_Data!M518="","",Raw_Data!M518)</f>
        <v/>
      </c>
      <c r="K515" s="12">
        <f>IF(Raw_Data!AJ518&lt;&gt;"",Raw_Data!AJ518,Raw_Data!N518)</f>
        <v>0</v>
      </c>
      <c r="L515" s="12">
        <f t="shared" si="73"/>
        <v>1</v>
      </c>
      <c r="M515" s="12" t="str">
        <f>IF(Raw_Data!AK518="","",Raw_Data!AK518)</f>
        <v/>
      </c>
      <c r="N515" s="12" t="str">
        <f>IF(Raw_Data!T518="","",Raw_Data!T518)</f>
        <v/>
      </c>
      <c r="O515" s="12" t="str">
        <f>IF(Raw_Data!AB518&lt;&gt;"",Raw_Data!AB518,IF(N515="tres_insatisfait",1,IF(N515="insatisfait",2,IF(N515="neutre",3,IF(N515="satisfait",4,IF(N515="tres_satisfait",5,""))))))</f>
        <v/>
      </c>
      <c r="P515" s="12">
        <f>IF(Raw_Data!AL518&lt;&gt;"",Raw_Data!AL518,Raw_Data!R518)</f>
        <v>0</v>
      </c>
      <c r="Q515" s="12">
        <f t="shared" si="74"/>
        <v>0</v>
      </c>
      <c r="R515" s="12" t="str">
        <f>IF(Raw_Data!AM518="","",Raw_Data!AM518)</f>
        <v/>
      </c>
      <c r="S515" s="12" t="str">
        <f t="shared" si="75"/>
        <v/>
      </c>
      <c r="T515" s="12" t="str">
        <f>IF(Raw_Data!AN518="","",Raw_Data!AN518)</f>
        <v/>
      </c>
      <c r="U515" s="12" t="str">
        <f t="shared" si="76"/>
        <v/>
      </c>
      <c r="V515" s="12" t="str">
        <f>IF(Raw_Data!AP518="","",IF(Raw_Data!AP518="oui",1,0))</f>
        <v/>
      </c>
      <c r="W515" s="12" t="str">
        <f>IF(Raw_Data!AQ518="","",IF(Raw_Data!AQ518="oui",1,0))</f>
        <v/>
      </c>
      <c r="X515" s="12" t="str">
        <f>IF(Raw_Data!AR518="","",IF(Raw_Data!AR518="oui",1,0))</f>
        <v/>
      </c>
      <c r="Y515" s="12" t="str">
        <f>IF(Raw_Data!AS518="","",IF(Raw_Data!AS518="oui",1,0))</f>
        <v/>
      </c>
      <c r="Z515" s="12" t="str">
        <f>IF(Raw_Data!V518="","",IF(Raw_Data!V518="oui",1,0))</f>
        <v/>
      </c>
      <c r="AA515" s="12" t="str">
        <f>IF(Raw_Data!W518="","",IF(Raw_Data!W518="oui",1,0))</f>
        <v/>
      </c>
      <c r="AB515" s="12" t="str">
        <f>IF(Raw_Data!Q518="","",IF(Raw_Data!Q518="oui",1,0))</f>
        <v/>
      </c>
      <c r="AC515" s="12">
        <f>Raw_Data!AF518</f>
        <v>0</v>
      </c>
      <c r="AD515" s="12" t="str">
        <f t="shared" si="77"/>
        <v/>
      </c>
      <c r="AE515" s="12" t="str">
        <f t="shared" si="78"/>
        <v/>
      </c>
      <c r="AF515" s="12" t="str">
        <f t="shared" si="79"/>
        <v/>
      </c>
      <c r="AG515" s="12">
        <f t="shared" si="80"/>
        <v>0</v>
      </c>
    </row>
    <row r="516" spans="1:33" ht="15" customHeight="1" x14ac:dyDescent="0.25">
      <c r="A516" s="12" t="str">
        <f>IF(Raw_Data!B519="","",Raw_Data!B519)</f>
        <v/>
      </c>
      <c r="B516" s="12">
        <f>IF(Raw_Data!X519&lt;&gt;"",Raw_Data!X519,Raw_Data!C519)</f>
        <v>0</v>
      </c>
      <c r="C516" s="12" t="str">
        <f>IF(Raw_Data!G519="","",Raw_Data!G519)</f>
        <v/>
      </c>
      <c r="D516" s="12" t="str">
        <f>IF(Raw_Data!H519="","",Raw_Data!H519)</f>
        <v/>
      </c>
      <c r="E516" s="12" t="str">
        <f>IF(Raw_Data!I519="","",Raw_Data!I519)</f>
        <v/>
      </c>
      <c r="F516" s="12" t="str">
        <f>IF(Raw_Data!J519="","",Raw_Data!J519)</f>
        <v/>
      </c>
      <c r="G516" s="12" t="str">
        <f>IF(Raw_Data!AH519&lt;&gt;"",Raw_Data!AH519,IF(Raw_Data!K519&lt;&gt;"",Raw_Data!K519,""))</f>
        <v/>
      </c>
      <c r="H516" s="12" t="str">
        <f>IF(Raw_Data!AI519&lt;&gt;"",Raw_Data!AI519,IF(Raw_Data!L519&lt;&gt;"",Raw_Data!L519,""))</f>
        <v/>
      </c>
      <c r="I516" s="12" t="str">
        <f t="shared" si="72"/>
        <v/>
      </c>
      <c r="J516" s="12" t="str">
        <f>IF(Raw_Data!M519="","",Raw_Data!M519)</f>
        <v/>
      </c>
      <c r="K516" s="12">
        <f>IF(Raw_Data!AJ519&lt;&gt;"",Raw_Data!AJ519,Raw_Data!N519)</f>
        <v>0</v>
      </c>
      <c r="L516" s="12">
        <f t="shared" si="73"/>
        <v>1</v>
      </c>
      <c r="M516" s="12" t="str">
        <f>IF(Raw_Data!AK519="","",Raw_Data!AK519)</f>
        <v/>
      </c>
      <c r="N516" s="12" t="str">
        <f>IF(Raw_Data!T519="","",Raw_Data!T519)</f>
        <v/>
      </c>
      <c r="O516" s="12" t="str">
        <f>IF(Raw_Data!AB519&lt;&gt;"",Raw_Data!AB519,IF(N516="tres_insatisfait",1,IF(N516="insatisfait",2,IF(N516="neutre",3,IF(N516="satisfait",4,IF(N516="tres_satisfait",5,""))))))</f>
        <v/>
      </c>
      <c r="P516" s="12">
        <f>IF(Raw_Data!AL519&lt;&gt;"",Raw_Data!AL519,Raw_Data!R519)</f>
        <v>0</v>
      </c>
      <c r="Q516" s="12">
        <f t="shared" si="74"/>
        <v>0</v>
      </c>
      <c r="R516" s="12" t="str">
        <f>IF(Raw_Data!AM519="","",Raw_Data!AM519)</f>
        <v/>
      </c>
      <c r="S516" s="12" t="str">
        <f t="shared" si="75"/>
        <v/>
      </c>
      <c r="T516" s="12" t="str">
        <f>IF(Raw_Data!AN519="","",Raw_Data!AN519)</f>
        <v/>
      </c>
      <c r="U516" s="12" t="str">
        <f t="shared" si="76"/>
        <v/>
      </c>
      <c r="V516" s="12" t="str">
        <f>IF(Raw_Data!AP519="","",IF(Raw_Data!AP519="oui",1,0))</f>
        <v/>
      </c>
      <c r="W516" s="12" t="str">
        <f>IF(Raw_Data!AQ519="","",IF(Raw_Data!AQ519="oui",1,0))</f>
        <v/>
      </c>
      <c r="X516" s="12" t="str">
        <f>IF(Raw_Data!AR519="","",IF(Raw_Data!AR519="oui",1,0))</f>
        <v/>
      </c>
      <c r="Y516" s="12" t="str">
        <f>IF(Raw_Data!AS519="","",IF(Raw_Data!AS519="oui",1,0))</f>
        <v/>
      </c>
      <c r="Z516" s="12" t="str">
        <f>IF(Raw_Data!V519="","",IF(Raw_Data!V519="oui",1,0))</f>
        <v/>
      </c>
      <c r="AA516" s="12" t="str">
        <f>IF(Raw_Data!W519="","",IF(Raw_Data!W519="oui",1,0))</f>
        <v/>
      </c>
      <c r="AB516" s="12" t="str">
        <f>IF(Raw_Data!Q519="","",IF(Raw_Data!Q519="oui",1,0))</f>
        <v/>
      </c>
      <c r="AC516" s="12">
        <f>Raw_Data!AF519</f>
        <v>0</v>
      </c>
      <c r="AD516" s="12" t="str">
        <f t="shared" si="77"/>
        <v/>
      </c>
      <c r="AE516" s="12" t="str">
        <f t="shared" si="78"/>
        <v/>
      </c>
      <c r="AF516" s="12" t="str">
        <f t="shared" si="79"/>
        <v/>
      </c>
      <c r="AG516" s="12">
        <f t="shared" si="80"/>
        <v>0</v>
      </c>
    </row>
    <row r="517" spans="1:33" ht="15" customHeight="1" x14ac:dyDescent="0.25">
      <c r="A517" s="12" t="str">
        <f>IF(Raw_Data!B520="","",Raw_Data!B520)</f>
        <v/>
      </c>
      <c r="B517" s="12">
        <f>IF(Raw_Data!X520&lt;&gt;"",Raw_Data!X520,Raw_Data!C520)</f>
        <v>0</v>
      </c>
      <c r="C517" s="12" t="str">
        <f>IF(Raw_Data!G520="","",Raw_Data!G520)</f>
        <v/>
      </c>
      <c r="D517" s="12" t="str">
        <f>IF(Raw_Data!H520="","",Raw_Data!H520)</f>
        <v/>
      </c>
      <c r="E517" s="12" t="str">
        <f>IF(Raw_Data!I520="","",Raw_Data!I520)</f>
        <v/>
      </c>
      <c r="F517" s="12" t="str">
        <f>IF(Raw_Data!J520="","",Raw_Data!J520)</f>
        <v/>
      </c>
      <c r="G517" s="12" t="str">
        <f>IF(Raw_Data!AH520&lt;&gt;"",Raw_Data!AH520,IF(Raw_Data!K520&lt;&gt;"",Raw_Data!K520,""))</f>
        <v/>
      </c>
      <c r="H517" s="12" t="str">
        <f>IF(Raw_Data!AI520&lt;&gt;"",Raw_Data!AI520,IF(Raw_Data!L520&lt;&gt;"",Raw_Data!L520,""))</f>
        <v/>
      </c>
      <c r="I517" s="12" t="str">
        <f t="shared" si="72"/>
        <v/>
      </c>
      <c r="J517" s="12" t="str">
        <f>IF(Raw_Data!M520="","",Raw_Data!M520)</f>
        <v/>
      </c>
      <c r="K517" s="12">
        <f>IF(Raw_Data!AJ520&lt;&gt;"",Raw_Data!AJ520,Raw_Data!N520)</f>
        <v>0</v>
      </c>
      <c r="L517" s="12">
        <f t="shared" si="73"/>
        <v>1</v>
      </c>
      <c r="M517" s="12" t="str">
        <f>IF(Raw_Data!AK520="","",Raw_Data!AK520)</f>
        <v/>
      </c>
      <c r="N517" s="12" t="str">
        <f>IF(Raw_Data!T520="","",Raw_Data!T520)</f>
        <v/>
      </c>
      <c r="O517" s="12" t="str">
        <f>IF(Raw_Data!AB520&lt;&gt;"",Raw_Data!AB520,IF(N517="tres_insatisfait",1,IF(N517="insatisfait",2,IF(N517="neutre",3,IF(N517="satisfait",4,IF(N517="tres_satisfait",5,""))))))</f>
        <v/>
      </c>
      <c r="P517" s="12">
        <f>IF(Raw_Data!AL520&lt;&gt;"",Raw_Data!AL520,Raw_Data!R520)</f>
        <v>0</v>
      </c>
      <c r="Q517" s="12">
        <f t="shared" si="74"/>
        <v>0</v>
      </c>
      <c r="R517" s="12" t="str">
        <f>IF(Raw_Data!AM520="","",Raw_Data!AM520)</f>
        <v/>
      </c>
      <c r="S517" s="12" t="str">
        <f t="shared" si="75"/>
        <v/>
      </c>
      <c r="T517" s="12" t="str">
        <f>IF(Raw_Data!AN520="","",Raw_Data!AN520)</f>
        <v/>
      </c>
      <c r="U517" s="12" t="str">
        <f t="shared" si="76"/>
        <v/>
      </c>
      <c r="V517" s="12" t="str">
        <f>IF(Raw_Data!AP520="","",IF(Raw_Data!AP520="oui",1,0))</f>
        <v/>
      </c>
      <c r="W517" s="12" t="str">
        <f>IF(Raw_Data!AQ520="","",IF(Raw_Data!AQ520="oui",1,0))</f>
        <v/>
      </c>
      <c r="X517" s="12" t="str">
        <f>IF(Raw_Data!AR520="","",IF(Raw_Data!AR520="oui",1,0))</f>
        <v/>
      </c>
      <c r="Y517" s="12" t="str">
        <f>IF(Raw_Data!AS520="","",IF(Raw_Data!AS520="oui",1,0))</f>
        <v/>
      </c>
      <c r="Z517" s="12" t="str">
        <f>IF(Raw_Data!V520="","",IF(Raw_Data!V520="oui",1,0))</f>
        <v/>
      </c>
      <c r="AA517" s="12" t="str">
        <f>IF(Raw_Data!W520="","",IF(Raw_Data!W520="oui",1,0))</f>
        <v/>
      </c>
      <c r="AB517" s="12" t="str">
        <f>IF(Raw_Data!Q520="","",IF(Raw_Data!Q520="oui",1,0))</f>
        <v/>
      </c>
      <c r="AC517" s="12">
        <f>Raw_Data!AF520</f>
        <v>0</v>
      </c>
      <c r="AD517" s="12" t="str">
        <f t="shared" si="77"/>
        <v/>
      </c>
      <c r="AE517" s="12" t="str">
        <f t="shared" si="78"/>
        <v/>
      </c>
      <c r="AF517" s="12" t="str">
        <f t="shared" si="79"/>
        <v/>
      </c>
      <c r="AG517" s="12">
        <f t="shared" si="80"/>
        <v>0</v>
      </c>
    </row>
    <row r="518" spans="1:33" ht="15" customHeight="1" x14ac:dyDescent="0.25">
      <c r="A518" s="12" t="str">
        <f>IF(Raw_Data!B521="","",Raw_Data!B521)</f>
        <v/>
      </c>
      <c r="B518" s="12">
        <f>IF(Raw_Data!X521&lt;&gt;"",Raw_Data!X521,Raw_Data!C521)</f>
        <v>0</v>
      </c>
      <c r="C518" s="12" t="str">
        <f>IF(Raw_Data!G521="","",Raw_Data!G521)</f>
        <v/>
      </c>
      <c r="D518" s="12" t="str">
        <f>IF(Raw_Data!H521="","",Raw_Data!H521)</f>
        <v/>
      </c>
      <c r="E518" s="12" t="str">
        <f>IF(Raw_Data!I521="","",Raw_Data!I521)</f>
        <v/>
      </c>
      <c r="F518" s="12" t="str">
        <f>IF(Raw_Data!J521="","",Raw_Data!J521)</f>
        <v/>
      </c>
      <c r="G518" s="12" t="str">
        <f>IF(Raw_Data!AH521&lt;&gt;"",Raw_Data!AH521,IF(Raw_Data!K521&lt;&gt;"",Raw_Data!K521,""))</f>
        <v/>
      </c>
      <c r="H518" s="12" t="str">
        <f>IF(Raw_Data!AI521&lt;&gt;"",Raw_Data!AI521,IF(Raw_Data!L521&lt;&gt;"",Raw_Data!L521,""))</f>
        <v/>
      </c>
      <c r="I518" s="12" t="str">
        <f t="shared" si="72"/>
        <v/>
      </c>
      <c r="J518" s="12" t="str">
        <f>IF(Raw_Data!M521="","",Raw_Data!M521)</f>
        <v/>
      </c>
      <c r="K518" s="12">
        <f>IF(Raw_Data!AJ521&lt;&gt;"",Raw_Data!AJ521,Raw_Data!N521)</f>
        <v>0</v>
      </c>
      <c r="L518" s="12">
        <f t="shared" si="73"/>
        <v>1</v>
      </c>
      <c r="M518" s="12" t="str">
        <f>IF(Raw_Data!AK521="","",Raw_Data!AK521)</f>
        <v/>
      </c>
      <c r="N518" s="12" t="str">
        <f>IF(Raw_Data!T521="","",Raw_Data!T521)</f>
        <v/>
      </c>
      <c r="O518" s="12" t="str">
        <f>IF(Raw_Data!AB521&lt;&gt;"",Raw_Data!AB521,IF(N518="tres_insatisfait",1,IF(N518="insatisfait",2,IF(N518="neutre",3,IF(N518="satisfait",4,IF(N518="tres_satisfait",5,""))))))</f>
        <v/>
      </c>
      <c r="P518" s="12">
        <f>IF(Raw_Data!AL521&lt;&gt;"",Raw_Data!AL521,Raw_Data!R521)</f>
        <v>0</v>
      </c>
      <c r="Q518" s="12">
        <f t="shared" si="74"/>
        <v>0</v>
      </c>
      <c r="R518" s="12" t="str">
        <f>IF(Raw_Data!AM521="","",Raw_Data!AM521)</f>
        <v/>
      </c>
      <c r="S518" s="12" t="str">
        <f t="shared" si="75"/>
        <v/>
      </c>
      <c r="T518" s="12" t="str">
        <f>IF(Raw_Data!AN521="","",Raw_Data!AN521)</f>
        <v/>
      </c>
      <c r="U518" s="12" t="str">
        <f t="shared" si="76"/>
        <v/>
      </c>
      <c r="V518" s="12" t="str">
        <f>IF(Raw_Data!AP521="","",IF(Raw_Data!AP521="oui",1,0))</f>
        <v/>
      </c>
      <c r="W518" s="12" t="str">
        <f>IF(Raw_Data!AQ521="","",IF(Raw_Data!AQ521="oui",1,0))</f>
        <v/>
      </c>
      <c r="X518" s="12" t="str">
        <f>IF(Raw_Data!AR521="","",IF(Raw_Data!AR521="oui",1,0))</f>
        <v/>
      </c>
      <c r="Y518" s="12" t="str">
        <f>IF(Raw_Data!AS521="","",IF(Raw_Data!AS521="oui",1,0))</f>
        <v/>
      </c>
      <c r="Z518" s="12" t="str">
        <f>IF(Raw_Data!V521="","",IF(Raw_Data!V521="oui",1,0))</f>
        <v/>
      </c>
      <c r="AA518" s="12" t="str">
        <f>IF(Raw_Data!W521="","",IF(Raw_Data!W521="oui",1,0))</f>
        <v/>
      </c>
      <c r="AB518" s="12" t="str">
        <f>IF(Raw_Data!Q521="","",IF(Raw_Data!Q521="oui",1,0))</f>
        <v/>
      </c>
      <c r="AC518" s="12">
        <f>Raw_Data!AF521</f>
        <v>0</v>
      </c>
      <c r="AD518" s="12" t="str">
        <f t="shared" si="77"/>
        <v/>
      </c>
      <c r="AE518" s="12" t="str">
        <f t="shared" si="78"/>
        <v/>
      </c>
      <c r="AF518" s="12" t="str">
        <f t="shared" si="79"/>
        <v/>
      </c>
      <c r="AG518" s="12">
        <f t="shared" si="80"/>
        <v>0</v>
      </c>
    </row>
    <row r="519" spans="1:33" ht="15" customHeight="1" x14ac:dyDescent="0.25">
      <c r="A519" s="12" t="str">
        <f>IF(Raw_Data!B522="","",Raw_Data!B522)</f>
        <v/>
      </c>
      <c r="B519" s="12">
        <f>IF(Raw_Data!X522&lt;&gt;"",Raw_Data!X522,Raw_Data!C522)</f>
        <v>0</v>
      </c>
      <c r="C519" s="12" t="str">
        <f>IF(Raw_Data!G522="","",Raw_Data!G522)</f>
        <v/>
      </c>
      <c r="D519" s="12" t="str">
        <f>IF(Raw_Data!H522="","",Raw_Data!H522)</f>
        <v/>
      </c>
      <c r="E519" s="12" t="str">
        <f>IF(Raw_Data!I522="","",Raw_Data!I522)</f>
        <v/>
      </c>
      <c r="F519" s="12" t="str">
        <f>IF(Raw_Data!J522="","",Raw_Data!J522)</f>
        <v/>
      </c>
      <c r="G519" s="12" t="str">
        <f>IF(Raw_Data!AH522&lt;&gt;"",Raw_Data!AH522,IF(Raw_Data!K522&lt;&gt;"",Raw_Data!K522,""))</f>
        <v/>
      </c>
      <c r="H519" s="12" t="str">
        <f>IF(Raw_Data!AI522&lt;&gt;"",Raw_Data!AI522,IF(Raw_Data!L522&lt;&gt;"",Raw_Data!L522,""))</f>
        <v/>
      </c>
      <c r="I519" s="12" t="str">
        <f t="shared" si="72"/>
        <v/>
      </c>
      <c r="J519" s="12" t="str">
        <f>IF(Raw_Data!M522="","",Raw_Data!M522)</f>
        <v/>
      </c>
      <c r="K519" s="12">
        <f>IF(Raw_Data!AJ522&lt;&gt;"",Raw_Data!AJ522,Raw_Data!N522)</f>
        <v>0</v>
      </c>
      <c r="L519" s="12">
        <f t="shared" si="73"/>
        <v>1</v>
      </c>
      <c r="M519" s="12" t="str">
        <f>IF(Raw_Data!AK522="","",Raw_Data!AK522)</f>
        <v/>
      </c>
      <c r="N519" s="12" t="str">
        <f>IF(Raw_Data!T522="","",Raw_Data!T522)</f>
        <v/>
      </c>
      <c r="O519" s="12" t="str">
        <f>IF(Raw_Data!AB522&lt;&gt;"",Raw_Data!AB522,IF(N519="tres_insatisfait",1,IF(N519="insatisfait",2,IF(N519="neutre",3,IF(N519="satisfait",4,IF(N519="tres_satisfait",5,""))))))</f>
        <v/>
      </c>
      <c r="P519" s="12">
        <f>IF(Raw_Data!AL522&lt;&gt;"",Raw_Data!AL522,Raw_Data!R522)</f>
        <v>0</v>
      </c>
      <c r="Q519" s="12">
        <f t="shared" si="74"/>
        <v>0</v>
      </c>
      <c r="R519" s="12" t="str">
        <f>IF(Raw_Data!AM522="","",Raw_Data!AM522)</f>
        <v/>
      </c>
      <c r="S519" s="12" t="str">
        <f t="shared" si="75"/>
        <v/>
      </c>
      <c r="T519" s="12" t="str">
        <f>IF(Raw_Data!AN522="","",Raw_Data!AN522)</f>
        <v/>
      </c>
      <c r="U519" s="12" t="str">
        <f t="shared" si="76"/>
        <v/>
      </c>
      <c r="V519" s="12" t="str">
        <f>IF(Raw_Data!AP522="","",IF(Raw_Data!AP522="oui",1,0))</f>
        <v/>
      </c>
      <c r="W519" s="12" t="str">
        <f>IF(Raw_Data!AQ522="","",IF(Raw_Data!AQ522="oui",1,0))</f>
        <v/>
      </c>
      <c r="X519" s="12" t="str">
        <f>IF(Raw_Data!AR522="","",IF(Raw_Data!AR522="oui",1,0))</f>
        <v/>
      </c>
      <c r="Y519" s="12" t="str">
        <f>IF(Raw_Data!AS522="","",IF(Raw_Data!AS522="oui",1,0))</f>
        <v/>
      </c>
      <c r="Z519" s="12" t="str">
        <f>IF(Raw_Data!V522="","",IF(Raw_Data!V522="oui",1,0))</f>
        <v/>
      </c>
      <c r="AA519" s="12" t="str">
        <f>IF(Raw_Data!W522="","",IF(Raw_Data!W522="oui",1,0))</f>
        <v/>
      </c>
      <c r="AB519" s="12" t="str">
        <f>IF(Raw_Data!Q522="","",IF(Raw_Data!Q522="oui",1,0))</f>
        <v/>
      </c>
      <c r="AC519" s="12">
        <f>Raw_Data!AF522</f>
        <v>0</v>
      </c>
      <c r="AD519" s="12" t="str">
        <f t="shared" si="77"/>
        <v/>
      </c>
      <c r="AE519" s="12" t="str">
        <f t="shared" si="78"/>
        <v/>
      </c>
      <c r="AF519" s="12" t="str">
        <f t="shared" si="79"/>
        <v/>
      </c>
      <c r="AG519" s="12">
        <f t="shared" si="80"/>
        <v>0</v>
      </c>
    </row>
    <row r="520" spans="1:33" ht="15" customHeight="1" x14ac:dyDescent="0.25">
      <c r="A520" s="12" t="str">
        <f>IF(Raw_Data!B523="","",Raw_Data!B523)</f>
        <v/>
      </c>
      <c r="B520" s="12">
        <f>IF(Raw_Data!X523&lt;&gt;"",Raw_Data!X523,Raw_Data!C523)</f>
        <v>0</v>
      </c>
      <c r="C520" s="12" t="str">
        <f>IF(Raw_Data!G523="","",Raw_Data!G523)</f>
        <v/>
      </c>
      <c r="D520" s="12" t="str">
        <f>IF(Raw_Data!H523="","",Raw_Data!H523)</f>
        <v/>
      </c>
      <c r="E520" s="12" t="str">
        <f>IF(Raw_Data!I523="","",Raw_Data!I523)</f>
        <v/>
      </c>
      <c r="F520" s="12" t="str">
        <f>IF(Raw_Data!J523="","",Raw_Data!J523)</f>
        <v/>
      </c>
      <c r="G520" s="12" t="str">
        <f>IF(Raw_Data!AH523&lt;&gt;"",Raw_Data!AH523,IF(Raw_Data!K523&lt;&gt;"",Raw_Data!K523,""))</f>
        <v/>
      </c>
      <c r="H520" s="12" t="str">
        <f>IF(Raw_Data!AI523&lt;&gt;"",Raw_Data!AI523,IF(Raw_Data!L523&lt;&gt;"",Raw_Data!L523,""))</f>
        <v/>
      </c>
      <c r="I520" s="12" t="str">
        <f t="shared" si="72"/>
        <v/>
      </c>
      <c r="J520" s="12" t="str">
        <f>IF(Raw_Data!M523="","",Raw_Data!M523)</f>
        <v/>
      </c>
      <c r="K520" s="12">
        <f>IF(Raw_Data!AJ523&lt;&gt;"",Raw_Data!AJ523,Raw_Data!N523)</f>
        <v>0</v>
      </c>
      <c r="L520" s="12">
        <f t="shared" si="73"/>
        <v>1</v>
      </c>
      <c r="M520" s="12" t="str">
        <f>IF(Raw_Data!AK523="","",Raw_Data!AK523)</f>
        <v/>
      </c>
      <c r="N520" s="12" t="str">
        <f>IF(Raw_Data!T523="","",Raw_Data!T523)</f>
        <v/>
      </c>
      <c r="O520" s="12" t="str">
        <f>IF(Raw_Data!AB523&lt;&gt;"",Raw_Data!AB523,IF(N520="tres_insatisfait",1,IF(N520="insatisfait",2,IF(N520="neutre",3,IF(N520="satisfait",4,IF(N520="tres_satisfait",5,""))))))</f>
        <v/>
      </c>
      <c r="P520" s="12">
        <f>IF(Raw_Data!AL523&lt;&gt;"",Raw_Data!AL523,Raw_Data!R523)</f>
        <v>0</v>
      </c>
      <c r="Q520" s="12">
        <f t="shared" si="74"/>
        <v>0</v>
      </c>
      <c r="R520" s="12" t="str">
        <f>IF(Raw_Data!AM523="","",Raw_Data!AM523)</f>
        <v/>
      </c>
      <c r="S520" s="12" t="str">
        <f t="shared" si="75"/>
        <v/>
      </c>
      <c r="T520" s="12" t="str">
        <f>IF(Raw_Data!AN523="","",Raw_Data!AN523)</f>
        <v/>
      </c>
      <c r="U520" s="12" t="str">
        <f t="shared" si="76"/>
        <v/>
      </c>
      <c r="V520" s="12" t="str">
        <f>IF(Raw_Data!AP523="","",IF(Raw_Data!AP523="oui",1,0))</f>
        <v/>
      </c>
      <c r="W520" s="12" t="str">
        <f>IF(Raw_Data!AQ523="","",IF(Raw_Data!AQ523="oui",1,0))</f>
        <v/>
      </c>
      <c r="X520" s="12" t="str">
        <f>IF(Raw_Data!AR523="","",IF(Raw_Data!AR523="oui",1,0))</f>
        <v/>
      </c>
      <c r="Y520" s="12" t="str">
        <f>IF(Raw_Data!AS523="","",IF(Raw_Data!AS523="oui",1,0))</f>
        <v/>
      </c>
      <c r="Z520" s="12" t="str">
        <f>IF(Raw_Data!V523="","",IF(Raw_Data!V523="oui",1,0))</f>
        <v/>
      </c>
      <c r="AA520" s="12" t="str">
        <f>IF(Raw_Data!W523="","",IF(Raw_Data!W523="oui",1,0))</f>
        <v/>
      </c>
      <c r="AB520" s="12" t="str">
        <f>IF(Raw_Data!Q523="","",IF(Raw_Data!Q523="oui",1,0))</f>
        <v/>
      </c>
      <c r="AC520" s="12">
        <f>Raw_Data!AF523</f>
        <v>0</v>
      </c>
      <c r="AD520" s="12" t="str">
        <f t="shared" si="77"/>
        <v/>
      </c>
      <c r="AE520" s="12" t="str">
        <f t="shared" si="78"/>
        <v/>
      </c>
      <c r="AF520" s="12" t="str">
        <f t="shared" si="79"/>
        <v/>
      </c>
      <c r="AG520" s="12">
        <f t="shared" si="80"/>
        <v>0</v>
      </c>
    </row>
    <row r="521" spans="1:33" ht="15" customHeight="1" x14ac:dyDescent="0.25">
      <c r="A521" s="12" t="str">
        <f>IF(Raw_Data!B524="","",Raw_Data!B524)</f>
        <v/>
      </c>
      <c r="B521" s="12">
        <f>IF(Raw_Data!X524&lt;&gt;"",Raw_Data!X524,Raw_Data!C524)</f>
        <v>0</v>
      </c>
      <c r="C521" s="12" t="str">
        <f>IF(Raw_Data!G524="","",Raw_Data!G524)</f>
        <v/>
      </c>
      <c r="D521" s="12" t="str">
        <f>IF(Raw_Data!H524="","",Raw_Data!H524)</f>
        <v/>
      </c>
      <c r="E521" s="12" t="str">
        <f>IF(Raw_Data!I524="","",Raw_Data!I524)</f>
        <v/>
      </c>
      <c r="F521" s="12" t="str">
        <f>IF(Raw_Data!J524="","",Raw_Data!J524)</f>
        <v/>
      </c>
      <c r="G521" s="12" t="str">
        <f>IF(Raw_Data!AH524&lt;&gt;"",Raw_Data!AH524,IF(Raw_Data!K524&lt;&gt;"",Raw_Data!K524,""))</f>
        <v/>
      </c>
      <c r="H521" s="12" t="str">
        <f>IF(Raw_Data!AI524&lt;&gt;"",Raw_Data!AI524,IF(Raw_Data!L524&lt;&gt;"",Raw_Data!L524,""))</f>
        <v/>
      </c>
      <c r="I521" s="12" t="str">
        <f t="shared" si="72"/>
        <v/>
      </c>
      <c r="J521" s="12" t="str">
        <f>IF(Raw_Data!M524="","",Raw_Data!M524)</f>
        <v/>
      </c>
      <c r="K521" s="12">
        <f>IF(Raw_Data!AJ524&lt;&gt;"",Raw_Data!AJ524,Raw_Data!N524)</f>
        <v>0</v>
      </c>
      <c r="L521" s="12">
        <f t="shared" si="73"/>
        <v>1</v>
      </c>
      <c r="M521" s="12" t="str">
        <f>IF(Raw_Data!AK524="","",Raw_Data!AK524)</f>
        <v/>
      </c>
      <c r="N521" s="12" t="str">
        <f>IF(Raw_Data!T524="","",Raw_Data!T524)</f>
        <v/>
      </c>
      <c r="O521" s="12" t="str">
        <f>IF(Raw_Data!AB524&lt;&gt;"",Raw_Data!AB524,IF(N521="tres_insatisfait",1,IF(N521="insatisfait",2,IF(N521="neutre",3,IF(N521="satisfait",4,IF(N521="tres_satisfait",5,""))))))</f>
        <v/>
      </c>
      <c r="P521" s="12">
        <f>IF(Raw_Data!AL524&lt;&gt;"",Raw_Data!AL524,Raw_Data!R524)</f>
        <v>0</v>
      </c>
      <c r="Q521" s="12">
        <f t="shared" si="74"/>
        <v>0</v>
      </c>
      <c r="R521" s="12" t="str">
        <f>IF(Raw_Data!AM524="","",Raw_Data!AM524)</f>
        <v/>
      </c>
      <c r="S521" s="12" t="str">
        <f t="shared" si="75"/>
        <v/>
      </c>
      <c r="T521" s="12" t="str">
        <f>IF(Raw_Data!AN524="","",Raw_Data!AN524)</f>
        <v/>
      </c>
      <c r="U521" s="12" t="str">
        <f t="shared" si="76"/>
        <v/>
      </c>
      <c r="V521" s="12" t="str">
        <f>IF(Raw_Data!AP524="","",IF(Raw_Data!AP524="oui",1,0))</f>
        <v/>
      </c>
      <c r="W521" s="12" t="str">
        <f>IF(Raw_Data!AQ524="","",IF(Raw_Data!AQ524="oui",1,0))</f>
        <v/>
      </c>
      <c r="X521" s="12" t="str">
        <f>IF(Raw_Data!AR524="","",IF(Raw_Data!AR524="oui",1,0))</f>
        <v/>
      </c>
      <c r="Y521" s="12" t="str">
        <f>IF(Raw_Data!AS524="","",IF(Raw_Data!AS524="oui",1,0))</f>
        <v/>
      </c>
      <c r="Z521" s="12" t="str">
        <f>IF(Raw_Data!V524="","",IF(Raw_Data!V524="oui",1,0))</f>
        <v/>
      </c>
      <c r="AA521" s="12" t="str">
        <f>IF(Raw_Data!W524="","",IF(Raw_Data!W524="oui",1,0))</f>
        <v/>
      </c>
      <c r="AB521" s="12" t="str">
        <f>IF(Raw_Data!Q524="","",IF(Raw_Data!Q524="oui",1,0))</f>
        <v/>
      </c>
      <c r="AC521" s="12">
        <f>Raw_Data!AF524</f>
        <v>0</v>
      </c>
      <c r="AD521" s="12" t="str">
        <f t="shared" si="77"/>
        <v/>
      </c>
      <c r="AE521" s="12" t="str">
        <f t="shared" si="78"/>
        <v/>
      </c>
      <c r="AF521" s="12" t="str">
        <f t="shared" si="79"/>
        <v/>
      </c>
      <c r="AG521" s="12">
        <f t="shared" si="80"/>
        <v>0</v>
      </c>
    </row>
    <row r="522" spans="1:33" ht="15" customHeight="1" x14ac:dyDescent="0.25">
      <c r="A522" s="12" t="str">
        <f>IF(Raw_Data!B525="","",Raw_Data!B525)</f>
        <v/>
      </c>
      <c r="B522" s="12">
        <f>IF(Raw_Data!X525&lt;&gt;"",Raw_Data!X525,Raw_Data!C525)</f>
        <v>0</v>
      </c>
      <c r="C522" s="12" t="str">
        <f>IF(Raw_Data!G525="","",Raw_Data!G525)</f>
        <v/>
      </c>
      <c r="D522" s="12" t="str">
        <f>IF(Raw_Data!H525="","",Raw_Data!H525)</f>
        <v/>
      </c>
      <c r="E522" s="12" t="str">
        <f>IF(Raw_Data!I525="","",Raw_Data!I525)</f>
        <v/>
      </c>
      <c r="F522" s="12" t="str">
        <f>IF(Raw_Data!J525="","",Raw_Data!J525)</f>
        <v/>
      </c>
      <c r="G522" s="12" t="str">
        <f>IF(Raw_Data!AH525&lt;&gt;"",Raw_Data!AH525,IF(Raw_Data!K525&lt;&gt;"",Raw_Data!K525,""))</f>
        <v/>
      </c>
      <c r="H522" s="12" t="str">
        <f>IF(Raw_Data!AI525&lt;&gt;"",Raw_Data!AI525,IF(Raw_Data!L525&lt;&gt;"",Raw_Data!L525,""))</f>
        <v/>
      </c>
      <c r="I522" s="12" t="str">
        <f t="shared" si="72"/>
        <v/>
      </c>
      <c r="J522" s="12" t="str">
        <f>IF(Raw_Data!M525="","",Raw_Data!M525)</f>
        <v/>
      </c>
      <c r="K522" s="12">
        <f>IF(Raw_Data!AJ525&lt;&gt;"",Raw_Data!AJ525,Raw_Data!N525)</f>
        <v>0</v>
      </c>
      <c r="L522" s="12">
        <f t="shared" si="73"/>
        <v>1</v>
      </c>
      <c r="M522" s="12" t="str">
        <f>IF(Raw_Data!AK525="","",Raw_Data!AK525)</f>
        <v/>
      </c>
      <c r="N522" s="12" t="str">
        <f>IF(Raw_Data!T525="","",Raw_Data!T525)</f>
        <v/>
      </c>
      <c r="O522" s="12" t="str">
        <f>IF(Raw_Data!AB525&lt;&gt;"",Raw_Data!AB525,IF(N522="tres_insatisfait",1,IF(N522="insatisfait",2,IF(N522="neutre",3,IF(N522="satisfait",4,IF(N522="tres_satisfait",5,""))))))</f>
        <v/>
      </c>
      <c r="P522" s="12">
        <f>IF(Raw_Data!AL525&lt;&gt;"",Raw_Data!AL525,Raw_Data!R525)</f>
        <v>0</v>
      </c>
      <c r="Q522" s="12">
        <f t="shared" si="74"/>
        <v>0</v>
      </c>
      <c r="R522" s="12" t="str">
        <f>IF(Raw_Data!AM525="","",Raw_Data!AM525)</f>
        <v/>
      </c>
      <c r="S522" s="12" t="str">
        <f t="shared" si="75"/>
        <v/>
      </c>
      <c r="T522" s="12" t="str">
        <f>IF(Raw_Data!AN525="","",Raw_Data!AN525)</f>
        <v/>
      </c>
      <c r="U522" s="12" t="str">
        <f t="shared" si="76"/>
        <v/>
      </c>
      <c r="V522" s="12" t="str">
        <f>IF(Raw_Data!AP525="","",IF(Raw_Data!AP525="oui",1,0))</f>
        <v/>
      </c>
      <c r="W522" s="12" t="str">
        <f>IF(Raw_Data!AQ525="","",IF(Raw_Data!AQ525="oui",1,0))</f>
        <v/>
      </c>
      <c r="X522" s="12" t="str">
        <f>IF(Raw_Data!AR525="","",IF(Raw_Data!AR525="oui",1,0))</f>
        <v/>
      </c>
      <c r="Y522" s="12" t="str">
        <f>IF(Raw_Data!AS525="","",IF(Raw_Data!AS525="oui",1,0))</f>
        <v/>
      </c>
      <c r="Z522" s="12" t="str">
        <f>IF(Raw_Data!V525="","",IF(Raw_Data!V525="oui",1,0))</f>
        <v/>
      </c>
      <c r="AA522" s="12" t="str">
        <f>IF(Raw_Data!W525="","",IF(Raw_Data!W525="oui",1,0))</f>
        <v/>
      </c>
      <c r="AB522" s="12" t="str">
        <f>IF(Raw_Data!Q525="","",IF(Raw_Data!Q525="oui",1,0))</f>
        <v/>
      </c>
      <c r="AC522" s="12">
        <f>Raw_Data!AF525</f>
        <v>0</v>
      </c>
      <c r="AD522" s="12" t="str">
        <f t="shared" si="77"/>
        <v/>
      </c>
      <c r="AE522" s="12" t="str">
        <f t="shared" si="78"/>
        <v/>
      </c>
      <c r="AF522" s="12" t="str">
        <f t="shared" si="79"/>
        <v/>
      </c>
      <c r="AG522" s="12">
        <f t="shared" si="80"/>
        <v>0</v>
      </c>
    </row>
    <row r="523" spans="1:33" ht="15" customHeight="1" x14ac:dyDescent="0.25">
      <c r="A523" s="12" t="str">
        <f>IF(Raw_Data!B526="","",Raw_Data!B526)</f>
        <v/>
      </c>
      <c r="B523" s="12">
        <f>IF(Raw_Data!X526&lt;&gt;"",Raw_Data!X526,Raw_Data!C526)</f>
        <v>0</v>
      </c>
      <c r="C523" s="12" t="str">
        <f>IF(Raw_Data!G526="","",Raw_Data!G526)</f>
        <v/>
      </c>
      <c r="D523" s="12" t="str">
        <f>IF(Raw_Data!H526="","",Raw_Data!H526)</f>
        <v/>
      </c>
      <c r="E523" s="12" t="str">
        <f>IF(Raw_Data!I526="","",Raw_Data!I526)</f>
        <v/>
      </c>
      <c r="F523" s="12" t="str">
        <f>IF(Raw_Data!J526="","",Raw_Data!J526)</f>
        <v/>
      </c>
      <c r="G523" s="12" t="str">
        <f>IF(Raw_Data!AH526&lt;&gt;"",Raw_Data!AH526,IF(Raw_Data!K526&lt;&gt;"",Raw_Data!K526,""))</f>
        <v/>
      </c>
      <c r="H523" s="12" t="str">
        <f>IF(Raw_Data!AI526&lt;&gt;"",Raw_Data!AI526,IF(Raw_Data!L526&lt;&gt;"",Raw_Data!L526,""))</f>
        <v/>
      </c>
      <c r="I523" s="12" t="str">
        <f t="shared" si="72"/>
        <v/>
      </c>
      <c r="J523" s="12" t="str">
        <f>IF(Raw_Data!M526="","",Raw_Data!M526)</f>
        <v/>
      </c>
      <c r="K523" s="12">
        <f>IF(Raw_Data!AJ526&lt;&gt;"",Raw_Data!AJ526,Raw_Data!N526)</f>
        <v>0</v>
      </c>
      <c r="L523" s="12">
        <f t="shared" si="73"/>
        <v>1</v>
      </c>
      <c r="M523" s="12" t="str">
        <f>IF(Raw_Data!AK526="","",Raw_Data!AK526)</f>
        <v/>
      </c>
      <c r="N523" s="12" t="str">
        <f>IF(Raw_Data!T526="","",Raw_Data!T526)</f>
        <v/>
      </c>
      <c r="O523" s="12" t="str">
        <f>IF(Raw_Data!AB526&lt;&gt;"",Raw_Data!AB526,IF(N523="tres_insatisfait",1,IF(N523="insatisfait",2,IF(N523="neutre",3,IF(N523="satisfait",4,IF(N523="tres_satisfait",5,""))))))</f>
        <v/>
      </c>
      <c r="P523" s="12">
        <f>IF(Raw_Data!AL526&lt;&gt;"",Raw_Data!AL526,Raw_Data!R526)</f>
        <v>0</v>
      </c>
      <c r="Q523" s="12">
        <f t="shared" si="74"/>
        <v>0</v>
      </c>
      <c r="R523" s="12" t="str">
        <f>IF(Raw_Data!AM526="","",Raw_Data!AM526)</f>
        <v/>
      </c>
      <c r="S523" s="12" t="str">
        <f t="shared" si="75"/>
        <v/>
      </c>
      <c r="T523" s="12" t="str">
        <f>IF(Raw_Data!AN526="","",Raw_Data!AN526)</f>
        <v/>
      </c>
      <c r="U523" s="12" t="str">
        <f t="shared" si="76"/>
        <v/>
      </c>
      <c r="V523" s="12" t="str">
        <f>IF(Raw_Data!AP526="","",IF(Raw_Data!AP526="oui",1,0))</f>
        <v/>
      </c>
      <c r="W523" s="12" t="str">
        <f>IF(Raw_Data!AQ526="","",IF(Raw_Data!AQ526="oui",1,0))</f>
        <v/>
      </c>
      <c r="X523" s="12" t="str">
        <f>IF(Raw_Data!AR526="","",IF(Raw_Data!AR526="oui",1,0))</f>
        <v/>
      </c>
      <c r="Y523" s="12" t="str">
        <f>IF(Raw_Data!AS526="","",IF(Raw_Data!AS526="oui",1,0))</f>
        <v/>
      </c>
      <c r="Z523" s="12" t="str">
        <f>IF(Raw_Data!V526="","",IF(Raw_Data!V526="oui",1,0))</f>
        <v/>
      </c>
      <c r="AA523" s="12" t="str">
        <f>IF(Raw_Data!W526="","",IF(Raw_Data!W526="oui",1,0))</f>
        <v/>
      </c>
      <c r="AB523" s="12" t="str">
        <f>IF(Raw_Data!Q526="","",IF(Raw_Data!Q526="oui",1,0))</f>
        <v/>
      </c>
      <c r="AC523" s="12">
        <f>Raw_Data!AF526</f>
        <v>0</v>
      </c>
      <c r="AD523" s="12" t="str">
        <f t="shared" si="77"/>
        <v/>
      </c>
      <c r="AE523" s="12" t="str">
        <f t="shared" si="78"/>
        <v/>
      </c>
      <c r="AF523" s="12" t="str">
        <f t="shared" si="79"/>
        <v/>
      </c>
      <c r="AG523" s="12">
        <f t="shared" si="80"/>
        <v>0</v>
      </c>
    </row>
    <row r="524" spans="1:33" ht="15" customHeight="1" x14ac:dyDescent="0.25">
      <c r="A524" s="12" t="str">
        <f>IF(Raw_Data!B527="","",Raw_Data!B527)</f>
        <v/>
      </c>
      <c r="B524" s="12">
        <f>IF(Raw_Data!X527&lt;&gt;"",Raw_Data!X527,Raw_Data!C527)</f>
        <v>0</v>
      </c>
      <c r="C524" s="12" t="str">
        <f>IF(Raw_Data!G527="","",Raw_Data!G527)</f>
        <v/>
      </c>
      <c r="D524" s="12" t="str">
        <f>IF(Raw_Data!H527="","",Raw_Data!H527)</f>
        <v/>
      </c>
      <c r="E524" s="12" t="str">
        <f>IF(Raw_Data!I527="","",Raw_Data!I527)</f>
        <v/>
      </c>
      <c r="F524" s="12" t="str">
        <f>IF(Raw_Data!J527="","",Raw_Data!J527)</f>
        <v/>
      </c>
      <c r="G524" s="12" t="str">
        <f>IF(Raw_Data!AH527&lt;&gt;"",Raw_Data!AH527,IF(Raw_Data!K527&lt;&gt;"",Raw_Data!K527,""))</f>
        <v/>
      </c>
      <c r="H524" s="12" t="str">
        <f>IF(Raw_Data!AI527&lt;&gt;"",Raw_Data!AI527,IF(Raw_Data!L527&lt;&gt;"",Raw_Data!L527,""))</f>
        <v/>
      </c>
      <c r="I524" s="12" t="str">
        <f t="shared" si="72"/>
        <v/>
      </c>
      <c r="J524" s="12" t="str">
        <f>IF(Raw_Data!M527="","",Raw_Data!M527)</f>
        <v/>
      </c>
      <c r="K524" s="12">
        <f>IF(Raw_Data!AJ527&lt;&gt;"",Raw_Data!AJ527,Raw_Data!N527)</f>
        <v>0</v>
      </c>
      <c r="L524" s="12">
        <f t="shared" si="73"/>
        <v>1</v>
      </c>
      <c r="M524" s="12" t="str">
        <f>IF(Raw_Data!AK527="","",Raw_Data!AK527)</f>
        <v/>
      </c>
      <c r="N524" s="12" t="str">
        <f>IF(Raw_Data!T527="","",Raw_Data!T527)</f>
        <v/>
      </c>
      <c r="O524" s="12" t="str">
        <f>IF(Raw_Data!AB527&lt;&gt;"",Raw_Data!AB527,IF(N524="tres_insatisfait",1,IF(N524="insatisfait",2,IF(N524="neutre",3,IF(N524="satisfait",4,IF(N524="tres_satisfait",5,""))))))</f>
        <v/>
      </c>
      <c r="P524" s="12">
        <f>IF(Raw_Data!AL527&lt;&gt;"",Raw_Data!AL527,Raw_Data!R527)</f>
        <v>0</v>
      </c>
      <c r="Q524" s="12">
        <f t="shared" si="74"/>
        <v>0</v>
      </c>
      <c r="R524" s="12" t="str">
        <f>IF(Raw_Data!AM527="","",Raw_Data!AM527)</f>
        <v/>
      </c>
      <c r="S524" s="12" t="str">
        <f t="shared" si="75"/>
        <v/>
      </c>
      <c r="T524" s="12" t="str">
        <f>IF(Raw_Data!AN527="","",Raw_Data!AN527)</f>
        <v/>
      </c>
      <c r="U524" s="12" t="str">
        <f t="shared" si="76"/>
        <v/>
      </c>
      <c r="V524" s="12" t="str">
        <f>IF(Raw_Data!AP527="","",IF(Raw_Data!AP527="oui",1,0))</f>
        <v/>
      </c>
      <c r="W524" s="12" t="str">
        <f>IF(Raw_Data!AQ527="","",IF(Raw_Data!AQ527="oui",1,0))</f>
        <v/>
      </c>
      <c r="X524" s="12" t="str">
        <f>IF(Raw_Data!AR527="","",IF(Raw_Data!AR527="oui",1,0))</f>
        <v/>
      </c>
      <c r="Y524" s="12" t="str">
        <f>IF(Raw_Data!AS527="","",IF(Raw_Data!AS527="oui",1,0))</f>
        <v/>
      </c>
      <c r="Z524" s="12" t="str">
        <f>IF(Raw_Data!V527="","",IF(Raw_Data!V527="oui",1,0))</f>
        <v/>
      </c>
      <c r="AA524" s="12" t="str">
        <f>IF(Raw_Data!W527="","",IF(Raw_Data!W527="oui",1,0))</f>
        <v/>
      </c>
      <c r="AB524" s="12" t="str">
        <f>IF(Raw_Data!Q527="","",IF(Raw_Data!Q527="oui",1,0))</f>
        <v/>
      </c>
      <c r="AC524" s="12">
        <f>Raw_Data!AF527</f>
        <v>0</v>
      </c>
      <c r="AD524" s="12" t="str">
        <f t="shared" si="77"/>
        <v/>
      </c>
      <c r="AE524" s="12" t="str">
        <f t="shared" si="78"/>
        <v/>
      </c>
      <c r="AF524" s="12" t="str">
        <f t="shared" si="79"/>
        <v/>
      </c>
      <c r="AG524" s="12">
        <f t="shared" si="80"/>
        <v>0</v>
      </c>
    </row>
    <row r="525" spans="1:33" ht="15" customHeight="1" x14ac:dyDescent="0.25">
      <c r="A525" s="12" t="str">
        <f>IF(Raw_Data!B528="","",Raw_Data!B528)</f>
        <v/>
      </c>
      <c r="B525" s="12">
        <f>IF(Raw_Data!X528&lt;&gt;"",Raw_Data!X528,Raw_Data!C528)</f>
        <v>0</v>
      </c>
      <c r="C525" s="12" t="str">
        <f>IF(Raw_Data!G528="","",Raw_Data!G528)</f>
        <v/>
      </c>
      <c r="D525" s="12" t="str">
        <f>IF(Raw_Data!H528="","",Raw_Data!H528)</f>
        <v/>
      </c>
      <c r="E525" s="12" t="str">
        <f>IF(Raw_Data!I528="","",Raw_Data!I528)</f>
        <v/>
      </c>
      <c r="F525" s="12" t="str">
        <f>IF(Raw_Data!J528="","",Raw_Data!J528)</f>
        <v/>
      </c>
      <c r="G525" s="12" t="str">
        <f>IF(Raw_Data!AH528&lt;&gt;"",Raw_Data!AH528,IF(Raw_Data!K528&lt;&gt;"",Raw_Data!K528,""))</f>
        <v/>
      </c>
      <c r="H525" s="12" t="str">
        <f>IF(Raw_Data!AI528&lt;&gt;"",Raw_Data!AI528,IF(Raw_Data!L528&lt;&gt;"",Raw_Data!L528,""))</f>
        <v/>
      </c>
      <c r="I525" s="12" t="str">
        <f t="shared" si="72"/>
        <v/>
      </c>
      <c r="J525" s="12" t="str">
        <f>IF(Raw_Data!M528="","",Raw_Data!M528)</f>
        <v/>
      </c>
      <c r="K525" s="12">
        <f>IF(Raw_Data!AJ528&lt;&gt;"",Raw_Data!AJ528,Raw_Data!N528)</f>
        <v>0</v>
      </c>
      <c r="L525" s="12">
        <f t="shared" si="73"/>
        <v>1</v>
      </c>
      <c r="M525" s="12" t="str">
        <f>IF(Raw_Data!AK528="","",Raw_Data!AK528)</f>
        <v/>
      </c>
      <c r="N525" s="12" t="str">
        <f>IF(Raw_Data!T528="","",Raw_Data!T528)</f>
        <v/>
      </c>
      <c r="O525" s="12" t="str">
        <f>IF(Raw_Data!AB528&lt;&gt;"",Raw_Data!AB528,IF(N525="tres_insatisfait",1,IF(N525="insatisfait",2,IF(N525="neutre",3,IF(N525="satisfait",4,IF(N525="tres_satisfait",5,""))))))</f>
        <v/>
      </c>
      <c r="P525" s="12">
        <f>IF(Raw_Data!AL528&lt;&gt;"",Raw_Data!AL528,Raw_Data!R528)</f>
        <v>0</v>
      </c>
      <c r="Q525" s="12">
        <f t="shared" si="74"/>
        <v>0</v>
      </c>
      <c r="R525" s="12" t="str">
        <f>IF(Raw_Data!AM528="","",Raw_Data!AM528)</f>
        <v/>
      </c>
      <c r="S525" s="12" t="str">
        <f t="shared" si="75"/>
        <v/>
      </c>
      <c r="T525" s="12" t="str">
        <f>IF(Raw_Data!AN528="","",Raw_Data!AN528)</f>
        <v/>
      </c>
      <c r="U525" s="12" t="str">
        <f t="shared" si="76"/>
        <v/>
      </c>
      <c r="V525" s="12" t="str">
        <f>IF(Raw_Data!AP528="","",IF(Raw_Data!AP528="oui",1,0))</f>
        <v/>
      </c>
      <c r="W525" s="12" t="str">
        <f>IF(Raw_Data!AQ528="","",IF(Raw_Data!AQ528="oui",1,0))</f>
        <v/>
      </c>
      <c r="X525" s="12" t="str">
        <f>IF(Raw_Data!AR528="","",IF(Raw_Data!AR528="oui",1,0))</f>
        <v/>
      </c>
      <c r="Y525" s="12" t="str">
        <f>IF(Raw_Data!AS528="","",IF(Raw_Data!AS528="oui",1,0))</f>
        <v/>
      </c>
      <c r="Z525" s="12" t="str">
        <f>IF(Raw_Data!V528="","",IF(Raw_Data!V528="oui",1,0))</f>
        <v/>
      </c>
      <c r="AA525" s="12" t="str">
        <f>IF(Raw_Data!W528="","",IF(Raw_Data!W528="oui",1,0))</f>
        <v/>
      </c>
      <c r="AB525" s="12" t="str">
        <f>IF(Raw_Data!Q528="","",IF(Raw_Data!Q528="oui",1,0))</f>
        <v/>
      </c>
      <c r="AC525" s="12">
        <f>Raw_Data!AF528</f>
        <v>0</v>
      </c>
      <c r="AD525" s="12" t="str">
        <f t="shared" si="77"/>
        <v/>
      </c>
      <c r="AE525" s="12" t="str">
        <f t="shared" si="78"/>
        <v/>
      </c>
      <c r="AF525" s="12" t="str">
        <f t="shared" si="79"/>
        <v/>
      </c>
      <c r="AG525" s="12">
        <f t="shared" si="80"/>
        <v>0</v>
      </c>
    </row>
    <row r="526" spans="1:33" ht="15" customHeight="1" x14ac:dyDescent="0.25">
      <c r="A526" s="12" t="str">
        <f>IF(Raw_Data!B529="","",Raw_Data!B529)</f>
        <v/>
      </c>
      <c r="B526" s="12">
        <f>IF(Raw_Data!X529&lt;&gt;"",Raw_Data!X529,Raw_Data!C529)</f>
        <v>0</v>
      </c>
      <c r="C526" s="12" t="str">
        <f>IF(Raw_Data!G529="","",Raw_Data!G529)</f>
        <v/>
      </c>
      <c r="D526" s="12" t="str">
        <f>IF(Raw_Data!H529="","",Raw_Data!H529)</f>
        <v/>
      </c>
      <c r="E526" s="12" t="str">
        <f>IF(Raw_Data!I529="","",Raw_Data!I529)</f>
        <v/>
      </c>
      <c r="F526" s="12" t="str">
        <f>IF(Raw_Data!J529="","",Raw_Data!J529)</f>
        <v/>
      </c>
      <c r="G526" s="12" t="str">
        <f>IF(Raw_Data!AH529&lt;&gt;"",Raw_Data!AH529,IF(Raw_Data!K529&lt;&gt;"",Raw_Data!K529,""))</f>
        <v/>
      </c>
      <c r="H526" s="12" t="str">
        <f>IF(Raw_Data!AI529&lt;&gt;"",Raw_Data!AI529,IF(Raw_Data!L529&lt;&gt;"",Raw_Data!L529,""))</f>
        <v/>
      </c>
      <c r="I526" s="12" t="str">
        <f t="shared" si="72"/>
        <v/>
      </c>
      <c r="J526" s="12" t="str">
        <f>IF(Raw_Data!M529="","",Raw_Data!M529)</f>
        <v/>
      </c>
      <c r="K526" s="12">
        <f>IF(Raw_Data!AJ529&lt;&gt;"",Raw_Data!AJ529,Raw_Data!N529)</f>
        <v>0</v>
      </c>
      <c r="L526" s="12">
        <f t="shared" si="73"/>
        <v>1</v>
      </c>
      <c r="M526" s="12" t="str">
        <f>IF(Raw_Data!AK529="","",Raw_Data!AK529)</f>
        <v/>
      </c>
      <c r="N526" s="12" t="str">
        <f>IF(Raw_Data!T529="","",Raw_Data!T529)</f>
        <v/>
      </c>
      <c r="O526" s="12" t="str">
        <f>IF(Raw_Data!AB529&lt;&gt;"",Raw_Data!AB529,IF(N526="tres_insatisfait",1,IF(N526="insatisfait",2,IF(N526="neutre",3,IF(N526="satisfait",4,IF(N526="tres_satisfait",5,""))))))</f>
        <v/>
      </c>
      <c r="P526" s="12">
        <f>IF(Raw_Data!AL529&lt;&gt;"",Raw_Data!AL529,Raw_Data!R529)</f>
        <v>0</v>
      </c>
      <c r="Q526" s="12">
        <f t="shared" si="74"/>
        <v>0</v>
      </c>
      <c r="R526" s="12" t="str">
        <f>IF(Raw_Data!AM529="","",Raw_Data!AM529)</f>
        <v/>
      </c>
      <c r="S526" s="12" t="str">
        <f t="shared" si="75"/>
        <v/>
      </c>
      <c r="T526" s="12" t="str">
        <f>IF(Raw_Data!AN529="","",Raw_Data!AN529)</f>
        <v/>
      </c>
      <c r="U526" s="12" t="str">
        <f t="shared" si="76"/>
        <v/>
      </c>
      <c r="V526" s="12" t="str">
        <f>IF(Raw_Data!AP529="","",IF(Raw_Data!AP529="oui",1,0))</f>
        <v/>
      </c>
      <c r="W526" s="12" t="str">
        <f>IF(Raw_Data!AQ529="","",IF(Raw_Data!AQ529="oui",1,0))</f>
        <v/>
      </c>
      <c r="X526" s="12" t="str">
        <f>IF(Raw_Data!AR529="","",IF(Raw_Data!AR529="oui",1,0))</f>
        <v/>
      </c>
      <c r="Y526" s="12" t="str">
        <f>IF(Raw_Data!AS529="","",IF(Raw_Data!AS529="oui",1,0))</f>
        <v/>
      </c>
      <c r="Z526" s="12" t="str">
        <f>IF(Raw_Data!V529="","",IF(Raw_Data!V529="oui",1,0))</f>
        <v/>
      </c>
      <c r="AA526" s="12" t="str">
        <f>IF(Raw_Data!W529="","",IF(Raw_Data!W529="oui",1,0))</f>
        <v/>
      </c>
      <c r="AB526" s="12" t="str">
        <f>IF(Raw_Data!Q529="","",IF(Raw_Data!Q529="oui",1,0))</f>
        <v/>
      </c>
      <c r="AC526" s="12">
        <f>Raw_Data!AF529</f>
        <v>0</v>
      </c>
      <c r="AD526" s="12" t="str">
        <f t="shared" si="77"/>
        <v/>
      </c>
      <c r="AE526" s="12" t="str">
        <f t="shared" si="78"/>
        <v/>
      </c>
      <c r="AF526" s="12" t="str">
        <f t="shared" si="79"/>
        <v/>
      </c>
      <c r="AG526" s="12">
        <f t="shared" si="80"/>
        <v>0</v>
      </c>
    </row>
    <row r="527" spans="1:33" ht="15" customHeight="1" x14ac:dyDescent="0.25">
      <c r="A527" s="12" t="str">
        <f>IF(Raw_Data!B530="","",Raw_Data!B530)</f>
        <v/>
      </c>
      <c r="B527" s="12">
        <f>IF(Raw_Data!X530&lt;&gt;"",Raw_Data!X530,Raw_Data!C530)</f>
        <v>0</v>
      </c>
      <c r="C527" s="12" t="str">
        <f>IF(Raw_Data!G530="","",Raw_Data!G530)</f>
        <v/>
      </c>
      <c r="D527" s="12" t="str">
        <f>IF(Raw_Data!H530="","",Raw_Data!H530)</f>
        <v/>
      </c>
      <c r="E527" s="12" t="str">
        <f>IF(Raw_Data!I530="","",Raw_Data!I530)</f>
        <v/>
      </c>
      <c r="F527" s="12" t="str">
        <f>IF(Raw_Data!J530="","",Raw_Data!J530)</f>
        <v/>
      </c>
      <c r="G527" s="12" t="str">
        <f>IF(Raw_Data!AH530&lt;&gt;"",Raw_Data!AH530,IF(Raw_Data!K530&lt;&gt;"",Raw_Data!K530,""))</f>
        <v/>
      </c>
      <c r="H527" s="12" t="str">
        <f>IF(Raw_Data!AI530&lt;&gt;"",Raw_Data!AI530,IF(Raw_Data!L530&lt;&gt;"",Raw_Data!L530,""))</f>
        <v/>
      </c>
      <c r="I527" s="12" t="str">
        <f t="shared" si="72"/>
        <v/>
      </c>
      <c r="J527" s="12" t="str">
        <f>IF(Raw_Data!M530="","",Raw_Data!M530)</f>
        <v/>
      </c>
      <c r="K527" s="12">
        <f>IF(Raw_Data!AJ530&lt;&gt;"",Raw_Data!AJ530,Raw_Data!N530)</f>
        <v>0</v>
      </c>
      <c r="L527" s="12">
        <f t="shared" si="73"/>
        <v>1</v>
      </c>
      <c r="M527" s="12" t="str">
        <f>IF(Raw_Data!AK530="","",Raw_Data!AK530)</f>
        <v/>
      </c>
      <c r="N527" s="12" t="str">
        <f>IF(Raw_Data!T530="","",Raw_Data!T530)</f>
        <v/>
      </c>
      <c r="O527" s="12" t="str">
        <f>IF(Raw_Data!AB530&lt;&gt;"",Raw_Data!AB530,IF(N527="tres_insatisfait",1,IF(N527="insatisfait",2,IF(N527="neutre",3,IF(N527="satisfait",4,IF(N527="tres_satisfait",5,""))))))</f>
        <v/>
      </c>
      <c r="P527" s="12">
        <f>IF(Raw_Data!AL530&lt;&gt;"",Raw_Data!AL530,Raw_Data!R530)</f>
        <v>0</v>
      </c>
      <c r="Q527" s="12">
        <f t="shared" si="74"/>
        <v>0</v>
      </c>
      <c r="R527" s="12" t="str">
        <f>IF(Raw_Data!AM530="","",Raw_Data!AM530)</f>
        <v/>
      </c>
      <c r="S527" s="12" t="str">
        <f t="shared" si="75"/>
        <v/>
      </c>
      <c r="T527" s="12" t="str">
        <f>IF(Raw_Data!AN530="","",Raw_Data!AN530)</f>
        <v/>
      </c>
      <c r="U527" s="12" t="str">
        <f t="shared" si="76"/>
        <v/>
      </c>
      <c r="V527" s="12" t="str">
        <f>IF(Raw_Data!AP530="","",IF(Raw_Data!AP530="oui",1,0))</f>
        <v/>
      </c>
      <c r="W527" s="12" t="str">
        <f>IF(Raw_Data!AQ530="","",IF(Raw_Data!AQ530="oui",1,0))</f>
        <v/>
      </c>
      <c r="X527" s="12" t="str">
        <f>IF(Raw_Data!AR530="","",IF(Raw_Data!AR530="oui",1,0))</f>
        <v/>
      </c>
      <c r="Y527" s="12" t="str">
        <f>IF(Raw_Data!AS530="","",IF(Raw_Data!AS530="oui",1,0))</f>
        <v/>
      </c>
      <c r="Z527" s="12" t="str">
        <f>IF(Raw_Data!V530="","",IF(Raw_Data!V530="oui",1,0))</f>
        <v/>
      </c>
      <c r="AA527" s="12" t="str">
        <f>IF(Raw_Data!W530="","",IF(Raw_Data!W530="oui",1,0))</f>
        <v/>
      </c>
      <c r="AB527" s="12" t="str">
        <f>IF(Raw_Data!Q530="","",IF(Raw_Data!Q530="oui",1,0))</f>
        <v/>
      </c>
      <c r="AC527" s="12">
        <f>Raw_Data!AF530</f>
        <v>0</v>
      </c>
      <c r="AD527" s="12" t="str">
        <f t="shared" si="77"/>
        <v/>
      </c>
      <c r="AE527" s="12" t="str">
        <f t="shared" si="78"/>
        <v/>
      </c>
      <c r="AF527" s="12" t="str">
        <f t="shared" si="79"/>
        <v/>
      </c>
      <c r="AG527" s="12">
        <f t="shared" si="80"/>
        <v>0</v>
      </c>
    </row>
    <row r="528" spans="1:33" ht="15" customHeight="1" x14ac:dyDescent="0.25">
      <c r="A528" s="12" t="str">
        <f>IF(Raw_Data!B531="","",Raw_Data!B531)</f>
        <v/>
      </c>
      <c r="B528" s="12">
        <f>IF(Raw_Data!X531&lt;&gt;"",Raw_Data!X531,Raw_Data!C531)</f>
        <v>0</v>
      </c>
      <c r="C528" s="12" t="str">
        <f>IF(Raw_Data!G531="","",Raw_Data!G531)</f>
        <v/>
      </c>
      <c r="D528" s="12" t="str">
        <f>IF(Raw_Data!H531="","",Raw_Data!H531)</f>
        <v/>
      </c>
      <c r="E528" s="12" t="str">
        <f>IF(Raw_Data!I531="","",Raw_Data!I531)</f>
        <v/>
      </c>
      <c r="F528" s="12" t="str">
        <f>IF(Raw_Data!J531="","",Raw_Data!J531)</f>
        <v/>
      </c>
      <c r="G528" s="12" t="str">
        <f>IF(Raw_Data!AH531&lt;&gt;"",Raw_Data!AH531,IF(Raw_Data!K531&lt;&gt;"",Raw_Data!K531,""))</f>
        <v/>
      </c>
      <c r="H528" s="12" t="str">
        <f>IF(Raw_Data!AI531&lt;&gt;"",Raw_Data!AI531,IF(Raw_Data!L531&lt;&gt;"",Raw_Data!L531,""))</f>
        <v/>
      </c>
      <c r="I528" s="12" t="str">
        <f t="shared" si="72"/>
        <v/>
      </c>
      <c r="J528" s="12" t="str">
        <f>IF(Raw_Data!M531="","",Raw_Data!M531)</f>
        <v/>
      </c>
      <c r="K528" s="12">
        <f>IF(Raw_Data!AJ531&lt;&gt;"",Raw_Data!AJ531,Raw_Data!N531)</f>
        <v>0</v>
      </c>
      <c r="L528" s="12">
        <f t="shared" si="73"/>
        <v>1</v>
      </c>
      <c r="M528" s="12" t="str">
        <f>IF(Raw_Data!AK531="","",Raw_Data!AK531)</f>
        <v/>
      </c>
      <c r="N528" s="12" t="str">
        <f>IF(Raw_Data!T531="","",Raw_Data!T531)</f>
        <v/>
      </c>
      <c r="O528" s="12" t="str">
        <f>IF(Raw_Data!AB531&lt;&gt;"",Raw_Data!AB531,IF(N528="tres_insatisfait",1,IF(N528="insatisfait",2,IF(N528="neutre",3,IF(N528="satisfait",4,IF(N528="tres_satisfait",5,""))))))</f>
        <v/>
      </c>
      <c r="P528" s="12">
        <f>IF(Raw_Data!AL531&lt;&gt;"",Raw_Data!AL531,Raw_Data!R531)</f>
        <v>0</v>
      </c>
      <c r="Q528" s="12">
        <f t="shared" si="74"/>
        <v>0</v>
      </c>
      <c r="R528" s="12" t="str">
        <f>IF(Raw_Data!AM531="","",Raw_Data!AM531)</f>
        <v/>
      </c>
      <c r="S528" s="12" t="str">
        <f t="shared" si="75"/>
        <v/>
      </c>
      <c r="T528" s="12" t="str">
        <f>IF(Raw_Data!AN531="","",Raw_Data!AN531)</f>
        <v/>
      </c>
      <c r="U528" s="12" t="str">
        <f t="shared" si="76"/>
        <v/>
      </c>
      <c r="V528" s="12" t="str">
        <f>IF(Raw_Data!AP531="","",IF(Raw_Data!AP531="oui",1,0))</f>
        <v/>
      </c>
      <c r="W528" s="12" t="str">
        <f>IF(Raw_Data!AQ531="","",IF(Raw_Data!AQ531="oui",1,0))</f>
        <v/>
      </c>
      <c r="X528" s="12" t="str">
        <f>IF(Raw_Data!AR531="","",IF(Raw_Data!AR531="oui",1,0))</f>
        <v/>
      </c>
      <c r="Y528" s="12" t="str">
        <f>IF(Raw_Data!AS531="","",IF(Raw_Data!AS531="oui",1,0))</f>
        <v/>
      </c>
      <c r="Z528" s="12" t="str">
        <f>IF(Raw_Data!V531="","",IF(Raw_Data!V531="oui",1,0))</f>
        <v/>
      </c>
      <c r="AA528" s="12" t="str">
        <f>IF(Raw_Data!W531="","",IF(Raw_Data!W531="oui",1,0))</f>
        <v/>
      </c>
      <c r="AB528" s="12" t="str">
        <f>IF(Raw_Data!Q531="","",IF(Raw_Data!Q531="oui",1,0))</f>
        <v/>
      </c>
      <c r="AC528" s="12">
        <f>Raw_Data!AF531</f>
        <v>0</v>
      </c>
      <c r="AD528" s="12" t="str">
        <f t="shared" si="77"/>
        <v/>
      </c>
      <c r="AE528" s="12" t="str">
        <f t="shared" si="78"/>
        <v/>
      </c>
      <c r="AF528" s="12" t="str">
        <f t="shared" si="79"/>
        <v/>
      </c>
      <c r="AG528" s="12">
        <f t="shared" si="80"/>
        <v>0</v>
      </c>
    </row>
    <row r="529" spans="1:33" ht="15" customHeight="1" x14ac:dyDescent="0.25">
      <c r="A529" s="12" t="str">
        <f>IF(Raw_Data!B532="","",Raw_Data!B532)</f>
        <v/>
      </c>
      <c r="B529" s="12">
        <f>IF(Raw_Data!X532&lt;&gt;"",Raw_Data!X532,Raw_Data!C532)</f>
        <v>0</v>
      </c>
      <c r="C529" s="12" t="str">
        <f>IF(Raw_Data!G532="","",Raw_Data!G532)</f>
        <v/>
      </c>
      <c r="D529" s="12" t="str">
        <f>IF(Raw_Data!H532="","",Raw_Data!H532)</f>
        <v/>
      </c>
      <c r="E529" s="12" t="str">
        <f>IF(Raw_Data!I532="","",Raw_Data!I532)</f>
        <v/>
      </c>
      <c r="F529" s="12" t="str">
        <f>IF(Raw_Data!J532="","",Raw_Data!J532)</f>
        <v/>
      </c>
      <c r="G529" s="12" t="str">
        <f>IF(Raw_Data!AH532&lt;&gt;"",Raw_Data!AH532,IF(Raw_Data!K532&lt;&gt;"",Raw_Data!K532,""))</f>
        <v/>
      </c>
      <c r="H529" s="12" t="str">
        <f>IF(Raw_Data!AI532&lt;&gt;"",Raw_Data!AI532,IF(Raw_Data!L532&lt;&gt;"",Raw_Data!L532,""))</f>
        <v/>
      </c>
      <c r="I529" s="12" t="str">
        <f t="shared" si="72"/>
        <v/>
      </c>
      <c r="J529" s="12" t="str">
        <f>IF(Raw_Data!M532="","",Raw_Data!M532)</f>
        <v/>
      </c>
      <c r="K529" s="12">
        <f>IF(Raw_Data!AJ532&lt;&gt;"",Raw_Data!AJ532,Raw_Data!N532)</f>
        <v>0</v>
      </c>
      <c r="L529" s="12">
        <f t="shared" si="73"/>
        <v>1</v>
      </c>
      <c r="M529" s="12" t="str">
        <f>IF(Raw_Data!AK532="","",Raw_Data!AK532)</f>
        <v/>
      </c>
      <c r="N529" s="12" t="str">
        <f>IF(Raw_Data!T532="","",Raw_Data!T532)</f>
        <v/>
      </c>
      <c r="O529" s="12" t="str">
        <f>IF(Raw_Data!AB532&lt;&gt;"",Raw_Data!AB532,IF(N529="tres_insatisfait",1,IF(N529="insatisfait",2,IF(N529="neutre",3,IF(N529="satisfait",4,IF(N529="tres_satisfait",5,""))))))</f>
        <v/>
      </c>
      <c r="P529" s="12">
        <f>IF(Raw_Data!AL532&lt;&gt;"",Raw_Data!AL532,Raw_Data!R532)</f>
        <v>0</v>
      </c>
      <c r="Q529" s="12">
        <f t="shared" si="74"/>
        <v>0</v>
      </c>
      <c r="R529" s="12" t="str">
        <f>IF(Raw_Data!AM532="","",Raw_Data!AM532)</f>
        <v/>
      </c>
      <c r="S529" s="12" t="str">
        <f t="shared" si="75"/>
        <v/>
      </c>
      <c r="T529" s="12" t="str">
        <f>IF(Raw_Data!AN532="","",Raw_Data!AN532)</f>
        <v/>
      </c>
      <c r="U529" s="12" t="str">
        <f t="shared" si="76"/>
        <v/>
      </c>
      <c r="V529" s="12" t="str">
        <f>IF(Raw_Data!AP532="","",IF(Raw_Data!AP532="oui",1,0))</f>
        <v/>
      </c>
      <c r="W529" s="12" t="str">
        <f>IF(Raw_Data!AQ532="","",IF(Raw_Data!AQ532="oui",1,0))</f>
        <v/>
      </c>
      <c r="X529" s="12" t="str">
        <f>IF(Raw_Data!AR532="","",IF(Raw_Data!AR532="oui",1,0))</f>
        <v/>
      </c>
      <c r="Y529" s="12" t="str">
        <f>IF(Raw_Data!AS532="","",IF(Raw_Data!AS532="oui",1,0))</f>
        <v/>
      </c>
      <c r="Z529" s="12" t="str">
        <f>IF(Raw_Data!V532="","",IF(Raw_Data!V532="oui",1,0))</f>
        <v/>
      </c>
      <c r="AA529" s="12" t="str">
        <f>IF(Raw_Data!W532="","",IF(Raw_Data!W532="oui",1,0))</f>
        <v/>
      </c>
      <c r="AB529" s="12" t="str">
        <f>IF(Raw_Data!Q532="","",IF(Raw_Data!Q532="oui",1,0))</f>
        <v/>
      </c>
      <c r="AC529" s="12">
        <f>Raw_Data!AF532</f>
        <v>0</v>
      </c>
      <c r="AD529" s="12" t="str">
        <f t="shared" si="77"/>
        <v/>
      </c>
      <c r="AE529" s="12" t="str">
        <f t="shared" si="78"/>
        <v/>
      </c>
      <c r="AF529" s="12" t="str">
        <f t="shared" si="79"/>
        <v/>
      </c>
      <c r="AG529" s="12">
        <f t="shared" si="80"/>
        <v>0</v>
      </c>
    </row>
    <row r="530" spans="1:33" ht="15" customHeight="1" x14ac:dyDescent="0.25">
      <c r="A530" s="12" t="str">
        <f>IF(Raw_Data!B533="","",Raw_Data!B533)</f>
        <v/>
      </c>
      <c r="B530" s="12">
        <f>IF(Raw_Data!X533&lt;&gt;"",Raw_Data!X533,Raw_Data!C533)</f>
        <v>0</v>
      </c>
      <c r="C530" s="12" t="str">
        <f>IF(Raw_Data!G533="","",Raw_Data!G533)</f>
        <v/>
      </c>
      <c r="D530" s="12" t="str">
        <f>IF(Raw_Data!H533="","",Raw_Data!H533)</f>
        <v/>
      </c>
      <c r="E530" s="12" t="str">
        <f>IF(Raw_Data!I533="","",Raw_Data!I533)</f>
        <v/>
      </c>
      <c r="F530" s="12" t="str">
        <f>IF(Raw_Data!J533="","",Raw_Data!J533)</f>
        <v/>
      </c>
      <c r="G530" s="12" t="str">
        <f>IF(Raw_Data!AH533&lt;&gt;"",Raw_Data!AH533,IF(Raw_Data!K533&lt;&gt;"",Raw_Data!K533,""))</f>
        <v/>
      </c>
      <c r="H530" s="12" t="str">
        <f>IF(Raw_Data!AI533&lt;&gt;"",Raw_Data!AI533,IF(Raw_Data!L533&lt;&gt;"",Raw_Data!L533,""))</f>
        <v/>
      </c>
      <c r="I530" s="12" t="str">
        <f t="shared" si="72"/>
        <v/>
      </c>
      <c r="J530" s="12" t="str">
        <f>IF(Raw_Data!M533="","",Raw_Data!M533)</f>
        <v/>
      </c>
      <c r="K530" s="12">
        <f>IF(Raw_Data!AJ533&lt;&gt;"",Raw_Data!AJ533,Raw_Data!N533)</f>
        <v>0</v>
      </c>
      <c r="L530" s="12">
        <f t="shared" si="73"/>
        <v>1</v>
      </c>
      <c r="M530" s="12" t="str">
        <f>IF(Raw_Data!AK533="","",Raw_Data!AK533)</f>
        <v/>
      </c>
      <c r="N530" s="12" t="str">
        <f>IF(Raw_Data!T533="","",Raw_Data!T533)</f>
        <v/>
      </c>
      <c r="O530" s="12" t="str">
        <f>IF(Raw_Data!AB533&lt;&gt;"",Raw_Data!AB533,IF(N530="tres_insatisfait",1,IF(N530="insatisfait",2,IF(N530="neutre",3,IF(N530="satisfait",4,IF(N530="tres_satisfait",5,""))))))</f>
        <v/>
      </c>
      <c r="P530" s="12">
        <f>IF(Raw_Data!AL533&lt;&gt;"",Raw_Data!AL533,Raw_Data!R533)</f>
        <v>0</v>
      </c>
      <c r="Q530" s="12">
        <f t="shared" si="74"/>
        <v>0</v>
      </c>
      <c r="R530" s="12" t="str">
        <f>IF(Raw_Data!AM533="","",Raw_Data!AM533)</f>
        <v/>
      </c>
      <c r="S530" s="12" t="str">
        <f t="shared" si="75"/>
        <v/>
      </c>
      <c r="T530" s="12" t="str">
        <f>IF(Raw_Data!AN533="","",Raw_Data!AN533)</f>
        <v/>
      </c>
      <c r="U530" s="12" t="str">
        <f t="shared" si="76"/>
        <v/>
      </c>
      <c r="V530" s="12" t="str">
        <f>IF(Raw_Data!AP533="","",IF(Raw_Data!AP533="oui",1,0))</f>
        <v/>
      </c>
      <c r="W530" s="12" t="str">
        <f>IF(Raw_Data!AQ533="","",IF(Raw_Data!AQ533="oui",1,0))</f>
        <v/>
      </c>
      <c r="X530" s="12" t="str">
        <f>IF(Raw_Data!AR533="","",IF(Raw_Data!AR533="oui",1,0))</f>
        <v/>
      </c>
      <c r="Y530" s="12" t="str">
        <f>IF(Raw_Data!AS533="","",IF(Raw_Data!AS533="oui",1,0))</f>
        <v/>
      </c>
      <c r="Z530" s="12" t="str">
        <f>IF(Raw_Data!V533="","",IF(Raw_Data!V533="oui",1,0))</f>
        <v/>
      </c>
      <c r="AA530" s="12" t="str">
        <f>IF(Raw_Data!W533="","",IF(Raw_Data!W533="oui",1,0))</f>
        <v/>
      </c>
      <c r="AB530" s="12" t="str">
        <f>IF(Raw_Data!Q533="","",IF(Raw_Data!Q533="oui",1,0))</f>
        <v/>
      </c>
      <c r="AC530" s="12">
        <f>Raw_Data!AF533</f>
        <v>0</v>
      </c>
      <c r="AD530" s="12" t="str">
        <f t="shared" si="77"/>
        <v/>
      </c>
      <c r="AE530" s="12" t="str">
        <f t="shared" si="78"/>
        <v/>
      </c>
      <c r="AF530" s="12" t="str">
        <f t="shared" si="79"/>
        <v/>
      </c>
      <c r="AG530" s="12">
        <f t="shared" si="80"/>
        <v>0</v>
      </c>
    </row>
    <row r="531" spans="1:33" ht="15" customHeight="1" x14ac:dyDescent="0.25">
      <c r="A531" s="12" t="str">
        <f>IF(Raw_Data!B534="","",Raw_Data!B534)</f>
        <v/>
      </c>
      <c r="B531" s="12">
        <f>IF(Raw_Data!X534&lt;&gt;"",Raw_Data!X534,Raw_Data!C534)</f>
        <v>0</v>
      </c>
      <c r="C531" s="12" t="str">
        <f>IF(Raw_Data!G534="","",Raw_Data!G534)</f>
        <v/>
      </c>
      <c r="D531" s="12" t="str">
        <f>IF(Raw_Data!H534="","",Raw_Data!H534)</f>
        <v/>
      </c>
      <c r="E531" s="12" t="str">
        <f>IF(Raw_Data!I534="","",Raw_Data!I534)</f>
        <v/>
      </c>
      <c r="F531" s="12" t="str">
        <f>IF(Raw_Data!J534="","",Raw_Data!J534)</f>
        <v/>
      </c>
      <c r="G531" s="12" t="str">
        <f>IF(Raw_Data!AH534&lt;&gt;"",Raw_Data!AH534,IF(Raw_Data!K534&lt;&gt;"",Raw_Data!K534,""))</f>
        <v/>
      </c>
      <c r="H531" s="12" t="str">
        <f>IF(Raw_Data!AI534&lt;&gt;"",Raw_Data!AI534,IF(Raw_Data!L534&lt;&gt;"",Raw_Data!L534,""))</f>
        <v/>
      </c>
      <c r="I531" s="12" t="str">
        <f t="shared" si="72"/>
        <v/>
      </c>
      <c r="J531" s="12" t="str">
        <f>IF(Raw_Data!M534="","",Raw_Data!M534)</f>
        <v/>
      </c>
      <c r="K531" s="12">
        <f>IF(Raw_Data!AJ534&lt;&gt;"",Raw_Data!AJ534,Raw_Data!N534)</f>
        <v>0</v>
      </c>
      <c r="L531" s="12">
        <f t="shared" si="73"/>
        <v>1</v>
      </c>
      <c r="M531" s="12" t="str">
        <f>IF(Raw_Data!AK534="","",Raw_Data!AK534)</f>
        <v/>
      </c>
      <c r="N531" s="12" t="str">
        <f>IF(Raw_Data!T534="","",Raw_Data!T534)</f>
        <v/>
      </c>
      <c r="O531" s="12" t="str">
        <f>IF(Raw_Data!AB534&lt;&gt;"",Raw_Data!AB534,IF(N531="tres_insatisfait",1,IF(N531="insatisfait",2,IF(N531="neutre",3,IF(N531="satisfait",4,IF(N531="tres_satisfait",5,""))))))</f>
        <v/>
      </c>
      <c r="P531" s="12">
        <f>IF(Raw_Data!AL534&lt;&gt;"",Raw_Data!AL534,Raw_Data!R534)</f>
        <v>0</v>
      </c>
      <c r="Q531" s="12">
        <f t="shared" si="74"/>
        <v>0</v>
      </c>
      <c r="R531" s="12" t="str">
        <f>IF(Raw_Data!AM534="","",Raw_Data!AM534)</f>
        <v/>
      </c>
      <c r="S531" s="12" t="str">
        <f t="shared" si="75"/>
        <v/>
      </c>
      <c r="T531" s="12" t="str">
        <f>IF(Raw_Data!AN534="","",Raw_Data!AN534)</f>
        <v/>
      </c>
      <c r="U531" s="12" t="str">
        <f t="shared" si="76"/>
        <v/>
      </c>
      <c r="V531" s="12" t="str">
        <f>IF(Raw_Data!AP534="","",IF(Raw_Data!AP534="oui",1,0))</f>
        <v/>
      </c>
      <c r="W531" s="12" t="str">
        <f>IF(Raw_Data!AQ534="","",IF(Raw_Data!AQ534="oui",1,0))</f>
        <v/>
      </c>
      <c r="X531" s="12" t="str">
        <f>IF(Raw_Data!AR534="","",IF(Raw_Data!AR534="oui",1,0))</f>
        <v/>
      </c>
      <c r="Y531" s="12" t="str">
        <f>IF(Raw_Data!AS534="","",IF(Raw_Data!AS534="oui",1,0))</f>
        <v/>
      </c>
      <c r="Z531" s="12" t="str">
        <f>IF(Raw_Data!V534="","",IF(Raw_Data!V534="oui",1,0))</f>
        <v/>
      </c>
      <c r="AA531" s="12" t="str">
        <f>IF(Raw_Data!W534="","",IF(Raw_Data!W534="oui",1,0))</f>
        <v/>
      </c>
      <c r="AB531" s="12" t="str">
        <f>IF(Raw_Data!Q534="","",IF(Raw_Data!Q534="oui",1,0))</f>
        <v/>
      </c>
      <c r="AC531" s="12">
        <f>Raw_Data!AF534</f>
        <v>0</v>
      </c>
      <c r="AD531" s="12" t="str">
        <f t="shared" si="77"/>
        <v/>
      </c>
      <c r="AE531" s="12" t="str">
        <f t="shared" si="78"/>
        <v/>
      </c>
      <c r="AF531" s="12" t="str">
        <f t="shared" si="79"/>
        <v/>
      </c>
      <c r="AG531" s="12">
        <f t="shared" si="80"/>
        <v>0</v>
      </c>
    </row>
    <row r="532" spans="1:33" ht="15" customHeight="1" x14ac:dyDescent="0.25">
      <c r="A532" s="12" t="str">
        <f>IF(Raw_Data!B535="","",Raw_Data!B535)</f>
        <v/>
      </c>
      <c r="B532" s="12">
        <f>IF(Raw_Data!X535&lt;&gt;"",Raw_Data!X535,Raw_Data!C535)</f>
        <v>0</v>
      </c>
      <c r="C532" s="12" t="str">
        <f>IF(Raw_Data!G535="","",Raw_Data!G535)</f>
        <v/>
      </c>
      <c r="D532" s="12" t="str">
        <f>IF(Raw_Data!H535="","",Raw_Data!H535)</f>
        <v/>
      </c>
      <c r="E532" s="12" t="str">
        <f>IF(Raw_Data!I535="","",Raw_Data!I535)</f>
        <v/>
      </c>
      <c r="F532" s="12" t="str">
        <f>IF(Raw_Data!J535="","",Raw_Data!J535)</f>
        <v/>
      </c>
      <c r="G532" s="12" t="str">
        <f>IF(Raw_Data!AH535&lt;&gt;"",Raw_Data!AH535,IF(Raw_Data!K535&lt;&gt;"",Raw_Data!K535,""))</f>
        <v/>
      </c>
      <c r="H532" s="12" t="str">
        <f>IF(Raw_Data!AI535&lt;&gt;"",Raw_Data!AI535,IF(Raw_Data!L535&lt;&gt;"",Raw_Data!L535,""))</f>
        <v/>
      </c>
      <c r="I532" s="12" t="str">
        <f t="shared" si="72"/>
        <v/>
      </c>
      <c r="J532" s="12" t="str">
        <f>IF(Raw_Data!M535="","",Raw_Data!M535)</f>
        <v/>
      </c>
      <c r="K532" s="12">
        <f>IF(Raw_Data!AJ535&lt;&gt;"",Raw_Data!AJ535,Raw_Data!N535)</f>
        <v>0</v>
      </c>
      <c r="L532" s="12">
        <f t="shared" si="73"/>
        <v>1</v>
      </c>
      <c r="M532" s="12" t="str">
        <f>IF(Raw_Data!AK535="","",Raw_Data!AK535)</f>
        <v/>
      </c>
      <c r="N532" s="12" t="str">
        <f>IF(Raw_Data!T535="","",Raw_Data!T535)</f>
        <v/>
      </c>
      <c r="O532" s="12" t="str">
        <f>IF(Raw_Data!AB535&lt;&gt;"",Raw_Data!AB535,IF(N532="tres_insatisfait",1,IF(N532="insatisfait",2,IF(N532="neutre",3,IF(N532="satisfait",4,IF(N532="tres_satisfait",5,""))))))</f>
        <v/>
      </c>
      <c r="P532" s="12">
        <f>IF(Raw_Data!AL535&lt;&gt;"",Raw_Data!AL535,Raw_Data!R535)</f>
        <v>0</v>
      </c>
      <c r="Q532" s="12">
        <f t="shared" si="74"/>
        <v>0</v>
      </c>
      <c r="R532" s="12" t="str">
        <f>IF(Raw_Data!AM535="","",Raw_Data!AM535)</f>
        <v/>
      </c>
      <c r="S532" s="12" t="str">
        <f t="shared" si="75"/>
        <v/>
      </c>
      <c r="T532" s="12" t="str">
        <f>IF(Raw_Data!AN535="","",Raw_Data!AN535)</f>
        <v/>
      </c>
      <c r="U532" s="12" t="str">
        <f t="shared" si="76"/>
        <v/>
      </c>
      <c r="V532" s="12" t="str">
        <f>IF(Raw_Data!AP535="","",IF(Raw_Data!AP535="oui",1,0))</f>
        <v/>
      </c>
      <c r="W532" s="12" t="str">
        <f>IF(Raw_Data!AQ535="","",IF(Raw_Data!AQ535="oui",1,0))</f>
        <v/>
      </c>
      <c r="X532" s="12" t="str">
        <f>IF(Raw_Data!AR535="","",IF(Raw_Data!AR535="oui",1,0))</f>
        <v/>
      </c>
      <c r="Y532" s="12" t="str">
        <f>IF(Raw_Data!AS535="","",IF(Raw_Data!AS535="oui",1,0))</f>
        <v/>
      </c>
      <c r="Z532" s="12" t="str">
        <f>IF(Raw_Data!V535="","",IF(Raw_Data!V535="oui",1,0))</f>
        <v/>
      </c>
      <c r="AA532" s="12" t="str">
        <f>IF(Raw_Data!W535="","",IF(Raw_Data!W535="oui",1,0))</f>
        <v/>
      </c>
      <c r="AB532" s="12" t="str">
        <f>IF(Raw_Data!Q535="","",IF(Raw_Data!Q535="oui",1,0))</f>
        <v/>
      </c>
      <c r="AC532" s="12">
        <f>Raw_Data!AF535</f>
        <v>0</v>
      </c>
      <c r="AD532" s="12" t="str">
        <f t="shared" si="77"/>
        <v/>
      </c>
      <c r="AE532" s="12" t="str">
        <f t="shared" si="78"/>
        <v/>
      </c>
      <c r="AF532" s="12" t="str">
        <f t="shared" si="79"/>
        <v/>
      </c>
      <c r="AG532" s="12">
        <f t="shared" si="80"/>
        <v>0</v>
      </c>
    </row>
    <row r="533" spans="1:33" ht="15" customHeight="1" x14ac:dyDescent="0.25">
      <c r="A533" s="12" t="str">
        <f>IF(Raw_Data!B536="","",Raw_Data!B536)</f>
        <v/>
      </c>
      <c r="B533" s="12">
        <f>IF(Raw_Data!X536&lt;&gt;"",Raw_Data!X536,Raw_Data!C536)</f>
        <v>0</v>
      </c>
      <c r="C533" s="12" t="str">
        <f>IF(Raw_Data!G536="","",Raw_Data!G536)</f>
        <v/>
      </c>
      <c r="D533" s="12" t="str">
        <f>IF(Raw_Data!H536="","",Raw_Data!H536)</f>
        <v/>
      </c>
      <c r="E533" s="12" t="str">
        <f>IF(Raw_Data!I536="","",Raw_Data!I536)</f>
        <v/>
      </c>
      <c r="F533" s="12" t="str">
        <f>IF(Raw_Data!J536="","",Raw_Data!J536)</f>
        <v/>
      </c>
      <c r="G533" s="12" t="str">
        <f>IF(Raw_Data!AH536&lt;&gt;"",Raw_Data!AH536,IF(Raw_Data!K536&lt;&gt;"",Raw_Data!K536,""))</f>
        <v/>
      </c>
      <c r="H533" s="12" t="str">
        <f>IF(Raw_Data!AI536&lt;&gt;"",Raw_Data!AI536,IF(Raw_Data!L536&lt;&gt;"",Raw_Data!L536,""))</f>
        <v/>
      </c>
      <c r="I533" s="12" t="str">
        <f t="shared" si="72"/>
        <v/>
      </c>
      <c r="J533" s="12" t="str">
        <f>IF(Raw_Data!M536="","",Raw_Data!M536)</f>
        <v/>
      </c>
      <c r="K533" s="12">
        <f>IF(Raw_Data!AJ536&lt;&gt;"",Raw_Data!AJ536,Raw_Data!N536)</f>
        <v>0</v>
      </c>
      <c r="L533" s="12">
        <f t="shared" si="73"/>
        <v>1</v>
      </c>
      <c r="M533" s="12" t="str">
        <f>IF(Raw_Data!AK536="","",Raw_Data!AK536)</f>
        <v/>
      </c>
      <c r="N533" s="12" t="str">
        <f>IF(Raw_Data!T536="","",Raw_Data!T536)</f>
        <v/>
      </c>
      <c r="O533" s="12" t="str">
        <f>IF(Raw_Data!AB536&lt;&gt;"",Raw_Data!AB536,IF(N533="tres_insatisfait",1,IF(N533="insatisfait",2,IF(N533="neutre",3,IF(N533="satisfait",4,IF(N533="tres_satisfait",5,""))))))</f>
        <v/>
      </c>
      <c r="P533" s="12">
        <f>IF(Raw_Data!AL536&lt;&gt;"",Raw_Data!AL536,Raw_Data!R536)</f>
        <v>0</v>
      </c>
      <c r="Q533" s="12">
        <f t="shared" si="74"/>
        <v>0</v>
      </c>
      <c r="R533" s="12" t="str">
        <f>IF(Raw_Data!AM536="","",Raw_Data!AM536)</f>
        <v/>
      </c>
      <c r="S533" s="12" t="str">
        <f t="shared" si="75"/>
        <v/>
      </c>
      <c r="T533" s="12" t="str">
        <f>IF(Raw_Data!AN536="","",Raw_Data!AN536)</f>
        <v/>
      </c>
      <c r="U533" s="12" t="str">
        <f t="shared" si="76"/>
        <v/>
      </c>
      <c r="V533" s="12" t="str">
        <f>IF(Raw_Data!AP536="","",IF(Raw_Data!AP536="oui",1,0))</f>
        <v/>
      </c>
      <c r="W533" s="12" t="str">
        <f>IF(Raw_Data!AQ536="","",IF(Raw_Data!AQ536="oui",1,0))</f>
        <v/>
      </c>
      <c r="X533" s="12" t="str">
        <f>IF(Raw_Data!AR536="","",IF(Raw_Data!AR536="oui",1,0))</f>
        <v/>
      </c>
      <c r="Y533" s="12" t="str">
        <f>IF(Raw_Data!AS536="","",IF(Raw_Data!AS536="oui",1,0))</f>
        <v/>
      </c>
      <c r="Z533" s="12" t="str">
        <f>IF(Raw_Data!V536="","",IF(Raw_Data!V536="oui",1,0))</f>
        <v/>
      </c>
      <c r="AA533" s="12" t="str">
        <f>IF(Raw_Data!W536="","",IF(Raw_Data!W536="oui",1,0))</f>
        <v/>
      </c>
      <c r="AB533" s="12" t="str">
        <f>IF(Raw_Data!Q536="","",IF(Raw_Data!Q536="oui",1,0))</f>
        <v/>
      </c>
      <c r="AC533" s="12">
        <f>Raw_Data!AF536</f>
        <v>0</v>
      </c>
      <c r="AD533" s="12" t="str">
        <f t="shared" si="77"/>
        <v/>
      </c>
      <c r="AE533" s="12" t="str">
        <f t="shared" si="78"/>
        <v/>
      </c>
      <c r="AF533" s="12" t="str">
        <f t="shared" si="79"/>
        <v/>
      </c>
      <c r="AG533" s="12">
        <f t="shared" si="80"/>
        <v>0</v>
      </c>
    </row>
    <row r="534" spans="1:33" ht="15" customHeight="1" x14ac:dyDescent="0.25">
      <c r="A534" s="12" t="str">
        <f>IF(Raw_Data!B537="","",Raw_Data!B537)</f>
        <v/>
      </c>
      <c r="B534" s="12">
        <f>IF(Raw_Data!X537&lt;&gt;"",Raw_Data!X537,Raw_Data!C537)</f>
        <v>0</v>
      </c>
      <c r="C534" s="12" t="str">
        <f>IF(Raw_Data!G537="","",Raw_Data!G537)</f>
        <v/>
      </c>
      <c r="D534" s="12" t="str">
        <f>IF(Raw_Data!H537="","",Raw_Data!H537)</f>
        <v/>
      </c>
      <c r="E534" s="12" t="str">
        <f>IF(Raw_Data!I537="","",Raw_Data!I537)</f>
        <v/>
      </c>
      <c r="F534" s="12" t="str">
        <f>IF(Raw_Data!J537="","",Raw_Data!J537)</f>
        <v/>
      </c>
      <c r="G534" s="12" t="str">
        <f>IF(Raw_Data!AH537&lt;&gt;"",Raw_Data!AH537,IF(Raw_Data!K537&lt;&gt;"",Raw_Data!K537,""))</f>
        <v/>
      </c>
      <c r="H534" s="12" t="str">
        <f>IF(Raw_Data!AI537&lt;&gt;"",Raw_Data!AI537,IF(Raw_Data!L537&lt;&gt;"",Raw_Data!L537,""))</f>
        <v/>
      </c>
      <c r="I534" s="12" t="str">
        <f t="shared" si="72"/>
        <v/>
      </c>
      <c r="J534" s="12" t="str">
        <f>IF(Raw_Data!M537="","",Raw_Data!M537)</f>
        <v/>
      </c>
      <c r="K534" s="12">
        <f>IF(Raw_Data!AJ537&lt;&gt;"",Raw_Data!AJ537,Raw_Data!N537)</f>
        <v>0</v>
      </c>
      <c r="L534" s="12">
        <f t="shared" si="73"/>
        <v>1</v>
      </c>
      <c r="M534" s="12" t="str">
        <f>IF(Raw_Data!AK537="","",Raw_Data!AK537)</f>
        <v/>
      </c>
      <c r="N534" s="12" t="str">
        <f>IF(Raw_Data!T537="","",Raw_Data!T537)</f>
        <v/>
      </c>
      <c r="O534" s="12" t="str">
        <f>IF(Raw_Data!AB537&lt;&gt;"",Raw_Data!AB537,IF(N534="tres_insatisfait",1,IF(N534="insatisfait",2,IF(N534="neutre",3,IF(N534="satisfait",4,IF(N534="tres_satisfait",5,""))))))</f>
        <v/>
      </c>
      <c r="P534" s="12">
        <f>IF(Raw_Data!AL537&lt;&gt;"",Raw_Data!AL537,Raw_Data!R537)</f>
        <v>0</v>
      </c>
      <c r="Q534" s="12">
        <f t="shared" si="74"/>
        <v>0</v>
      </c>
      <c r="R534" s="12" t="str">
        <f>IF(Raw_Data!AM537="","",Raw_Data!AM537)</f>
        <v/>
      </c>
      <c r="S534" s="12" t="str">
        <f t="shared" si="75"/>
        <v/>
      </c>
      <c r="T534" s="12" t="str">
        <f>IF(Raw_Data!AN537="","",Raw_Data!AN537)</f>
        <v/>
      </c>
      <c r="U534" s="12" t="str">
        <f t="shared" si="76"/>
        <v/>
      </c>
      <c r="V534" s="12" t="str">
        <f>IF(Raw_Data!AP537="","",IF(Raw_Data!AP537="oui",1,0))</f>
        <v/>
      </c>
      <c r="W534" s="12" t="str">
        <f>IF(Raw_Data!AQ537="","",IF(Raw_Data!AQ537="oui",1,0))</f>
        <v/>
      </c>
      <c r="X534" s="12" t="str">
        <f>IF(Raw_Data!AR537="","",IF(Raw_Data!AR537="oui",1,0))</f>
        <v/>
      </c>
      <c r="Y534" s="12" t="str">
        <f>IF(Raw_Data!AS537="","",IF(Raw_Data!AS537="oui",1,0))</f>
        <v/>
      </c>
      <c r="Z534" s="12" t="str">
        <f>IF(Raw_Data!V537="","",IF(Raw_Data!V537="oui",1,0))</f>
        <v/>
      </c>
      <c r="AA534" s="12" t="str">
        <f>IF(Raw_Data!W537="","",IF(Raw_Data!W537="oui",1,0))</f>
        <v/>
      </c>
      <c r="AB534" s="12" t="str">
        <f>IF(Raw_Data!Q537="","",IF(Raw_Data!Q537="oui",1,0))</f>
        <v/>
      </c>
      <c r="AC534" s="12">
        <f>Raw_Data!AF537</f>
        <v>0</v>
      </c>
      <c r="AD534" s="12" t="str">
        <f t="shared" si="77"/>
        <v/>
      </c>
      <c r="AE534" s="12" t="str">
        <f t="shared" si="78"/>
        <v/>
      </c>
      <c r="AF534" s="12" t="str">
        <f t="shared" si="79"/>
        <v/>
      </c>
      <c r="AG534" s="12">
        <f t="shared" si="80"/>
        <v>0</v>
      </c>
    </row>
    <row r="535" spans="1:33" ht="15" customHeight="1" x14ac:dyDescent="0.25">
      <c r="A535" s="12" t="str">
        <f>IF(Raw_Data!B538="","",Raw_Data!B538)</f>
        <v/>
      </c>
      <c r="B535" s="12">
        <f>IF(Raw_Data!X538&lt;&gt;"",Raw_Data!X538,Raw_Data!C538)</f>
        <v>0</v>
      </c>
      <c r="C535" s="12" t="str">
        <f>IF(Raw_Data!G538="","",Raw_Data!G538)</f>
        <v/>
      </c>
      <c r="D535" s="12" t="str">
        <f>IF(Raw_Data!H538="","",Raw_Data!H538)</f>
        <v/>
      </c>
      <c r="E535" s="12" t="str">
        <f>IF(Raw_Data!I538="","",Raw_Data!I538)</f>
        <v/>
      </c>
      <c r="F535" s="12" t="str">
        <f>IF(Raw_Data!J538="","",Raw_Data!J538)</f>
        <v/>
      </c>
      <c r="G535" s="12" t="str">
        <f>IF(Raw_Data!AH538&lt;&gt;"",Raw_Data!AH538,IF(Raw_Data!K538&lt;&gt;"",Raw_Data!K538,""))</f>
        <v/>
      </c>
      <c r="H535" s="12" t="str">
        <f>IF(Raw_Data!AI538&lt;&gt;"",Raw_Data!AI538,IF(Raw_Data!L538&lt;&gt;"",Raw_Data!L538,""))</f>
        <v/>
      </c>
      <c r="I535" s="12" t="str">
        <f t="shared" si="72"/>
        <v/>
      </c>
      <c r="J535" s="12" t="str">
        <f>IF(Raw_Data!M538="","",Raw_Data!M538)</f>
        <v/>
      </c>
      <c r="K535" s="12">
        <f>IF(Raw_Data!AJ538&lt;&gt;"",Raw_Data!AJ538,Raw_Data!N538)</f>
        <v>0</v>
      </c>
      <c r="L535" s="12">
        <f t="shared" si="73"/>
        <v>1</v>
      </c>
      <c r="M535" s="12" t="str">
        <f>IF(Raw_Data!AK538="","",Raw_Data!AK538)</f>
        <v/>
      </c>
      <c r="N535" s="12" t="str">
        <f>IF(Raw_Data!T538="","",Raw_Data!T538)</f>
        <v/>
      </c>
      <c r="O535" s="12" t="str">
        <f>IF(Raw_Data!AB538&lt;&gt;"",Raw_Data!AB538,IF(N535="tres_insatisfait",1,IF(N535="insatisfait",2,IF(N535="neutre",3,IF(N535="satisfait",4,IF(N535="tres_satisfait",5,""))))))</f>
        <v/>
      </c>
      <c r="P535" s="12">
        <f>IF(Raw_Data!AL538&lt;&gt;"",Raw_Data!AL538,Raw_Data!R538)</f>
        <v>0</v>
      </c>
      <c r="Q535" s="12">
        <f t="shared" si="74"/>
        <v>0</v>
      </c>
      <c r="R535" s="12" t="str">
        <f>IF(Raw_Data!AM538="","",Raw_Data!AM538)</f>
        <v/>
      </c>
      <c r="S535" s="12" t="str">
        <f t="shared" si="75"/>
        <v/>
      </c>
      <c r="T535" s="12" t="str">
        <f>IF(Raw_Data!AN538="","",Raw_Data!AN538)</f>
        <v/>
      </c>
      <c r="U535" s="12" t="str">
        <f t="shared" si="76"/>
        <v/>
      </c>
      <c r="V535" s="12" t="str">
        <f>IF(Raw_Data!AP538="","",IF(Raw_Data!AP538="oui",1,0))</f>
        <v/>
      </c>
      <c r="W535" s="12" t="str">
        <f>IF(Raw_Data!AQ538="","",IF(Raw_Data!AQ538="oui",1,0))</f>
        <v/>
      </c>
      <c r="X535" s="12" t="str">
        <f>IF(Raw_Data!AR538="","",IF(Raw_Data!AR538="oui",1,0))</f>
        <v/>
      </c>
      <c r="Y535" s="12" t="str">
        <f>IF(Raw_Data!AS538="","",IF(Raw_Data!AS538="oui",1,0))</f>
        <v/>
      </c>
      <c r="Z535" s="12" t="str">
        <f>IF(Raw_Data!V538="","",IF(Raw_Data!V538="oui",1,0))</f>
        <v/>
      </c>
      <c r="AA535" s="12" t="str">
        <f>IF(Raw_Data!W538="","",IF(Raw_Data!W538="oui",1,0))</f>
        <v/>
      </c>
      <c r="AB535" s="12" t="str">
        <f>IF(Raw_Data!Q538="","",IF(Raw_Data!Q538="oui",1,0))</f>
        <v/>
      </c>
      <c r="AC535" s="12">
        <f>Raw_Data!AF538</f>
        <v>0</v>
      </c>
      <c r="AD535" s="12" t="str">
        <f t="shared" si="77"/>
        <v/>
      </c>
      <c r="AE535" s="12" t="str">
        <f t="shared" si="78"/>
        <v/>
      </c>
      <c r="AF535" s="12" t="str">
        <f t="shared" si="79"/>
        <v/>
      </c>
      <c r="AG535" s="12">
        <f t="shared" si="80"/>
        <v>0</v>
      </c>
    </row>
    <row r="536" spans="1:33" ht="15" customHeight="1" x14ac:dyDescent="0.25">
      <c r="A536" s="12" t="str">
        <f>IF(Raw_Data!B539="","",Raw_Data!B539)</f>
        <v/>
      </c>
      <c r="B536" s="12">
        <f>IF(Raw_Data!X539&lt;&gt;"",Raw_Data!X539,Raw_Data!C539)</f>
        <v>0</v>
      </c>
      <c r="C536" s="12" t="str">
        <f>IF(Raw_Data!G539="","",Raw_Data!G539)</f>
        <v/>
      </c>
      <c r="D536" s="12" t="str">
        <f>IF(Raw_Data!H539="","",Raw_Data!H539)</f>
        <v/>
      </c>
      <c r="E536" s="12" t="str">
        <f>IF(Raw_Data!I539="","",Raw_Data!I539)</f>
        <v/>
      </c>
      <c r="F536" s="12" t="str">
        <f>IF(Raw_Data!J539="","",Raw_Data!J539)</f>
        <v/>
      </c>
      <c r="G536" s="12" t="str">
        <f>IF(Raw_Data!AH539&lt;&gt;"",Raw_Data!AH539,IF(Raw_Data!K539&lt;&gt;"",Raw_Data!K539,""))</f>
        <v/>
      </c>
      <c r="H536" s="12" t="str">
        <f>IF(Raw_Data!AI539&lt;&gt;"",Raw_Data!AI539,IF(Raw_Data!L539&lt;&gt;"",Raw_Data!L539,""))</f>
        <v/>
      </c>
      <c r="I536" s="12" t="str">
        <f t="shared" si="72"/>
        <v/>
      </c>
      <c r="J536" s="12" t="str">
        <f>IF(Raw_Data!M539="","",Raw_Data!M539)</f>
        <v/>
      </c>
      <c r="K536" s="12">
        <f>IF(Raw_Data!AJ539&lt;&gt;"",Raw_Data!AJ539,Raw_Data!N539)</f>
        <v>0</v>
      </c>
      <c r="L536" s="12">
        <f t="shared" si="73"/>
        <v>1</v>
      </c>
      <c r="M536" s="12" t="str">
        <f>IF(Raw_Data!AK539="","",Raw_Data!AK539)</f>
        <v/>
      </c>
      <c r="N536" s="12" t="str">
        <f>IF(Raw_Data!T539="","",Raw_Data!T539)</f>
        <v/>
      </c>
      <c r="O536" s="12" t="str">
        <f>IF(Raw_Data!AB539&lt;&gt;"",Raw_Data!AB539,IF(N536="tres_insatisfait",1,IF(N536="insatisfait",2,IF(N536="neutre",3,IF(N536="satisfait",4,IF(N536="tres_satisfait",5,""))))))</f>
        <v/>
      </c>
      <c r="P536" s="12">
        <f>IF(Raw_Data!AL539&lt;&gt;"",Raw_Data!AL539,Raw_Data!R539)</f>
        <v>0</v>
      </c>
      <c r="Q536" s="12">
        <f t="shared" si="74"/>
        <v>0</v>
      </c>
      <c r="R536" s="12" t="str">
        <f>IF(Raw_Data!AM539="","",Raw_Data!AM539)</f>
        <v/>
      </c>
      <c r="S536" s="12" t="str">
        <f t="shared" si="75"/>
        <v/>
      </c>
      <c r="T536" s="12" t="str">
        <f>IF(Raw_Data!AN539="","",Raw_Data!AN539)</f>
        <v/>
      </c>
      <c r="U536" s="12" t="str">
        <f t="shared" si="76"/>
        <v/>
      </c>
      <c r="V536" s="12" t="str">
        <f>IF(Raw_Data!AP539="","",IF(Raw_Data!AP539="oui",1,0))</f>
        <v/>
      </c>
      <c r="W536" s="12" t="str">
        <f>IF(Raw_Data!AQ539="","",IF(Raw_Data!AQ539="oui",1,0))</f>
        <v/>
      </c>
      <c r="X536" s="12" t="str">
        <f>IF(Raw_Data!AR539="","",IF(Raw_Data!AR539="oui",1,0))</f>
        <v/>
      </c>
      <c r="Y536" s="12" t="str">
        <f>IF(Raw_Data!AS539="","",IF(Raw_Data!AS539="oui",1,0))</f>
        <v/>
      </c>
      <c r="Z536" s="12" t="str">
        <f>IF(Raw_Data!V539="","",IF(Raw_Data!V539="oui",1,0))</f>
        <v/>
      </c>
      <c r="AA536" s="12" t="str">
        <f>IF(Raw_Data!W539="","",IF(Raw_Data!W539="oui",1,0))</f>
        <v/>
      </c>
      <c r="AB536" s="12" t="str">
        <f>IF(Raw_Data!Q539="","",IF(Raw_Data!Q539="oui",1,0))</f>
        <v/>
      </c>
      <c r="AC536" s="12">
        <f>Raw_Data!AF539</f>
        <v>0</v>
      </c>
      <c r="AD536" s="12" t="str">
        <f t="shared" si="77"/>
        <v/>
      </c>
      <c r="AE536" s="12" t="str">
        <f t="shared" si="78"/>
        <v/>
      </c>
      <c r="AF536" s="12" t="str">
        <f t="shared" si="79"/>
        <v/>
      </c>
      <c r="AG536" s="12">
        <f t="shared" si="80"/>
        <v>0</v>
      </c>
    </row>
    <row r="537" spans="1:33" ht="15" customHeight="1" x14ac:dyDescent="0.25">
      <c r="A537" s="12" t="str">
        <f>IF(Raw_Data!B540="","",Raw_Data!B540)</f>
        <v/>
      </c>
      <c r="B537" s="12">
        <f>IF(Raw_Data!X540&lt;&gt;"",Raw_Data!X540,Raw_Data!C540)</f>
        <v>0</v>
      </c>
      <c r="C537" s="12" t="str">
        <f>IF(Raw_Data!G540="","",Raw_Data!G540)</f>
        <v/>
      </c>
      <c r="D537" s="12" t="str">
        <f>IF(Raw_Data!H540="","",Raw_Data!H540)</f>
        <v/>
      </c>
      <c r="E537" s="12" t="str">
        <f>IF(Raw_Data!I540="","",Raw_Data!I540)</f>
        <v/>
      </c>
      <c r="F537" s="12" t="str">
        <f>IF(Raw_Data!J540="","",Raw_Data!J540)</f>
        <v/>
      </c>
      <c r="G537" s="12" t="str">
        <f>IF(Raw_Data!AH540&lt;&gt;"",Raw_Data!AH540,IF(Raw_Data!K540&lt;&gt;"",Raw_Data!K540,""))</f>
        <v/>
      </c>
      <c r="H537" s="12" t="str">
        <f>IF(Raw_Data!AI540&lt;&gt;"",Raw_Data!AI540,IF(Raw_Data!L540&lt;&gt;"",Raw_Data!L540,""))</f>
        <v/>
      </c>
      <c r="I537" s="12" t="str">
        <f t="shared" si="72"/>
        <v/>
      </c>
      <c r="J537" s="12" t="str">
        <f>IF(Raw_Data!M540="","",Raw_Data!M540)</f>
        <v/>
      </c>
      <c r="K537" s="12">
        <f>IF(Raw_Data!AJ540&lt;&gt;"",Raw_Data!AJ540,Raw_Data!N540)</f>
        <v>0</v>
      </c>
      <c r="L537" s="12">
        <f t="shared" si="73"/>
        <v>1</v>
      </c>
      <c r="M537" s="12" t="str">
        <f>IF(Raw_Data!AK540="","",Raw_Data!AK540)</f>
        <v/>
      </c>
      <c r="N537" s="12" t="str">
        <f>IF(Raw_Data!T540="","",Raw_Data!T540)</f>
        <v/>
      </c>
      <c r="O537" s="12" t="str">
        <f>IF(Raw_Data!AB540&lt;&gt;"",Raw_Data!AB540,IF(N537="tres_insatisfait",1,IF(N537="insatisfait",2,IF(N537="neutre",3,IF(N537="satisfait",4,IF(N537="tres_satisfait",5,""))))))</f>
        <v/>
      </c>
      <c r="P537" s="12">
        <f>IF(Raw_Data!AL540&lt;&gt;"",Raw_Data!AL540,Raw_Data!R540)</f>
        <v>0</v>
      </c>
      <c r="Q537" s="12">
        <f t="shared" si="74"/>
        <v>0</v>
      </c>
      <c r="R537" s="12" t="str">
        <f>IF(Raw_Data!AM540="","",Raw_Data!AM540)</f>
        <v/>
      </c>
      <c r="S537" s="12" t="str">
        <f t="shared" si="75"/>
        <v/>
      </c>
      <c r="T537" s="12" t="str">
        <f>IF(Raw_Data!AN540="","",Raw_Data!AN540)</f>
        <v/>
      </c>
      <c r="U537" s="12" t="str">
        <f t="shared" si="76"/>
        <v/>
      </c>
      <c r="V537" s="12" t="str">
        <f>IF(Raw_Data!AP540="","",IF(Raw_Data!AP540="oui",1,0))</f>
        <v/>
      </c>
      <c r="W537" s="12" t="str">
        <f>IF(Raw_Data!AQ540="","",IF(Raw_Data!AQ540="oui",1,0))</f>
        <v/>
      </c>
      <c r="X537" s="12" t="str">
        <f>IF(Raw_Data!AR540="","",IF(Raw_Data!AR540="oui",1,0))</f>
        <v/>
      </c>
      <c r="Y537" s="12" t="str">
        <f>IF(Raw_Data!AS540="","",IF(Raw_Data!AS540="oui",1,0))</f>
        <v/>
      </c>
      <c r="Z537" s="12" t="str">
        <f>IF(Raw_Data!V540="","",IF(Raw_Data!V540="oui",1,0))</f>
        <v/>
      </c>
      <c r="AA537" s="12" t="str">
        <f>IF(Raw_Data!W540="","",IF(Raw_Data!W540="oui",1,0))</f>
        <v/>
      </c>
      <c r="AB537" s="12" t="str">
        <f>IF(Raw_Data!Q540="","",IF(Raw_Data!Q540="oui",1,0))</f>
        <v/>
      </c>
      <c r="AC537" s="12">
        <f>Raw_Data!AF540</f>
        <v>0</v>
      </c>
      <c r="AD537" s="12" t="str">
        <f t="shared" si="77"/>
        <v/>
      </c>
      <c r="AE537" s="12" t="str">
        <f t="shared" si="78"/>
        <v/>
      </c>
      <c r="AF537" s="12" t="str">
        <f t="shared" si="79"/>
        <v/>
      </c>
      <c r="AG537" s="12">
        <f t="shared" si="80"/>
        <v>0</v>
      </c>
    </row>
    <row r="538" spans="1:33" ht="15" customHeight="1" x14ac:dyDescent="0.25">
      <c r="A538" s="12" t="str">
        <f>IF(Raw_Data!B541="","",Raw_Data!B541)</f>
        <v/>
      </c>
      <c r="B538" s="12">
        <f>IF(Raw_Data!X541&lt;&gt;"",Raw_Data!X541,Raw_Data!C541)</f>
        <v>0</v>
      </c>
      <c r="C538" s="12" t="str">
        <f>IF(Raw_Data!G541="","",Raw_Data!G541)</f>
        <v/>
      </c>
      <c r="D538" s="12" t="str">
        <f>IF(Raw_Data!H541="","",Raw_Data!H541)</f>
        <v/>
      </c>
      <c r="E538" s="12" t="str">
        <f>IF(Raw_Data!I541="","",Raw_Data!I541)</f>
        <v/>
      </c>
      <c r="F538" s="12" t="str">
        <f>IF(Raw_Data!J541="","",Raw_Data!J541)</f>
        <v/>
      </c>
      <c r="G538" s="12" t="str">
        <f>IF(Raw_Data!AH541&lt;&gt;"",Raw_Data!AH541,IF(Raw_Data!K541&lt;&gt;"",Raw_Data!K541,""))</f>
        <v/>
      </c>
      <c r="H538" s="12" t="str">
        <f>IF(Raw_Data!AI541&lt;&gt;"",Raw_Data!AI541,IF(Raw_Data!L541&lt;&gt;"",Raw_Data!L541,""))</f>
        <v/>
      </c>
      <c r="I538" s="12" t="str">
        <f t="shared" si="72"/>
        <v/>
      </c>
      <c r="J538" s="12" t="str">
        <f>IF(Raw_Data!M541="","",Raw_Data!M541)</f>
        <v/>
      </c>
      <c r="K538" s="12">
        <f>IF(Raw_Data!AJ541&lt;&gt;"",Raw_Data!AJ541,Raw_Data!N541)</f>
        <v>0</v>
      </c>
      <c r="L538" s="12">
        <f t="shared" si="73"/>
        <v>1</v>
      </c>
      <c r="M538" s="12" t="str">
        <f>IF(Raw_Data!AK541="","",Raw_Data!AK541)</f>
        <v/>
      </c>
      <c r="N538" s="12" t="str">
        <f>IF(Raw_Data!T541="","",Raw_Data!T541)</f>
        <v/>
      </c>
      <c r="O538" s="12" t="str">
        <f>IF(Raw_Data!AB541&lt;&gt;"",Raw_Data!AB541,IF(N538="tres_insatisfait",1,IF(N538="insatisfait",2,IF(N538="neutre",3,IF(N538="satisfait",4,IF(N538="tres_satisfait",5,""))))))</f>
        <v/>
      </c>
      <c r="P538" s="12">
        <f>IF(Raw_Data!AL541&lt;&gt;"",Raw_Data!AL541,Raw_Data!R541)</f>
        <v>0</v>
      </c>
      <c r="Q538" s="12">
        <f t="shared" si="74"/>
        <v>0</v>
      </c>
      <c r="R538" s="12" t="str">
        <f>IF(Raw_Data!AM541="","",Raw_Data!AM541)</f>
        <v/>
      </c>
      <c r="S538" s="12" t="str">
        <f t="shared" si="75"/>
        <v/>
      </c>
      <c r="T538" s="12" t="str">
        <f>IF(Raw_Data!AN541="","",Raw_Data!AN541)</f>
        <v/>
      </c>
      <c r="U538" s="12" t="str">
        <f t="shared" si="76"/>
        <v/>
      </c>
      <c r="V538" s="12" t="str">
        <f>IF(Raw_Data!AP541="","",IF(Raw_Data!AP541="oui",1,0))</f>
        <v/>
      </c>
      <c r="W538" s="12" t="str">
        <f>IF(Raw_Data!AQ541="","",IF(Raw_Data!AQ541="oui",1,0))</f>
        <v/>
      </c>
      <c r="X538" s="12" t="str">
        <f>IF(Raw_Data!AR541="","",IF(Raw_Data!AR541="oui",1,0))</f>
        <v/>
      </c>
      <c r="Y538" s="12" t="str">
        <f>IF(Raw_Data!AS541="","",IF(Raw_Data!AS541="oui",1,0))</f>
        <v/>
      </c>
      <c r="Z538" s="12" t="str">
        <f>IF(Raw_Data!V541="","",IF(Raw_Data!V541="oui",1,0))</f>
        <v/>
      </c>
      <c r="AA538" s="12" t="str">
        <f>IF(Raw_Data!W541="","",IF(Raw_Data!W541="oui",1,0))</f>
        <v/>
      </c>
      <c r="AB538" s="12" t="str">
        <f>IF(Raw_Data!Q541="","",IF(Raw_Data!Q541="oui",1,0))</f>
        <v/>
      </c>
      <c r="AC538" s="12">
        <f>Raw_Data!AF541</f>
        <v>0</v>
      </c>
      <c r="AD538" s="12" t="str">
        <f t="shared" si="77"/>
        <v/>
      </c>
      <c r="AE538" s="12" t="str">
        <f t="shared" si="78"/>
        <v/>
      </c>
      <c r="AF538" s="12" t="str">
        <f t="shared" si="79"/>
        <v/>
      </c>
      <c r="AG538" s="12">
        <f t="shared" si="80"/>
        <v>0</v>
      </c>
    </row>
    <row r="539" spans="1:33" ht="15" customHeight="1" x14ac:dyDescent="0.25">
      <c r="A539" s="12" t="str">
        <f>IF(Raw_Data!B542="","",Raw_Data!B542)</f>
        <v/>
      </c>
      <c r="B539" s="12">
        <f>IF(Raw_Data!X542&lt;&gt;"",Raw_Data!X542,Raw_Data!C542)</f>
        <v>0</v>
      </c>
      <c r="C539" s="12" t="str">
        <f>IF(Raw_Data!G542="","",Raw_Data!G542)</f>
        <v/>
      </c>
      <c r="D539" s="12" t="str">
        <f>IF(Raw_Data!H542="","",Raw_Data!H542)</f>
        <v/>
      </c>
      <c r="E539" s="12" t="str">
        <f>IF(Raw_Data!I542="","",Raw_Data!I542)</f>
        <v/>
      </c>
      <c r="F539" s="12" t="str">
        <f>IF(Raw_Data!J542="","",Raw_Data!J542)</f>
        <v/>
      </c>
      <c r="G539" s="12" t="str">
        <f>IF(Raw_Data!AH542&lt;&gt;"",Raw_Data!AH542,IF(Raw_Data!K542&lt;&gt;"",Raw_Data!K542,""))</f>
        <v/>
      </c>
      <c r="H539" s="12" t="str">
        <f>IF(Raw_Data!AI542&lt;&gt;"",Raw_Data!AI542,IF(Raw_Data!L542&lt;&gt;"",Raw_Data!L542,""))</f>
        <v/>
      </c>
      <c r="I539" s="12" t="str">
        <f t="shared" si="72"/>
        <v/>
      </c>
      <c r="J539" s="12" t="str">
        <f>IF(Raw_Data!M542="","",Raw_Data!M542)</f>
        <v/>
      </c>
      <c r="K539" s="12">
        <f>IF(Raw_Data!AJ542&lt;&gt;"",Raw_Data!AJ542,Raw_Data!N542)</f>
        <v>0</v>
      </c>
      <c r="L539" s="12">
        <f t="shared" si="73"/>
        <v>1</v>
      </c>
      <c r="M539" s="12" t="str">
        <f>IF(Raw_Data!AK542="","",Raw_Data!AK542)</f>
        <v/>
      </c>
      <c r="N539" s="12" t="str">
        <f>IF(Raw_Data!T542="","",Raw_Data!T542)</f>
        <v/>
      </c>
      <c r="O539" s="12" t="str">
        <f>IF(Raw_Data!AB542&lt;&gt;"",Raw_Data!AB542,IF(N539="tres_insatisfait",1,IF(N539="insatisfait",2,IF(N539="neutre",3,IF(N539="satisfait",4,IF(N539="tres_satisfait",5,""))))))</f>
        <v/>
      </c>
      <c r="P539" s="12">
        <f>IF(Raw_Data!AL542&lt;&gt;"",Raw_Data!AL542,Raw_Data!R542)</f>
        <v>0</v>
      </c>
      <c r="Q539" s="12">
        <f t="shared" si="74"/>
        <v>0</v>
      </c>
      <c r="R539" s="12" t="str">
        <f>IF(Raw_Data!AM542="","",Raw_Data!AM542)</f>
        <v/>
      </c>
      <c r="S539" s="12" t="str">
        <f t="shared" si="75"/>
        <v/>
      </c>
      <c r="T539" s="12" t="str">
        <f>IF(Raw_Data!AN542="","",Raw_Data!AN542)</f>
        <v/>
      </c>
      <c r="U539" s="12" t="str">
        <f t="shared" si="76"/>
        <v/>
      </c>
      <c r="V539" s="12" t="str">
        <f>IF(Raw_Data!AP542="","",IF(Raw_Data!AP542="oui",1,0))</f>
        <v/>
      </c>
      <c r="W539" s="12" t="str">
        <f>IF(Raw_Data!AQ542="","",IF(Raw_Data!AQ542="oui",1,0))</f>
        <v/>
      </c>
      <c r="X539" s="12" t="str">
        <f>IF(Raw_Data!AR542="","",IF(Raw_Data!AR542="oui",1,0))</f>
        <v/>
      </c>
      <c r="Y539" s="12" t="str">
        <f>IF(Raw_Data!AS542="","",IF(Raw_Data!AS542="oui",1,0))</f>
        <v/>
      </c>
      <c r="Z539" s="12" t="str">
        <f>IF(Raw_Data!V542="","",IF(Raw_Data!V542="oui",1,0))</f>
        <v/>
      </c>
      <c r="AA539" s="12" t="str">
        <f>IF(Raw_Data!W542="","",IF(Raw_Data!W542="oui",1,0))</f>
        <v/>
      </c>
      <c r="AB539" s="12" t="str">
        <f>IF(Raw_Data!Q542="","",IF(Raw_Data!Q542="oui",1,0))</f>
        <v/>
      </c>
      <c r="AC539" s="12">
        <f>Raw_Data!AF542</f>
        <v>0</v>
      </c>
      <c r="AD539" s="12" t="str">
        <f t="shared" si="77"/>
        <v/>
      </c>
      <c r="AE539" s="12" t="str">
        <f t="shared" si="78"/>
        <v/>
      </c>
      <c r="AF539" s="12" t="str">
        <f t="shared" si="79"/>
        <v/>
      </c>
      <c r="AG539" s="12">
        <f t="shared" si="80"/>
        <v>0</v>
      </c>
    </row>
    <row r="540" spans="1:33" ht="15" customHeight="1" x14ac:dyDescent="0.25">
      <c r="A540" s="12" t="str">
        <f>IF(Raw_Data!B543="","",Raw_Data!B543)</f>
        <v/>
      </c>
      <c r="B540" s="12">
        <f>IF(Raw_Data!X543&lt;&gt;"",Raw_Data!X543,Raw_Data!C543)</f>
        <v>0</v>
      </c>
      <c r="C540" s="12" t="str">
        <f>IF(Raw_Data!G543="","",Raw_Data!G543)</f>
        <v/>
      </c>
      <c r="D540" s="12" t="str">
        <f>IF(Raw_Data!H543="","",Raw_Data!H543)</f>
        <v/>
      </c>
      <c r="E540" s="12" t="str">
        <f>IF(Raw_Data!I543="","",Raw_Data!I543)</f>
        <v/>
      </c>
      <c r="F540" s="12" t="str">
        <f>IF(Raw_Data!J543="","",Raw_Data!J543)</f>
        <v/>
      </c>
      <c r="G540" s="12" t="str">
        <f>IF(Raw_Data!AH543&lt;&gt;"",Raw_Data!AH543,IF(Raw_Data!K543&lt;&gt;"",Raw_Data!K543,""))</f>
        <v/>
      </c>
      <c r="H540" s="12" t="str">
        <f>IF(Raw_Data!AI543&lt;&gt;"",Raw_Data!AI543,IF(Raw_Data!L543&lt;&gt;"",Raw_Data!L543,""))</f>
        <v/>
      </c>
      <c r="I540" s="12" t="str">
        <f t="shared" si="72"/>
        <v/>
      </c>
      <c r="J540" s="12" t="str">
        <f>IF(Raw_Data!M543="","",Raw_Data!M543)</f>
        <v/>
      </c>
      <c r="K540" s="12">
        <f>IF(Raw_Data!AJ543&lt;&gt;"",Raw_Data!AJ543,Raw_Data!N543)</f>
        <v>0</v>
      </c>
      <c r="L540" s="12">
        <f t="shared" si="73"/>
        <v>1</v>
      </c>
      <c r="M540" s="12" t="str">
        <f>IF(Raw_Data!AK543="","",Raw_Data!AK543)</f>
        <v/>
      </c>
      <c r="N540" s="12" t="str">
        <f>IF(Raw_Data!T543="","",Raw_Data!T543)</f>
        <v/>
      </c>
      <c r="O540" s="12" t="str">
        <f>IF(Raw_Data!AB543&lt;&gt;"",Raw_Data!AB543,IF(N540="tres_insatisfait",1,IF(N540="insatisfait",2,IF(N540="neutre",3,IF(N540="satisfait",4,IF(N540="tres_satisfait",5,""))))))</f>
        <v/>
      </c>
      <c r="P540" s="12">
        <f>IF(Raw_Data!AL543&lt;&gt;"",Raw_Data!AL543,Raw_Data!R543)</f>
        <v>0</v>
      </c>
      <c r="Q540" s="12">
        <f t="shared" si="74"/>
        <v>0</v>
      </c>
      <c r="R540" s="12" t="str">
        <f>IF(Raw_Data!AM543="","",Raw_Data!AM543)</f>
        <v/>
      </c>
      <c r="S540" s="12" t="str">
        <f t="shared" si="75"/>
        <v/>
      </c>
      <c r="T540" s="12" t="str">
        <f>IF(Raw_Data!AN543="","",Raw_Data!AN543)</f>
        <v/>
      </c>
      <c r="U540" s="12" t="str">
        <f t="shared" si="76"/>
        <v/>
      </c>
      <c r="V540" s="12" t="str">
        <f>IF(Raw_Data!AP543="","",IF(Raw_Data!AP543="oui",1,0))</f>
        <v/>
      </c>
      <c r="W540" s="12" t="str">
        <f>IF(Raw_Data!AQ543="","",IF(Raw_Data!AQ543="oui",1,0))</f>
        <v/>
      </c>
      <c r="X540" s="12" t="str">
        <f>IF(Raw_Data!AR543="","",IF(Raw_Data!AR543="oui",1,0))</f>
        <v/>
      </c>
      <c r="Y540" s="12" t="str">
        <f>IF(Raw_Data!AS543="","",IF(Raw_Data!AS543="oui",1,0))</f>
        <v/>
      </c>
      <c r="Z540" s="12" t="str">
        <f>IF(Raw_Data!V543="","",IF(Raw_Data!V543="oui",1,0))</f>
        <v/>
      </c>
      <c r="AA540" s="12" t="str">
        <f>IF(Raw_Data!W543="","",IF(Raw_Data!W543="oui",1,0))</f>
        <v/>
      </c>
      <c r="AB540" s="12" t="str">
        <f>IF(Raw_Data!Q543="","",IF(Raw_Data!Q543="oui",1,0))</f>
        <v/>
      </c>
      <c r="AC540" s="12">
        <f>Raw_Data!AF543</f>
        <v>0</v>
      </c>
      <c r="AD540" s="12" t="str">
        <f t="shared" si="77"/>
        <v/>
      </c>
      <c r="AE540" s="12" t="str">
        <f t="shared" si="78"/>
        <v/>
      </c>
      <c r="AF540" s="12" t="str">
        <f t="shared" si="79"/>
        <v/>
      </c>
      <c r="AG540" s="12">
        <f t="shared" si="80"/>
        <v>0</v>
      </c>
    </row>
    <row r="541" spans="1:33" ht="15" customHeight="1" x14ac:dyDescent="0.25">
      <c r="A541" s="12" t="str">
        <f>IF(Raw_Data!B544="","",Raw_Data!B544)</f>
        <v/>
      </c>
      <c r="B541" s="12">
        <f>IF(Raw_Data!X544&lt;&gt;"",Raw_Data!X544,Raw_Data!C544)</f>
        <v>0</v>
      </c>
      <c r="C541" s="12" t="str">
        <f>IF(Raw_Data!G544="","",Raw_Data!G544)</f>
        <v/>
      </c>
      <c r="D541" s="12" t="str">
        <f>IF(Raw_Data!H544="","",Raw_Data!H544)</f>
        <v/>
      </c>
      <c r="E541" s="12" t="str">
        <f>IF(Raw_Data!I544="","",Raw_Data!I544)</f>
        <v/>
      </c>
      <c r="F541" s="12" t="str">
        <f>IF(Raw_Data!J544="","",Raw_Data!J544)</f>
        <v/>
      </c>
      <c r="G541" s="12" t="str">
        <f>IF(Raw_Data!AH544&lt;&gt;"",Raw_Data!AH544,IF(Raw_Data!K544&lt;&gt;"",Raw_Data!K544,""))</f>
        <v/>
      </c>
      <c r="H541" s="12" t="str">
        <f>IF(Raw_Data!AI544&lt;&gt;"",Raw_Data!AI544,IF(Raw_Data!L544&lt;&gt;"",Raw_Data!L544,""))</f>
        <v/>
      </c>
      <c r="I541" s="12" t="str">
        <f t="shared" si="72"/>
        <v/>
      </c>
      <c r="J541" s="12" t="str">
        <f>IF(Raw_Data!M544="","",Raw_Data!M544)</f>
        <v/>
      </c>
      <c r="K541" s="12">
        <f>IF(Raw_Data!AJ544&lt;&gt;"",Raw_Data!AJ544,Raw_Data!N544)</f>
        <v>0</v>
      </c>
      <c r="L541" s="12">
        <f t="shared" si="73"/>
        <v>1</v>
      </c>
      <c r="M541" s="12" t="str">
        <f>IF(Raw_Data!AK544="","",Raw_Data!AK544)</f>
        <v/>
      </c>
      <c r="N541" s="12" t="str">
        <f>IF(Raw_Data!T544="","",Raw_Data!T544)</f>
        <v/>
      </c>
      <c r="O541" s="12" t="str">
        <f>IF(Raw_Data!AB544&lt;&gt;"",Raw_Data!AB544,IF(N541="tres_insatisfait",1,IF(N541="insatisfait",2,IF(N541="neutre",3,IF(N541="satisfait",4,IF(N541="tres_satisfait",5,""))))))</f>
        <v/>
      </c>
      <c r="P541" s="12">
        <f>IF(Raw_Data!AL544&lt;&gt;"",Raw_Data!AL544,Raw_Data!R544)</f>
        <v>0</v>
      </c>
      <c r="Q541" s="12">
        <f t="shared" si="74"/>
        <v>0</v>
      </c>
      <c r="R541" s="12" t="str">
        <f>IF(Raw_Data!AM544="","",Raw_Data!AM544)</f>
        <v/>
      </c>
      <c r="S541" s="12" t="str">
        <f t="shared" si="75"/>
        <v/>
      </c>
      <c r="T541" s="12" t="str">
        <f>IF(Raw_Data!AN544="","",Raw_Data!AN544)</f>
        <v/>
      </c>
      <c r="U541" s="12" t="str">
        <f t="shared" si="76"/>
        <v/>
      </c>
      <c r="V541" s="12" t="str">
        <f>IF(Raw_Data!AP544="","",IF(Raw_Data!AP544="oui",1,0))</f>
        <v/>
      </c>
      <c r="W541" s="12" t="str">
        <f>IF(Raw_Data!AQ544="","",IF(Raw_Data!AQ544="oui",1,0))</f>
        <v/>
      </c>
      <c r="X541" s="12" t="str">
        <f>IF(Raw_Data!AR544="","",IF(Raw_Data!AR544="oui",1,0))</f>
        <v/>
      </c>
      <c r="Y541" s="12" t="str">
        <f>IF(Raw_Data!AS544="","",IF(Raw_Data!AS544="oui",1,0))</f>
        <v/>
      </c>
      <c r="Z541" s="12" t="str">
        <f>IF(Raw_Data!V544="","",IF(Raw_Data!V544="oui",1,0))</f>
        <v/>
      </c>
      <c r="AA541" s="12" t="str">
        <f>IF(Raw_Data!W544="","",IF(Raw_Data!W544="oui",1,0))</f>
        <v/>
      </c>
      <c r="AB541" s="12" t="str">
        <f>IF(Raw_Data!Q544="","",IF(Raw_Data!Q544="oui",1,0))</f>
        <v/>
      </c>
      <c r="AC541" s="12">
        <f>Raw_Data!AF544</f>
        <v>0</v>
      </c>
      <c r="AD541" s="12" t="str">
        <f t="shared" si="77"/>
        <v/>
      </c>
      <c r="AE541" s="12" t="str">
        <f t="shared" si="78"/>
        <v/>
      </c>
      <c r="AF541" s="12" t="str">
        <f t="shared" si="79"/>
        <v/>
      </c>
      <c r="AG541" s="12">
        <f t="shared" si="80"/>
        <v>0</v>
      </c>
    </row>
    <row r="542" spans="1:33" ht="15" customHeight="1" x14ac:dyDescent="0.25">
      <c r="A542" s="12" t="str">
        <f>IF(Raw_Data!B545="","",Raw_Data!B545)</f>
        <v/>
      </c>
      <c r="B542" s="12">
        <f>IF(Raw_Data!X545&lt;&gt;"",Raw_Data!X545,Raw_Data!C545)</f>
        <v>0</v>
      </c>
      <c r="C542" s="12" t="str">
        <f>IF(Raw_Data!G545="","",Raw_Data!G545)</f>
        <v/>
      </c>
      <c r="D542" s="12" t="str">
        <f>IF(Raw_Data!H545="","",Raw_Data!H545)</f>
        <v/>
      </c>
      <c r="E542" s="12" t="str">
        <f>IF(Raw_Data!I545="","",Raw_Data!I545)</f>
        <v/>
      </c>
      <c r="F542" s="12" t="str">
        <f>IF(Raw_Data!J545="","",Raw_Data!J545)</f>
        <v/>
      </c>
      <c r="G542" s="12" t="str">
        <f>IF(Raw_Data!AH545&lt;&gt;"",Raw_Data!AH545,IF(Raw_Data!K545&lt;&gt;"",Raw_Data!K545,""))</f>
        <v/>
      </c>
      <c r="H542" s="12" t="str">
        <f>IF(Raw_Data!AI545&lt;&gt;"",Raw_Data!AI545,IF(Raw_Data!L545&lt;&gt;"",Raw_Data!L545,""))</f>
        <v/>
      </c>
      <c r="I542" s="12" t="str">
        <f t="shared" si="72"/>
        <v/>
      </c>
      <c r="J542" s="12" t="str">
        <f>IF(Raw_Data!M545="","",Raw_Data!M545)</f>
        <v/>
      </c>
      <c r="K542" s="12">
        <f>IF(Raw_Data!AJ545&lt;&gt;"",Raw_Data!AJ545,Raw_Data!N545)</f>
        <v>0</v>
      </c>
      <c r="L542" s="12">
        <f t="shared" si="73"/>
        <v>1</v>
      </c>
      <c r="M542" s="12" t="str">
        <f>IF(Raw_Data!AK545="","",Raw_Data!AK545)</f>
        <v/>
      </c>
      <c r="N542" s="12" t="str">
        <f>IF(Raw_Data!T545="","",Raw_Data!T545)</f>
        <v/>
      </c>
      <c r="O542" s="12" t="str">
        <f>IF(Raw_Data!AB545&lt;&gt;"",Raw_Data!AB545,IF(N542="tres_insatisfait",1,IF(N542="insatisfait",2,IF(N542="neutre",3,IF(N542="satisfait",4,IF(N542="tres_satisfait",5,""))))))</f>
        <v/>
      </c>
      <c r="P542" s="12">
        <f>IF(Raw_Data!AL545&lt;&gt;"",Raw_Data!AL545,Raw_Data!R545)</f>
        <v>0</v>
      </c>
      <c r="Q542" s="12">
        <f t="shared" si="74"/>
        <v>0</v>
      </c>
      <c r="R542" s="12" t="str">
        <f>IF(Raw_Data!AM545="","",Raw_Data!AM545)</f>
        <v/>
      </c>
      <c r="S542" s="12" t="str">
        <f t="shared" si="75"/>
        <v/>
      </c>
      <c r="T542" s="12" t="str">
        <f>IF(Raw_Data!AN545="","",Raw_Data!AN545)</f>
        <v/>
      </c>
      <c r="U542" s="12" t="str">
        <f t="shared" si="76"/>
        <v/>
      </c>
      <c r="V542" s="12" t="str">
        <f>IF(Raw_Data!AP545="","",IF(Raw_Data!AP545="oui",1,0))</f>
        <v/>
      </c>
      <c r="W542" s="12" t="str">
        <f>IF(Raw_Data!AQ545="","",IF(Raw_Data!AQ545="oui",1,0))</f>
        <v/>
      </c>
      <c r="X542" s="12" t="str">
        <f>IF(Raw_Data!AR545="","",IF(Raw_Data!AR545="oui",1,0))</f>
        <v/>
      </c>
      <c r="Y542" s="12" t="str">
        <f>IF(Raw_Data!AS545="","",IF(Raw_Data!AS545="oui",1,0))</f>
        <v/>
      </c>
      <c r="Z542" s="12" t="str">
        <f>IF(Raw_Data!V545="","",IF(Raw_Data!V545="oui",1,0))</f>
        <v/>
      </c>
      <c r="AA542" s="12" t="str">
        <f>IF(Raw_Data!W545="","",IF(Raw_Data!W545="oui",1,0))</f>
        <v/>
      </c>
      <c r="AB542" s="12" t="str">
        <f>IF(Raw_Data!Q545="","",IF(Raw_Data!Q545="oui",1,0))</f>
        <v/>
      </c>
      <c r="AC542" s="12">
        <f>Raw_Data!AF545</f>
        <v>0</v>
      </c>
      <c r="AD542" s="12" t="str">
        <f t="shared" si="77"/>
        <v/>
      </c>
      <c r="AE542" s="12" t="str">
        <f t="shared" si="78"/>
        <v/>
      </c>
      <c r="AF542" s="12" t="str">
        <f t="shared" si="79"/>
        <v/>
      </c>
      <c r="AG542" s="12">
        <f t="shared" si="80"/>
        <v>0</v>
      </c>
    </row>
    <row r="543" spans="1:33" ht="15" customHeight="1" x14ac:dyDescent="0.25">
      <c r="A543" s="12" t="str">
        <f>IF(Raw_Data!B546="","",Raw_Data!B546)</f>
        <v/>
      </c>
      <c r="B543" s="12">
        <f>IF(Raw_Data!X546&lt;&gt;"",Raw_Data!X546,Raw_Data!C546)</f>
        <v>0</v>
      </c>
      <c r="C543" s="12" t="str">
        <f>IF(Raw_Data!G546="","",Raw_Data!G546)</f>
        <v/>
      </c>
      <c r="D543" s="12" t="str">
        <f>IF(Raw_Data!H546="","",Raw_Data!H546)</f>
        <v/>
      </c>
      <c r="E543" s="12" t="str">
        <f>IF(Raw_Data!I546="","",Raw_Data!I546)</f>
        <v/>
      </c>
      <c r="F543" s="12" t="str">
        <f>IF(Raw_Data!J546="","",Raw_Data!J546)</f>
        <v/>
      </c>
      <c r="G543" s="12" t="str">
        <f>IF(Raw_Data!AH546&lt;&gt;"",Raw_Data!AH546,IF(Raw_Data!K546&lt;&gt;"",Raw_Data!K546,""))</f>
        <v/>
      </c>
      <c r="H543" s="12" t="str">
        <f>IF(Raw_Data!AI546&lt;&gt;"",Raw_Data!AI546,IF(Raw_Data!L546&lt;&gt;"",Raw_Data!L546,""))</f>
        <v/>
      </c>
      <c r="I543" s="12" t="str">
        <f t="shared" si="72"/>
        <v/>
      </c>
      <c r="J543" s="12" t="str">
        <f>IF(Raw_Data!M546="","",Raw_Data!M546)</f>
        <v/>
      </c>
      <c r="K543" s="12">
        <f>IF(Raw_Data!AJ546&lt;&gt;"",Raw_Data!AJ546,Raw_Data!N546)</f>
        <v>0</v>
      </c>
      <c r="L543" s="12">
        <f t="shared" si="73"/>
        <v>1</v>
      </c>
      <c r="M543" s="12" t="str">
        <f>IF(Raw_Data!AK546="","",Raw_Data!AK546)</f>
        <v/>
      </c>
      <c r="N543" s="12" t="str">
        <f>IF(Raw_Data!T546="","",Raw_Data!T546)</f>
        <v/>
      </c>
      <c r="O543" s="12" t="str">
        <f>IF(Raw_Data!AB546&lt;&gt;"",Raw_Data!AB546,IF(N543="tres_insatisfait",1,IF(N543="insatisfait",2,IF(N543="neutre",3,IF(N543="satisfait",4,IF(N543="tres_satisfait",5,""))))))</f>
        <v/>
      </c>
      <c r="P543" s="12">
        <f>IF(Raw_Data!AL546&lt;&gt;"",Raw_Data!AL546,Raw_Data!R546)</f>
        <v>0</v>
      </c>
      <c r="Q543" s="12">
        <f t="shared" si="74"/>
        <v>0</v>
      </c>
      <c r="R543" s="12" t="str">
        <f>IF(Raw_Data!AM546="","",Raw_Data!AM546)</f>
        <v/>
      </c>
      <c r="S543" s="12" t="str">
        <f t="shared" si="75"/>
        <v/>
      </c>
      <c r="T543" s="12" t="str">
        <f>IF(Raw_Data!AN546="","",Raw_Data!AN546)</f>
        <v/>
      </c>
      <c r="U543" s="12" t="str">
        <f t="shared" si="76"/>
        <v/>
      </c>
      <c r="V543" s="12" t="str">
        <f>IF(Raw_Data!AP546="","",IF(Raw_Data!AP546="oui",1,0))</f>
        <v/>
      </c>
      <c r="W543" s="12" t="str">
        <f>IF(Raw_Data!AQ546="","",IF(Raw_Data!AQ546="oui",1,0))</f>
        <v/>
      </c>
      <c r="X543" s="12" t="str">
        <f>IF(Raw_Data!AR546="","",IF(Raw_Data!AR546="oui",1,0))</f>
        <v/>
      </c>
      <c r="Y543" s="12" t="str">
        <f>IF(Raw_Data!AS546="","",IF(Raw_Data!AS546="oui",1,0))</f>
        <v/>
      </c>
      <c r="Z543" s="12" t="str">
        <f>IF(Raw_Data!V546="","",IF(Raw_Data!V546="oui",1,0))</f>
        <v/>
      </c>
      <c r="AA543" s="12" t="str">
        <f>IF(Raw_Data!W546="","",IF(Raw_Data!W546="oui",1,0))</f>
        <v/>
      </c>
      <c r="AB543" s="12" t="str">
        <f>IF(Raw_Data!Q546="","",IF(Raw_Data!Q546="oui",1,0))</f>
        <v/>
      </c>
      <c r="AC543" s="12">
        <f>Raw_Data!AF546</f>
        <v>0</v>
      </c>
      <c r="AD543" s="12" t="str">
        <f t="shared" si="77"/>
        <v/>
      </c>
      <c r="AE543" s="12" t="str">
        <f t="shared" si="78"/>
        <v/>
      </c>
      <c r="AF543" s="12" t="str">
        <f t="shared" si="79"/>
        <v/>
      </c>
      <c r="AG543" s="12">
        <f t="shared" si="80"/>
        <v>0</v>
      </c>
    </row>
    <row r="544" spans="1:33" ht="15" customHeight="1" x14ac:dyDescent="0.25">
      <c r="A544" s="12" t="str">
        <f>IF(Raw_Data!B547="","",Raw_Data!B547)</f>
        <v/>
      </c>
      <c r="B544" s="12">
        <f>IF(Raw_Data!X547&lt;&gt;"",Raw_Data!X547,Raw_Data!C547)</f>
        <v>0</v>
      </c>
      <c r="C544" s="12" t="str">
        <f>IF(Raw_Data!G547="","",Raw_Data!G547)</f>
        <v/>
      </c>
      <c r="D544" s="12" t="str">
        <f>IF(Raw_Data!H547="","",Raw_Data!H547)</f>
        <v/>
      </c>
      <c r="E544" s="12" t="str">
        <f>IF(Raw_Data!I547="","",Raw_Data!I547)</f>
        <v/>
      </c>
      <c r="F544" s="12" t="str">
        <f>IF(Raw_Data!J547="","",Raw_Data!J547)</f>
        <v/>
      </c>
      <c r="G544" s="12" t="str">
        <f>IF(Raw_Data!AH547&lt;&gt;"",Raw_Data!AH547,IF(Raw_Data!K547&lt;&gt;"",Raw_Data!K547,""))</f>
        <v/>
      </c>
      <c r="H544" s="12" t="str">
        <f>IF(Raw_Data!AI547&lt;&gt;"",Raw_Data!AI547,IF(Raw_Data!L547&lt;&gt;"",Raw_Data!L547,""))</f>
        <v/>
      </c>
      <c r="I544" s="12" t="str">
        <f t="shared" si="72"/>
        <v/>
      </c>
      <c r="J544" s="12" t="str">
        <f>IF(Raw_Data!M547="","",Raw_Data!M547)</f>
        <v/>
      </c>
      <c r="K544" s="12">
        <f>IF(Raw_Data!AJ547&lt;&gt;"",Raw_Data!AJ547,Raw_Data!N547)</f>
        <v>0</v>
      </c>
      <c r="L544" s="12">
        <f t="shared" si="73"/>
        <v>1</v>
      </c>
      <c r="M544" s="12" t="str">
        <f>IF(Raw_Data!AK547="","",Raw_Data!AK547)</f>
        <v/>
      </c>
      <c r="N544" s="12" t="str">
        <f>IF(Raw_Data!T547="","",Raw_Data!T547)</f>
        <v/>
      </c>
      <c r="O544" s="12" t="str">
        <f>IF(Raw_Data!AB547&lt;&gt;"",Raw_Data!AB547,IF(N544="tres_insatisfait",1,IF(N544="insatisfait",2,IF(N544="neutre",3,IF(N544="satisfait",4,IF(N544="tres_satisfait",5,""))))))</f>
        <v/>
      </c>
      <c r="P544" s="12">
        <f>IF(Raw_Data!AL547&lt;&gt;"",Raw_Data!AL547,Raw_Data!R547)</f>
        <v>0</v>
      </c>
      <c r="Q544" s="12">
        <f t="shared" si="74"/>
        <v>0</v>
      </c>
      <c r="R544" s="12" t="str">
        <f>IF(Raw_Data!AM547="","",Raw_Data!AM547)</f>
        <v/>
      </c>
      <c r="S544" s="12" t="str">
        <f t="shared" si="75"/>
        <v/>
      </c>
      <c r="T544" s="12" t="str">
        <f>IF(Raw_Data!AN547="","",Raw_Data!AN547)</f>
        <v/>
      </c>
      <c r="U544" s="12" t="str">
        <f t="shared" si="76"/>
        <v/>
      </c>
      <c r="V544" s="12" t="str">
        <f>IF(Raw_Data!AP547="","",IF(Raw_Data!AP547="oui",1,0))</f>
        <v/>
      </c>
      <c r="W544" s="12" t="str">
        <f>IF(Raw_Data!AQ547="","",IF(Raw_Data!AQ547="oui",1,0))</f>
        <v/>
      </c>
      <c r="X544" s="12" t="str">
        <f>IF(Raw_Data!AR547="","",IF(Raw_Data!AR547="oui",1,0))</f>
        <v/>
      </c>
      <c r="Y544" s="12" t="str">
        <f>IF(Raw_Data!AS547="","",IF(Raw_Data!AS547="oui",1,0))</f>
        <v/>
      </c>
      <c r="Z544" s="12" t="str">
        <f>IF(Raw_Data!V547="","",IF(Raw_Data!V547="oui",1,0))</f>
        <v/>
      </c>
      <c r="AA544" s="12" t="str">
        <f>IF(Raw_Data!W547="","",IF(Raw_Data!W547="oui",1,0))</f>
        <v/>
      </c>
      <c r="AB544" s="12" t="str">
        <f>IF(Raw_Data!Q547="","",IF(Raw_Data!Q547="oui",1,0))</f>
        <v/>
      </c>
      <c r="AC544" s="12">
        <f>Raw_Data!AF547</f>
        <v>0</v>
      </c>
      <c r="AD544" s="12" t="str">
        <f t="shared" si="77"/>
        <v/>
      </c>
      <c r="AE544" s="12" t="str">
        <f t="shared" si="78"/>
        <v/>
      </c>
      <c r="AF544" s="12" t="str">
        <f t="shared" si="79"/>
        <v/>
      </c>
      <c r="AG544" s="12">
        <f t="shared" si="80"/>
        <v>0</v>
      </c>
    </row>
    <row r="545" spans="1:33" ht="15" customHeight="1" x14ac:dyDescent="0.25">
      <c r="A545" s="12" t="str">
        <f>IF(Raw_Data!B548="","",Raw_Data!B548)</f>
        <v/>
      </c>
      <c r="B545" s="12">
        <f>IF(Raw_Data!X548&lt;&gt;"",Raw_Data!X548,Raw_Data!C548)</f>
        <v>0</v>
      </c>
      <c r="C545" s="12" t="str">
        <f>IF(Raw_Data!G548="","",Raw_Data!G548)</f>
        <v/>
      </c>
      <c r="D545" s="12" t="str">
        <f>IF(Raw_Data!H548="","",Raw_Data!H548)</f>
        <v/>
      </c>
      <c r="E545" s="12" t="str">
        <f>IF(Raw_Data!I548="","",Raw_Data!I548)</f>
        <v/>
      </c>
      <c r="F545" s="12" t="str">
        <f>IF(Raw_Data!J548="","",Raw_Data!J548)</f>
        <v/>
      </c>
      <c r="G545" s="12" t="str">
        <f>IF(Raw_Data!AH548&lt;&gt;"",Raw_Data!AH548,IF(Raw_Data!K548&lt;&gt;"",Raw_Data!K548,""))</f>
        <v/>
      </c>
      <c r="H545" s="12" t="str">
        <f>IF(Raw_Data!AI548&lt;&gt;"",Raw_Data!AI548,IF(Raw_Data!L548&lt;&gt;"",Raw_Data!L548,""))</f>
        <v/>
      </c>
      <c r="I545" s="12" t="str">
        <f t="shared" si="72"/>
        <v/>
      </c>
      <c r="J545" s="12" t="str">
        <f>IF(Raw_Data!M548="","",Raw_Data!M548)</f>
        <v/>
      </c>
      <c r="K545" s="12">
        <f>IF(Raw_Data!AJ548&lt;&gt;"",Raw_Data!AJ548,Raw_Data!N548)</f>
        <v>0</v>
      </c>
      <c r="L545" s="12">
        <f t="shared" si="73"/>
        <v>1</v>
      </c>
      <c r="M545" s="12" t="str">
        <f>IF(Raw_Data!AK548="","",Raw_Data!AK548)</f>
        <v/>
      </c>
      <c r="N545" s="12" t="str">
        <f>IF(Raw_Data!T548="","",Raw_Data!T548)</f>
        <v/>
      </c>
      <c r="O545" s="12" t="str">
        <f>IF(Raw_Data!AB548&lt;&gt;"",Raw_Data!AB548,IF(N545="tres_insatisfait",1,IF(N545="insatisfait",2,IF(N545="neutre",3,IF(N545="satisfait",4,IF(N545="tres_satisfait",5,""))))))</f>
        <v/>
      </c>
      <c r="P545" s="12">
        <f>IF(Raw_Data!AL548&lt;&gt;"",Raw_Data!AL548,Raw_Data!R548)</f>
        <v>0</v>
      </c>
      <c r="Q545" s="12">
        <f t="shared" si="74"/>
        <v>0</v>
      </c>
      <c r="R545" s="12" t="str">
        <f>IF(Raw_Data!AM548="","",Raw_Data!AM548)</f>
        <v/>
      </c>
      <c r="S545" s="12" t="str">
        <f t="shared" si="75"/>
        <v/>
      </c>
      <c r="T545" s="12" t="str">
        <f>IF(Raw_Data!AN548="","",Raw_Data!AN548)</f>
        <v/>
      </c>
      <c r="U545" s="12" t="str">
        <f t="shared" si="76"/>
        <v/>
      </c>
      <c r="V545" s="12" t="str">
        <f>IF(Raw_Data!AP548="","",IF(Raw_Data!AP548="oui",1,0))</f>
        <v/>
      </c>
      <c r="W545" s="12" t="str">
        <f>IF(Raw_Data!AQ548="","",IF(Raw_Data!AQ548="oui",1,0))</f>
        <v/>
      </c>
      <c r="X545" s="12" t="str">
        <f>IF(Raw_Data!AR548="","",IF(Raw_Data!AR548="oui",1,0))</f>
        <v/>
      </c>
      <c r="Y545" s="12" t="str">
        <f>IF(Raw_Data!AS548="","",IF(Raw_Data!AS548="oui",1,0))</f>
        <v/>
      </c>
      <c r="Z545" s="12" t="str">
        <f>IF(Raw_Data!V548="","",IF(Raw_Data!V548="oui",1,0))</f>
        <v/>
      </c>
      <c r="AA545" s="12" t="str">
        <f>IF(Raw_Data!W548="","",IF(Raw_Data!W548="oui",1,0))</f>
        <v/>
      </c>
      <c r="AB545" s="12" t="str">
        <f>IF(Raw_Data!Q548="","",IF(Raw_Data!Q548="oui",1,0))</f>
        <v/>
      </c>
      <c r="AC545" s="12">
        <f>Raw_Data!AF548</f>
        <v>0</v>
      </c>
      <c r="AD545" s="12" t="str">
        <f t="shared" si="77"/>
        <v/>
      </c>
      <c r="AE545" s="12" t="str">
        <f t="shared" si="78"/>
        <v/>
      </c>
      <c r="AF545" s="12" t="str">
        <f t="shared" si="79"/>
        <v/>
      </c>
      <c r="AG545" s="12">
        <f t="shared" si="80"/>
        <v>0</v>
      </c>
    </row>
    <row r="546" spans="1:33" ht="15" customHeight="1" x14ac:dyDescent="0.25">
      <c r="A546" s="12" t="str">
        <f>IF(Raw_Data!B549="","",Raw_Data!B549)</f>
        <v/>
      </c>
      <c r="B546" s="12">
        <f>IF(Raw_Data!X549&lt;&gt;"",Raw_Data!X549,Raw_Data!C549)</f>
        <v>0</v>
      </c>
      <c r="C546" s="12" t="str">
        <f>IF(Raw_Data!G549="","",Raw_Data!G549)</f>
        <v/>
      </c>
      <c r="D546" s="12" t="str">
        <f>IF(Raw_Data!H549="","",Raw_Data!H549)</f>
        <v/>
      </c>
      <c r="E546" s="12" t="str">
        <f>IF(Raw_Data!I549="","",Raw_Data!I549)</f>
        <v/>
      </c>
      <c r="F546" s="12" t="str">
        <f>IF(Raw_Data!J549="","",Raw_Data!J549)</f>
        <v/>
      </c>
      <c r="G546" s="12" t="str">
        <f>IF(Raw_Data!AH549&lt;&gt;"",Raw_Data!AH549,IF(Raw_Data!K549&lt;&gt;"",Raw_Data!K549,""))</f>
        <v/>
      </c>
      <c r="H546" s="12" t="str">
        <f>IF(Raw_Data!AI549&lt;&gt;"",Raw_Data!AI549,IF(Raw_Data!L549&lt;&gt;"",Raw_Data!L549,""))</f>
        <v/>
      </c>
      <c r="I546" s="12" t="str">
        <f t="shared" si="72"/>
        <v/>
      </c>
      <c r="J546" s="12" t="str">
        <f>IF(Raw_Data!M549="","",Raw_Data!M549)</f>
        <v/>
      </c>
      <c r="K546" s="12">
        <f>IF(Raw_Data!AJ549&lt;&gt;"",Raw_Data!AJ549,Raw_Data!N549)</f>
        <v>0</v>
      </c>
      <c r="L546" s="12">
        <f t="shared" si="73"/>
        <v>1</v>
      </c>
      <c r="M546" s="12" t="str">
        <f>IF(Raw_Data!AK549="","",Raw_Data!AK549)</f>
        <v/>
      </c>
      <c r="N546" s="12" t="str">
        <f>IF(Raw_Data!T549="","",Raw_Data!T549)</f>
        <v/>
      </c>
      <c r="O546" s="12" t="str">
        <f>IF(Raw_Data!AB549&lt;&gt;"",Raw_Data!AB549,IF(N546="tres_insatisfait",1,IF(N546="insatisfait",2,IF(N546="neutre",3,IF(N546="satisfait",4,IF(N546="tres_satisfait",5,""))))))</f>
        <v/>
      </c>
      <c r="P546" s="12">
        <f>IF(Raw_Data!AL549&lt;&gt;"",Raw_Data!AL549,Raw_Data!R549)</f>
        <v>0</v>
      </c>
      <c r="Q546" s="12">
        <f t="shared" si="74"/>
        <v>0</v>
      </c>
      <c r="R546" s="12" t="str">
        <f>IF(Raw_Data!AM549="","",Raw_Data!AM549)</f>
        <v/>
      </c>
      <c r="S546" s="12" t="str">
        <f t="shared" si="75"/>
        <v/>
      </c>
      <c r="T546" s="12" t="str">
        <f>IF(Raw_Data!AN549="","",Raw_Data!AN549)</f>
        <v/>
      </c>
      <c r="U546" s="12" t="str">
        <f t="shared" si="76"/>
        <v/>
      </c>
      <c r="V546" s="12" t="str">
        <f>IF(Raw_Data!AP549="","",IF(Raw_Data!AP549="oui",1,0))</f>
        <v/>
      </c>
      <c r="W546" s="12" t="str">
        <f>IF(Raw_Data!AQ549="","",IF(Raw_Data!AQ549="oui",1,0))</f>
        <v/>
      </c>
      <c r="X546" s="12" t="str">
        <f>IF(Raw_Data!AR549="","",IF(Raw_Data!AR549="oui",1,0))</f>
        <v/>
      </c>
      <c r="Y546" s="12" t="str">
        <f>IF(Raw_Data!AS549="","",IF(Raw_Data!AS549="oui",1,0))</f>
        <v/>
      </c>
      <c r="Z546" s="12" t="str">
        <f>IF(Raw_Data!V549="","",IF(Raw_Data!V549="oui",1,0))</f>
        <v/>
      </c>
      <c r="AA546" s="12" t="str">
        <f>IF(Raw_Data!W549="","",IF(Raw_Data!W549="oui",1,0))</f>
        <v/>
      </c>
      <c r="AB546" s="12" t="str">
        <f>IF(Raw_Data!Q549="","",IF(Raw_Data!Q549="oui",1,0))</f>
        <v/>
      </c>
      <c r="AC546" s="12">
        <f>Raw_Data!AF549</f>
        <v>0</v>
      </c>
      <c r="AD546" s="12" t="str">
        <f t="shared" si="77"/>
        <v/>
      </c>
      <c r="AE546" s="12" t="str">
        <f t="shared" si="78"/>
        <v/>
      </c>
      <c r="AF546" s="12" t="str">
        <f t="shared" si="79"/>
        <v/>
      </c>
      <c r="AG546" s="12">
        <f t="shared" si="80"/>
        <v>0</v>
      </c>
    </row>
    <row r="547" spans="1:33" ht="15" customHeight="1" x14ac:dyDescent="0.25">
      <c r="A547" s="12" t="str">
        <f>IF(Raw_Data!B550="","",Raw_Data!B550)</f>
        <v/>
      </c>
      <c r="B547" s="12">
        <f>IF(Raw_Data!X550&lt;&gt;"",Raw_Data!X550,Raw_Data!C550)</f>
        <v>0</v>
      </c>
      <c r="C547" s="12" t="str">
        <f>IF(Raw_Data!G550="","",Raw_Data!G550)</f>
        <v/>
      </c>
      <c r="D547" s="12" t="str">
        <f>IF(Raw_Data!H550="","",Raw_Data!H550)</f>
        <v/>
      </c>
      <c r="E547" s="12" t="str">
        <f>IF(Raw_Data!I550="","",Raw_Data!I550)</f>
        <v/>
      </c>
      <c r="F547" s="12" t="str">
        <f>IF(Raw_Data!J550="","",Raw_Data!J550)</f>
        <v/>
      </c>
      <c r="G547" s="12" t="str">
        <f>IF(Raw_Data!AH550&lt;&gt;"",Raw_Data!AH550,IF(Raw_Data!K550&lt;&gt;"",Raw_Data!K550,""))</f>
        <v/>
      </c>
      <c r="H547" s="12" t="str">
        <f>IF(Raw_Data!AI550&lt;&gt;"",Raw_Data!AI550,IF(Raw_Data!L550&lt;&gt;"",Raw_Data!L550,""))</f>
        <v/>
      </c>
      <c r="I547" s="12" t="str">
        <f t="shared" si="72"/>
        <v/>
      </c>
      <c r="J547" s="12" t="str">
        <f>IF(Raw_Data!M550="","",Raw_Data!M550)</f>
        <v/>
      </c>
      <c r="K547" s="12">
        <f>IF(Raw_Data!AJ550&lt;&gt;"",Raw_Data!AJ550,Raw_Data!N550)</f>
        <v>0</v>
      </c>
      <c r="L547" s="12">
        <f t="shared" si="73"/>
        <v>1</v>
      </c>
      <c r="M547" s="12" t="str">
        <f>IF(Raw_Data!AK550="","",Raw_Data!AK550)</f>
        <v/>
      </c>
      <c r="N547" s="12" t="str">
        <f>IF(Raw_Data!T550="","",Raw_Data!T550)</f>
        <v/>
      </c>
      <c r="O547" s="12" t="str">
        <f>IF(Raw_Data!AB550&lt;&gt;"",Raw_Data!AB550,IF(N547="tres_insatisfait",1,IF(N547="insatisfait",2,IF(N547="neutre",3,IF(N547="satisfait",4,IF(N547="tres_satisfait",5,""))))))</f>
        <v/>
      </c>
      <c r="P547" s="12">
        <f>IF(Raw_Data!AL550&lt;&gt;"",Raw_Data!AL550,Raw_Data!R550)</f>
        <v>0</v>
      </c>
      <c r="Q547" s="12">
        <f t="shared" si="74"/>
        <v>0</v>
      </c>
      <c r="R547" s="12" t="str">
        <f>IF(Raw_Data!AM550="","",Raw_Data!AM550)</f>
        <v/>
      </c>
      <c r="S547" s="12" t="str">
        <f t="shared" si="75"/>
        <v/>
      </c>
      <c r="T547" s="12" t="str">
        <f>IF(Raw_Data!AN550="","",Raw_Data!AN550)</f>
        <v/>
      </c>
      <c r="U547" s="12" t="str">
        <f t="shared" si="76"/>
        <v/>
      </c>
      <c r="V547" s="12" t="str">
        <f>IF(Raw_Data!AP550="","",IF(Raw_Data!AP550="oui",1,0))</f>
        <v/>
      </c>
      <c r="W547" s="12" t="str">
        <f>IF(Raw_Data!AQ550="","",IF(Raw_Data!AQ550="oui",1,0))</f>
        <v/>
      </c>
      <c r="X547" s="12" t="str">
        <f>IF(Raw_Data!AR550="","",IF(Raw_Data!AR550="oui",1,0))</f>
        <v/>
      </c>
      <c r="Y547" s="12" t="str">
        <f>IF(Raw_Data!AS550="","",IF(Raw_Data!AS550="oui",1,0))</f>
        <v/>
      </c>
      <c r="Z547" s="12" t="str">
        <f>IF(Raw_Data!V550="","",IF(Raw_Data!V550="oui",1,0))</f>
        <v/>
      </c>
      <c r="AA547" s="12" t="str">
        <f>IF(Raw_Data!W550="","",IF(Raw_Data!W550="oui",1,0))</f>
        <v/>
      </c>
      <c r="AB547" s="12" t="str">
        <f>IF(Raw_Data!Q550="","",IF(Raw_Data!Q550="oui",1,0))</f>
        <v/>
      </c>
      <c r="AC547" s="12">
        <f>Raw_Data!AF550</f>
        <v>0</v>
      </c>
      <c r="AD547" s="12" t="str">
        <f t="shared" si="77"/>
        <v/>
      </c>
      <c r="AE547" s="12" t="str">
        <f t="shared" si="78"/>
        <v/>
      </c>
      <c r="AF547" s="12" t="str">
        <f t="shared" si="79"/>
        <v/>
      </c>
      <c r="AG547" s="12">
        <f t="shared" si="80"/>
        <v>0</v>
      </c>
    </row>
    <row r="548" spans="1:33" ht="15" customHeight="1" x14ac:dyDescent="0.25">
      <c r="A548" s="12" t="str">
        <f>IF(Raw_Data!B551="","",Raw_Data!B551)</f>
        <v/>
      </c>
      <c r="B548" s="12">
        <f>IF(Raw_Data!X551&lt;&gt;"",Raw_Data!X551,Raw_Data!C551)</f>
        <v>0</v>
      </c>
      <c r="C548" s="12" t="str">
        <f>IF(Raw_Data!G551="","",Raw_Data!G551)</f>
        <v/>
      </c>
      <c r="D548" s="12" t="str">
        <f>IF(Raw_Data!H551="","",Raw_Data!H551)</f>
        <v/>
      </c>
      <c r="E548" s="12" t="str">
        <f>IF(Raw_Data!I551="","",Raw_Data!I551)</f>
        <v/>
      </c>
      <c r="F548" s="12" t="str">
        <f>IF(Raw_Data!J551="","",Raw_Data!J551)</f>
        <v/>
      </c>
      <c r="G548" s="12" t="str">
        <f>IF(Raw_Data!AH551&lt;&gt;"",Raw_Data!AH551,IF(Raw_Data!K551&lt;&gt;"",Raw_Data!K551,""))</f>
        <v/>
      </c>
      <c r="H548" s="12" t="str">
        <f>IF(Raw_Data!AI551&lt;&gt;"",Raw_Data!AI551,IF(Raw_Data!L551&lt;&gt;"",Raw_Data!L551,""))</f>
        <v/>
      </c>
      <c r="I548" s="12" t="str">
        <f t="shared" si="72"/>
        <v/>
      </c>
      <c r="J548" s="12" t="str">
        <f>IF(Raw_Data!M551="","",Raw_Data!M551)</f>
        <v/>
      </c>
      <c r="K548" s="12">
        <f>IF(Raw_Data!AJ551&lt;&gt;"",Raw_Data!AJ551,Raw_Data!N551)</f>
        <v>0</v>
      </c>
      <c r="L548" s="12">
        <f t="shared" si="73"/>
        <v>1</v>
      </c>
      <c r="M548" s="12" t="str">
        <f>IF(Raw_Data!AK551="","",Raw_Data!AK551)</f>
        <v/>
      </c>
      <c r="N548" s="12" t="str">
        <f>IF(Raw_Data!T551="","",Raw_Data!T551)</f>
        <v/>
      </c>
      <c r="O548" s="12" t="str">
        <f>IF(Raw_Data!AB551&lt;&gt;"",Raw_Data!AB551,IF(N548="tres_insatisfait",1,IF(N548="insatisfait",2,IF(N548="neutre",3,IF(N548="satisfait",4,IF(N548="tres_satisfait",5,""))))))</f>
        <v/>
      </c>
      <c r="P548" s="12">
        <f>IF(Raw_Data!AL551&lt;&gt;"",Raw_Data!AL551,Raw_Data!R551)</f>
        <v>0</v>
      </c>
      <c r="Q548" s="12">
        <f t="shared" si="74"/>
        <v>0</v>
      </c>
      <c r="R548" s="12" t="str">
        <f>IF(Raw_Data!AM551="","",Raw_Data!AM551)</f>
        <v/>
      </c>
      <c r="S548" s="12" t="str">
        <f t="shared" si="75"/>
        <v/>
      </c>
      <c r="T548" s="12" t="str">
        <f>IF(Raw_Data!AN551="","",Raw_Data!AN551)</f>
        <v/>
      </c>
      <c r="U548" s="12" t="str">
        <f t="shared" si="76"/>
        <v/>
      </c>
      <c r="V548" s="12" t="str">
        <f>IF(Raw_Data!AP551="","",IF(Raw_Data!AP551="oui",1,0))</f>
        <v/>
      </c>
      <c r="W548" s="12" t="str">
        <f>IF(Raw_Data!AQ551="","",IF(Raw_Data!AQ551="oui",1,0))</f>
        <v/>
      </c>
      <c r="X548" s="12" t="str">
        <f>IF(Raw_Data!AR551="","",IF(Raw_Data!AR551="oui",1,0))</f>
        <v/>
      </c>
      <c r="Y548" s="12" t="str">
        <f>IF(Raw_Data!AS551="","",IF(Raw_Data!AS551="oui",1,0))</f>
        <v/>
      </c>
      <c r="Z548" s="12" t="str">
        <f>IF(Raw_Data!V551="","",IF(Raw_Data!V551="oui",1,0))</f>
        <v/>
      </c>
      <c r="AA548" s="12" t="str">
        <f>IF(Raw_Data!W551="","",IF(Raw_Data!W551="oui",1,0))</f>
        <v/>
      </c>
      <c r="AB548" s="12" t="str">
        <f>IF(Raw_Data!Q551="","",IF(Raw_Data!Q551="oui",1,0))</f>
        <v/>
      </c>
      <c r="AC548" s="12">
        <f>Raw_Data!AF551</f>
        <v>0</v>
      </c>
      <c r="AD548" s="12" t="str">
        <f t="shared" si="77"/>
        <v/>
      </c>
      <c r="AE548" s="12" t="str">
        <f t="shared" si="78"/>
        <v/>
      </c>
      <c r="AF548" s="12" t="str">
        <f t="shared" si="79"/>
        <v/>
      </c>
      <c r="AG548" s="12">
        <f t="shared" si="80"/>
        <v>0</v>
      </c>
    </row>
    <row r="549" spans="1:33" ht="15" customHeight="1" x14ac:dyDescent="0.25">
      <c r="A549" s="12" t="str">
        <f>IF(Raw_Data!B552="","",Raw_Data!B552)</f>
        <v/>
      </c>
      <c r="B549" s="12">
        <f>IF(Raw_Data!X552&lt;&gt;"",Raw_Data!X552,Raw_Data!C552)</f>
        <v>0</v>
      </c>
      <c r="C549" s="12" t="str">
        <f>IF(Raw_Data!G552="","",Raw_Data!G552)</f>
        <v/>
      </c>
      <c r="D549" s="12" t="str">
        <f>IF(Raw_Data!H552="","",Raw_Data!H552)</f>
        <v/>
      </c>
      <c r="E549" s="12" t="str">
        <f>IF(Raw_Data!I552="","",Raw_Data!I552)</f>
        <v/>
      </c>
      <c r="F549" s="12" t="str">
        <f>IF(Raw_Data!J552="","",Raw_Data!J552)</f>
        <v/>
      </c>
      <c r="G549" s="12" t="str">
        <f>IF(Raw_Data!AH552&lt;&gt;"",Raw_Data!AH552,IF(Raw_Data!K552&lt;&gt;"",Raw_Data!K552,""))</f>
        <v/>
      </c>
      <c r="H549" s="12" t="str">
        <f>IF(Raw_Data!AI552&lt;&gt;"",Raw_Data!AI552,IF(Raw_Data!L552&lt;&gt;"",Raw_Data!L552,""))</f>
        <v/>
      </c>
      <c r="I549" s="12" t="str">
        <f t="shared" si="72"/>
        <v/>
      </c>
      <c r="J549" s="12" t="str">
        <f>IF(Raw_Data!M552="","",Raw_Data!M552)</f>
        <v/>
      </c>
      <c r="K549" s="12">
        <f>IF(Raw_Data!AJ552&lt;&gt;"",Raw_Data!AJ552,Raw_Data!N552)</f>
        <v>0</v>
      </c>
      <c r="L549" s="12">
        <f t="shared" si="73"/>
        <v>1</v>
      </c>
      <c r="M549" s="12" t="str">
        <f>IF(Raw_Data!AK552="","",Raw_Data!AK552)</f>
        <v/>
      </c>
      <c r="N549" s="12" t="str">
        <f>IF(Raw_Data!T552="","",Raw_Data!T552)</f>
        <v/>
      </c>
      <c r="O549" s="12" t="str">
        <f>IF(Raw_Data!AB552&lt;&gt;"",Raw_Data!AB552,IF(N549="tres_insatisfait",1,IF(N549="insatisfait",2,IF(N549="neutre",3,IF(N549="satisfait",4,IF(N549="tres_satisfait",5,""))))))</f>
        <v/>
      </c>
      <c r="P549" s="12">
        <f>IF(Raw_Data!AL552&lt;&gt;"",Raw_Data!AL552,Raw_Data!R552)</f>
        <v>0</v>
      </c>
      <c r="Q549" s="12">
        <f t="shared" si="74"/>
        <v>0</v>
      </c>
      <c r="R549" s="12" t="str">
        <f>IF(Raw_Data!AM552="","",Raw_Data!AM552)</f>
        <v/>
      </c>
      <c r="S549" s="12" t="str">
        <f t="shared" si="75"/>
        <v/>
      </c>
      <c r="T549" s="12" t="str">
        <f>IF(Raw_Data!AN552="","",Raw_Data!AN552)</f>
        <v/>
      </c>
      <c r="U549" s="12" t="str">
        <f t="shared" si="76"/>
        <v/>
      </c>
      <c r="V549" s="12" t="str">
        <f>IF(Raw_Data!AP552="","",IF(Raw_Data!AP552="oui",1,0))</f>
        <v/>
      </c>
      <c r="W549" s="12" t="str">
        <f>IF(Raw_Data!AQ552="","",IF(Raw_Data!AQ552="oui",1,0))</f>
        <v/>
      </c>
      <c r="X549" s="12" t="str">
        <f>IF(Raw_Data!AR552="","",IF(Raw_Data!AR552="oui",1,0))</f>
        <v/>
      </c>
      <c r="Y549" s="12" t="str">
        <f>IF(Raw_Data!AS552="","",IF(Raw_Data!AS552="oui",1,0))</f>
        <v/>
      </c>
      <c r="Z549" s="12" t="str">
        <f>IF(Raw_Data!V552="","",IF(Raw_Data!V552="oui",1,0))</f>
        <v/>
      </c>
      <c r="AA549" s="12" t="str">
        <f>IF(Raw_Data!W552="","",IF(Raw_Data!W552="oui",1,0))</f>
        <v/>
      </c>
      <c r="AB549" s="12" t="str">
        <f>IF(Raw_Data!Q552="","",IF(Raw_Data!Q552="oui",1,0))</f>
        <v/>
      </c>
      <c r="AC549" s="12">
        <f>Raw_Data!AF552</f>
        <v>0</v>
      </c>
      <c r="AD549" s="12" t="str">
        <f t="shared" si="77"/>
        <v/>
      </c>
      <c r="AE549" s="12" t="str">
        <f t="shared" si="78"/>
        <v/>
      </c>
      <c r="AF549" s="12" t="str">
        <f t="shared" si="79"/>
        <v/>
      </c>
      <c r="AG549" s="12">
        <f t="shared" si="80"/>
        <v>0</v>
      </c>
    </row>
    <row r="550" spans="1:33" ht="15" customHeight="1" x14ac:dyDescent="0.25">
      <c r="A550" s="12" t="str">
        <f>IF(Raw_Data!B553="","",Raw_Data!B553)</f>
        <v/>
      </c>
      <c r="B550" s="12">
        <f>IF(Raw_Data!X553&lt;&gt;"",Raw_Data!X553,Raw_Data!C553)</f>
        <v>0</v>
      </c>
      <c r="C550" s="12" t="str">
        <f>IF(Raw_Data!G553="","",Raw_Data!G553)</f>
        <v/>
      </c>
      <c r="D550" s="12" t="str">
        <f>IF(Raw_Data!H553="","",Raw_Data!H553)</f>
        <v/>
      </c>
      <c r="E550" s="12" t="str">
        <f>IF(Raw_Data!I553="","",Raw_Data!I553)</f>
        <v/>
      </c>
      <c r="F550" s="12" t="str">
        <f>IF(Raw_Data!J553="","",Raw_Data!J553)</f>
        <v/>
      </c>
      <c r="G550" s="12" t="str">
        <f>IF(Raw_Data!AH553&lt;&gt;"",Raw_Data!AH553,IF(Raw_Data!K553&lt;&gt;"",Raw_Data!K553,""))</f>
        <v/>
      </c>
      <c r="H550" s="12" t="str">
        <f>IF(Raw_Data!AI553&lt;&gt;"",Raw_Data!AI553,IF(Raw_Data!L553&lt;&gt;"",Raw_Data!L553,""))</f>
        <v/>
      </c>
      <c r="I550" s="12" t="str">
        <f t="shared" si="72"/>
        <v/>
      </c>
      <c r="J550" s="12" t="str">
        <f>IF(Raw_Data!M553="","",Raw_Data!M553)</f>
        <v/>
      </c>
      <c r="K550" s="12">
        <f>IF(Raw_Data!AJ553&lt;&gt;"",Raw_Data!AJ553,Raw_Data!N553)</f>
        <v>0</v>
      </c>
      <c r="L550" s="12">
        <f t="shared" si="73"/>
        <v>1</v>
      </c>
      <c r="M550" s="12" t="str">
        <f>IF(Raw_Data!AK553="","",Raw_Data!AK553)</f>
        <v/>
      </c>
      <c r="N550" s="12" t="str">
        <f>IF(Raw_Data!T553="","",Raw_Data!T553)</f>
        <v/>
      </c>
      <c r="O550" s="12" t="str">
        <f>IF(Raw_Data!AB553&lt;&gt;"",Raw_Data!AB553,IF(N550="tres_insatisfait",1,IF(N550="insatisfait",2,IF(N550="neutre",3,IF(N550="satisfait",4,IF(N550="tres_satisfait",5,""))))))</f>
        <v/>
      </c>
      <c r="P550" s="12">
        <f>IF(Raw_Data!AL553&lt;&gt;"",Raw_Data!AL553,Raw_Data!R553)</f>
        <v>0</v>
      </c>
      <c r="Q550" s="12">
        <f t="shared" si="74"/>
        <v>0</v>
      </c>
      <c r="R550" s="12" t="str">
        <f>IF(Raw_Data!AM553="","",Raw_Data!AM553)</f>
        <v/>
      </c>
      <c r="S550" s="12" t="str">
        <f t="shared" si="75"/>
        <v/>
      </c>
      <c r="T550" s="12" t="str">
        <f>IF(Raw_Data!AN553="","",Raw_Data!AN553)</f>
        <v/>
      </c>
      <c r="U550" s="12" t="str">
        <f t="shared" si="76"/>
        <v/>
      </c>
      <c r="V550" s="12" t="str">
        <f>IF(Raw_Data!AP553="","",IF(Raw_Data!AP553="oui",1,0))</f>
        <v/>
      </c>
      <c r="W550" s="12" t="str">
        <f>IF(Raw_Data!AQ553="","",IF(Raw_Data!AQ553="oui",1,0))</f>
        <v/>
      </c>
      <c r="X550" s="12" t="str">
        <f>IF(Raw_Data!AR553="","",IF(Raw_Data!AR553="oui",1,0))</f>
        <v/>
      </c>
      <c r="Y550" s="12" t="str">
        <f>IF(Raw_Data!AS553="","",IF(Raw_Data!AS553="oui",1,0))</f>
        <v/>
      </c>
      <c r="Z550" s="12" t="str">
        <f>IF(Raw_Data!V553="","",IF(Raw_Data!V553="oui",1,0))</f>
        <v/>
      </c>
      <c r="AA550" s="12" t="str">
        <f>IF(Raw_Data!W553="","",IF(Raw_Data!W553="oui",1,0))</f>
        <v/>
      </c>
      <c r="AB550" s="12" t="str">
        <f>IF(Raw_Data!Q553="","",IF(Raw_Data!Q553="oui",1,0))</f>
        <v/>
      </c>
      <c r="AC550" s="12">
        <f>Raw_Data!AF553</f>
        <v>0</v>
      </c>
      <c r="AD550" s="12" t="str">
        <f t="shared" si="77"/>
        <v/>
      </c>
      <c r="AE550" s="12" t="str">
        <f t="shared" si="78"/>
        <v/>
      </c>
      <c r="AF550" s="12" t="str">
        <f t="shared" si="79"/>
        <v/>
      </c>
      <c r="AG550" s="12">
        <f t="shared" si="80"/>
        <v>0</v>
      </c>
    </row>
    <row r="551" spans="1:33" ht="15" customHeight="1" x14ac:dyDescent="0.25">
      <c r="A551" s="12" t="str">
        <f>IF(Raw_Data!B554="","",Raw_Data!B554)</f>
        <v/>
      </c>
      <c r="B551" s="12">
        <f>IF(Raw_Data!X554&lt;&gt;"",Raw_Data!X554,Raw_Data!C554)</f>
        <v>0</v>
      </c>
      <c r="C551" s="12" t="str">
        <f>IF(Raw_Data!G554="","",Raw_Data!G554)</f>
        <v/>
      </c>
      <c r="D551" s="12" t="str">
        <f>IF(Raw_Data!H554="","",Raw_Data!H554)</f>
        <v/>
      </c>
      <c r="E551" s="12" t="str">
        <f>IF(Raw_Data!I554="","",Raw_Data!I554)</f>
        <v/>
      </c>
      <c r="F551" s="12" t="str">
        <f>IF(Raw_Data!J554="","",Raw_Data!J554)</f>
        <v/>
      </c>
      <c r="G551" s="12" t="str">
        <f>IF(Raw_Data!AH554&lt;&gt;"",Raw_Data!AH554,IF(Raw_Data!K554&lt;&gt;"",Raw_Data!K554,""))</f>
        <v/>
      </c>
      <c r="H551" s="12" t="str">
        <f>IF(Raw_Data!AI554&lt;&gt;"",Raw_Data!AI554,IF(Raw_Data!L554&lt;&gt;"",Raw_Data!L554,""))</f>
        <v/>
      </c>
      <c r="I551" s="12" t="str">
        <f t="shared" si="72"/>
        <v/>
      </c>
      <c r="J551" s="12" t="str">
        <f>IF(Raw_Data!M554="","",Raw_Data!M554)</f>
        <v/>
      </c>
      <c r="K551" s="12">
        <f>IF(Raw_Data!AJ554&lt;&gt;"",Raw_Data!AJ554,Raw_Data!N554)</f>
        <v>0</v>
      </c>
      <c r="L551" s="12">
        <f t="shared" si="73"/>
        <v>1</v>
      </c>
      <c r="M551" s="12" t="str">
        <f>IF(Raw_Data!AK554="","",Raw_Data!AK554)</f>
        <v/>
      </c>
      <c r="N551" s="12" t="str">
        <f>IF(Raw_Data!T554="","",Raw_Data!T554)</f>
        <v/>
      </c>
      <c r="O551" s="12" t="str">
        <f>IF(Raw_Data!AB554&lt;&gt;"",Raw_Data!AB554,IF(N551="tres_insatisfait",1,IF(N551="insatisfait",2,IF(N551="neutre",3,IF(N551="satisfait",4,IF(N551="tres_satisfait",5,""))))))</f>
        <v/>
      </c>
      <c r="P551" s="12">
        <f>IF(Raw_Data!AL554&lt;&gt;"",Raw_Data!AL554,Raw_Data!R554)</f>
        <v>0</v>
      </c>
      <c r="Q551" s="12">
        <f t="shared" si="74"/>
        <v>0</v>
      </c>
      <c r="R551" s="12" t="str">
        <f>IF(Raw_Data!AM554="","",Raw_Data!AM554)</f>
        <v/>
      </c>
      <c r="S551" s="12" t="str">
        <f t="shared" si="75"/>
        <v/>
      </c>
      <c r="T551" s="12" t="str">
        <f>IF(Raw_Data!AN554="","",Raw_Data!AN554)</f>
        <v/>
      </c>
      <c r="U551" s="12" t="str">
        <f t="shared" si="76"/>
        <v/>
      </c>
      <c r="V551" s="12" t="str">
        <f>IF(Raw_Data!AP554="","",IF(Raw_Data!AP554="oui",1,0))</f>
        <v/>
      </c>
      <c r="W551" s="12" t="str">
        <f>IF(Raw_Data!AQ554="","",IF(Raw_Data!AQ554="oui",1,0))</f>
        <v/>
      </c>
      <c r="X551" s="12" t="str">
        <f>IF(Raw_Data!AR554="","",IF(Raw_Data!AR554="oui",1,0))</f>
        <v/>
      </c>
      <c r="Y551" s="12" t="str">
        <f>IF(Raw_Data!AS554="","",IF(Raw_Data!AS554="oui",1,0))</f>
        <v/>
      </c>
      <c r="Z551" s="12" t="str">
        <f>IF(Raw_Data!V554="","",IF(Raw_Data!V554="oui",1,0))</f>
        <v/>
      </c>
      <c r="AA551" s="12" t="str">
        <f>IF(Raw_Data!W554="","",IF(Raw_Data!W554="oui",1,0))</f>
        <v/>
      </c>
      <c r="AB551" s="12" t="str">
        <f>IF(Raw_Data!Q554="","",IF(Raw_Data!Q554="oui",1,0))</f>
        <v/>
      </c>
      <c r="AC551" s="12">
        <f>Raw_Data!AF554</f>
        <v>0</v>
      </c>
      <c r="AD551" s="12" t="str">
        <f t="shared" si="77"/>
        <v/>
      </c>
      <c r="AE551" s="12" t="str">
        <f t="shared" si="78"/>
        <v/>
      </c>
      <c r="AF551" s="12" t="str">
        <f t="shared" si="79"/>
        <v/>
      </c>
      <c r="AG551" s="12">
        <f t="shared" si="80"/>
        <v>0</v>
      </c>
    </row>
    <row r="552" spans="1:33" ht="15" customHeight="1" x14ac:dyDescent="0.25">
      <c r="A552" s="12" t="str">
        <f>IF(Raw_Data!B555="","",Raw_Data!B555)</f>
        <v/>
      </c>
      <c r="B552" s="12">
        <f>IF(Raw_Data!X555&lt;&gt;"",Raw_Data!X555,Raw_Data!C555)</f>
        <v>0</v>
      </c>
      <c r="C552" s="12" t="str">
        <f>IF(Raw_Data!G555="","",Raw_Data!G555)</f>
        <v/>
      </c>
      <c r="D552" s="12" t="str">
        <f>IF(Raw_Data!H555="","",Raw_Data!H555)</f>
        <v/>
      </c>
      <c r="E552" s="12" t="str">
        <f>IF(Raw_Data!I555="","",Raw_Data!I555)</f>
        <v/>
      </c>
      <c r="F552" s="12" t="str">
        <f>IF(Raw_Data!J555="","",Raw_Data!J555)</f>
        <v/>
      </c>
      <c r="G552" s="12" t="str">
        <f>IF(Raw_Data!AH555&lt;&gt;"",Raw_Data!AH555,IF(Raw_Data!K555&lt;&gt;"",Raw_Data!K555,""))</f>
        <v/>
      </c>
      <c r="H552" s="12" t="str">
        <f>IF(Raw_Data!AI555&lt;&gt;"",Raw_Data!AI555,IF(Raw_Data!L555&lt;&gt;"",Raw_Data!L555,""))</f>
        <v/>
      </c>
      <c r="I552" s="12" t="str">
        <f t="shared" si="72"/>
        <v/>
      </c>
      <c r="J552" s="12" t="str">
        <f>IF(Raw_Data!M555="","",Raw_Data!M555)</f>
        <v/>
      </c>
      <c r="K552" s="12">
        <f>IF(Raw_Data!AJ555&lt;&gt;"",Raw_Data!AJ555,Raw_Data!N555)</f>
        <v>0</v>
      </c>
      <c r="L552" s="12">
        <f t="shared" si="73"/>
        <v>1</v>
      </c>
      <c r="M552" s="12" t="str">
        <f>IF(Raw_Data!AK555="","",Raw_Data!AK555)</f>
        <v/>
      </c>
      <c r="N552" s="12" t="str">
        <f>IF(Raw_Data!T555="","",Raw_Data!T555)</f>
        <v/>
      </c>
      <c r="O552" s="12" t="str">
        <f>IF(Raw_Data!AB555&lt;&gt;"",Raw_Data!AB555,IF(N552="tres_insatisfait",1,IF(N552="insatisfait",2,IF(N552="neutre",3,IF(N552="satisfait",4,IF(N552="tres_satisfait",5,""))))))</f>
        <v/>
      </c>
      <c r="P552" s="12">
        <f>IF(Raw_Data!AL555&lt;&gt;"",Raw_Data!AL555,Raw_Data!R555)</f>
        <v>0</v>
      </c>
      <c r="Q552" s="12">
        <f t="shared" si="74"/>
        <v>0</v>
      </c>
      <c r="R552" s="12" t="str">
        <f>IF(Raw_Data!AM555="","",Raw_Data!AM555)</f>
        <v/>
      </c>
      <c r="S552" s="12" t="str">
        <f t="shared" si="75"/>
        <v/>
      </c>
      <c r="T552" s="12" t="str">
        <f>IF(Raw_Data!AN555="","",Raw_Data!AN555)</f>
        <v/>
      </c>
      <c r="U552" s="12" t="str">
        <f t="shared" si="76"/>
        <v/>
      </c>
      <c r="V552" s="12" t="str">
        <f>IF(Raw_Data!AP555="","",IF(Raw_Data!AP555="oui",1,0))</f>
        <v/>
      </c>
      <c r="W552" s="12" t="str">
        <f>IF(Raw_Data!AQ555="","",IF(Raw_Data!AQ555="oui",1,0))</f>
        <v/>
      </c>
      <c r="X552" s="12" t="str">
        <f>IF(Raw_Data!AR555="","",IF(Raw_Data!AR555="oui",1,0))</f>
        <v/>
      </c>
      <c r="Y552" s="12" t="str">
        <f>IF(Raw_Data!AS555="","",IF(Raw_Data!AS555="oui",1,0))</f>
        <v/>
      </c>
      <c r="Z552" s="12" t="str">
        <f>IF(Raw_Data!V555="","",IF(Raw_Data!V555="oui",1,0))</f>
        <v/>
      </c>
      <c r="AA552" s="12" t="str">
        <f>IF(Raw_Data!W555="","",IF(Raw_Data!W555="oui",1,0))</f>
        <v/>
      </c>
      <c r="AB552" s="12" t="str">
        <f>IF(Raw_Data!Q555="","",IF(Raw_Data!Q555="oui",1,0))</f>
        <v/>
      </c>
      <c r="AC552" s="12">
        <f>Raw_Data!AF555</f>
        <v>0</v>
      </c>
      <c r="AD552" s="12" t="str">
        <f t="shared" si="77"/>
        <v/>
      </c>
      <c r="AE552" s="12" t="str">
        <f t="shared" si="78"/>
        <v/>
      </c>
      <c r="AF552" s="12" t="str">
        <f t="shared" si="79"/>
        <v/>
      </c>
      <c r="AG552" s="12">
        <f t="shared" si="80"/>
        <v>0</v>
      </c>
    </row>
    <row r="553" spans="1:33" ht="15" customHeight="1" x14ac:dyDescent="0.25">
      <c r="A553" s="12" t="str">
        <f>IF(Raw_Data!B556="","",Raw_Data!B556)</f>
        <v/>
      </c>
      <c r="B553" s="12">
        <f>IF(Raw_Data!X556&lt;&gt;"",Raw_Data!X556,Raw_Data!C556)</f>
        <v>0</v>
      </c>
      <c r="C553" s="12" t="str">
        <f>IF(Raw_Data!G556="","",Raw_Data!G556)</f>
        <v/>
      </c>
      <c r="D553" s="12" t="str">
        <f>IF(Raw_Data!H556="","",Raw_Data!H556)</f>
        <v/>
      </c>
      <c r="E553" s="12" t="str">
        <f>IF(Raw_Data!I556="","",Raw_Data!I556)</f>
        <v/>
      </c>
      <c r="F553" s="12" t="str">
        <f>IF(Raw_Data!J556="","",Raw_Data!J556)</f>
        <v/>
      </c>
      <c r="G553" s="12" t="str">
        <f>IF(Raw_Data!AH556&lt;&gt;"",Raw_Data!AH556,IF(Raw_Data!K556&lt;&gt;"",Raw_Data!K556,""))</f>
        <v/>
      </c>
      <c r="H553" s="12" t="str">
        <f>IF(Raw_Data!AI556&lt;&gt;"",Raw_Data!AI556,IF(Raw_Data!L556&lt;&gt;"",Raw_Data!L556,""))</f>
        <v/>
      </c>
      <c r="I553" s="12" t="str">
        <f t="shared" si="72"/>
        <v/>
      </c>
      <c r="J553" s="12" t="str">
        <f>IF(Raw_Data!M556="","",Raw_Data!M556)</f>
        <v/>
      </c>
      <c r="K553" s="12">
        <f>IF(Raw_Data!AJ556&lt;&gt;"",Raw_Data!AJ556,Raw_Data!N556)</f>
        <v>0</v>
      </c>
      <c r="L553" s="12">
        <f t="shared" si="73"/>
        <v>1</v>
      </c>
      <c r="M553" s="12" t="str">
        <f>IF(Raw_Data!AK556="","",Raw_Data!AK556)</f>
        <v/>
      </c>
      <c r="N553" s="12" t="str">
        <f>IF(Raw_Data!T556="","",Raw_Data!T556)</f>
        <v/>
      </c>
      <c r="O553" s="12" t="str">
        <f>IF(Raw_Data!AB556&lt;&gt;"",Raw_Data!AB556,IF(N553="tres_insatisfait",1,IF(N553="insatisfait",2,IF(N553="neutre",3,IF(N553="satisfait",4,IF(N553="tres_satisfait",5,""))))))</f>
        <v/>
      </c>
      <c r="P553" s="12">
        <f>IF(Raw_Data!AL556&lt;&gt;"",Raw_Data!AL556,Raw_Data!R556)</f>
        <v>0</v>
      </c>
      <c r="Q553" s="12">
        <f t="shared" si="74"/>
        <v>0</v>
      </c>
      <c r="R553" s="12" t="str">
        <f>IF(Raw_Data!AM556="","",Raw_Data!AM556)</f>
        <v/>
      </c>
      <c r="S553" s="12" t="str">
        <f t="shared" si="75"/>
        <v/>
      </c>
      <c r="T553" s="12" t="str">
        <f>IF(Raw_Data!AN556="","",Raw_Data!AN556)</f>
        <v/>
      </c>
      <c r="U553" s="12" t="str">
        <f t="shared" si="76"/>
        <v/>
      </c>
      <c r="V553" s="12" t="str">
        <f>IF(Raw_Data!AP556="","",IF(Raw_Data!AP556="oui",1,0))</f>
        <v/>
      </c>
      <c r="W553" s="12" t="str">
        <f>IF(Raw_Data!AQ556="","",IF(Raw_Data!AQ556="oui",1,0))</f>
        <v/>
      </c>
      <c r="X553" s="12" t="str">
        <f>IF(Raw_Data!AR556="","",IF(Raw_Data!AR556="oui",1,0))</f>
        <v/>
      </c>
      <c r="Y553" s="12" t="str">
        <f>IF(Raw_Data!AS556="","",IF(Raw_Data!AS556="oui",1,0))</f>
        <v/>
      </c>
      <c r="Z553" s="12" t="str">
        <f>IF(Raw_Data!V556="","",IF(Raw_Data!V556="oui",1,0))</f>
        <v/>
      </c>
      <c r="AA553" s="12" t="str">
        <f>IF(Raw_Data!W556="","",IF(Raw_Data!W556="oui",1,0))</f>
        <v/>
      </c>
      <c r="AB553" s="12" t="str">
        <f>IF(Raw_Data!Q556="","",IF(Raw_Data!Q556="oui",1,0))</f>
        <v/>
      </c>
      <c r="AC553" s="12">
        <f>Raw_Data!AF556</f>
        <v>0</v>
      </c>
      <c r="AD553" s="12" t="str">
        <f t="shared" si="77"/>
        <v/>
      </c>
      <c r="AE553" s="12" t="str">
        <f t="shared" si="78"/>
        <v/>
      </c>
      <c r="AF553" s="12" t="str">
        <f t="shared" si="79"/>
        <v/>
      </c>
      <c r="AG553" s="12">
        <f t="shared" si="80"/>
        <v>0</v>
      </c>
    </row>
    <row r="554" spans="1:33" ht="15" customHeight="1" x14ac:dyDescent="0.25">
      <c r="A554" s="12" t="str">
        <f>IF(Raw_Data!B557="","",Raw_Data!B557)</f>
        <v/>
      </c>
      <c r="B554" s="12">
        <f>IF(Raw_Data!X557&lt;&gt;"",Raw_Data!X557,Raw_Data!C557)</f>
        <v>0</v>
      </c>
      <c r="C554" s="12" t="str">
        <f>IF(Raw_Data!G557="","",Raw_Data!G557)</f>
        <v/>
      </c>
      <c r="D554" s="12" t="str">
        <f>IF(Raw_Data!H557="","",Raw_Data!H557)</f>
        <v/>
      </c>
      <c r="E554" s="12" t="str">
        <f>IF(Raw_Data!I557="","",Raw_Data!I557)</f>
        <v/>
      </c>
      <c r="F554" s="12" t="str">
        <f>IF(Raw_Data!J557="","",Raw_Data!J557)</f>
        <v/>
      </c>
      <c r="G554" s="12" t="str">
        <f>IF(Raw_Data!AH557&lt;&gt;"",Raw_Data!AH557,IF(Raw_Data!K557&lt;&gt;"",Raw_Data!K557,""))</f>
        <v/>
      </c>
      <c r="H554" s="12" t="str">
        <f>IF(Raw_Data!AI557&lt;&gt;"",Raw_Data!AI557,IF(Raw_Data!L557&lt;&gt;"",Raw_Data!L557,""))</f>
        <v/>
      </c>
      <c r="I554" s="12" t="str">
        <f t="shared" si="72"/>
        <v/>
      </c>
      <c r="J554" s="12" t="str">
        <f>IF(Raw_Data!M557="","",Raw_Data!M557)</f>
        <v/>
      </c>
      <c r="K554" s="12">
        <f>IF(Raw_Data!AJ557&lt;&gt;"",Raw_Data!AJ557,Raw_Data!N557)</f>
        <v>0</v>
      </c>
      <c r="L554" s="12">
        <f t="shared" si="73"/>
        <v>1</v>
      </c>
      <c r="M554" s="12" t="str">
        <f>IF(Raw_Data!AK557="","",Raw_Data!AK557)</f>
        <v/>
      </c>
      <c r="N554" s="12" t="str">
        <f>IF(Raw_Data!T557="","",Raw_Data!T557)</f>
        <v/>
      </c>
      <c r="O554" s="12" t="str">
        <f>IF(Raw_Data!AB557&lt;&gt;"",Raw_Data!AB557,IF(N554="tres_insatisfait",1,IF(N554="insatisfait",2,IF(N554="neutre",3,IF(N554="satisfait",4,IF(N554="tres_satisfait",5,""))))))</f>
        <v/>
      </c>
      <c r="P554" s="12">
        <f>IF(Raw_Data!AL557&lt;&gt;"",Raw_Data!AL557,Raw_Data!R557)</f>
        <v>0</v>
      </c>
      <c r="Q554" s="12">
        <f t="shared" si="74"/>
        <v>0</v>
      </c>
      <c r="R554" s="12" t="str">
        <f>IF(Raw_Data!AM557="","",Raw_Data!AM557)</f>
        <v/>
      </c>
      <c r="S554" s="12" t="str">
        <f t="shared" si="75"/>
        <v/>
      </c>
      <c r="T554" s="12" t="str">
        <f>IF(Raw_Data!AN557="","",Raw_Data!AN557)</f>
        <v/>
      </c>
      <c r="U554" s="12" t="str">
        <f t="shared" si="76"/>
        <v/>
      </c>
      <c r="V554" s="12" t="str">
        <f>IF(Raw_Data!AP557="","",IF(Raw_Data!AP557="oui",1,0))</f>
        <v/>
      </c>
      <c r="W554" s="12" t="str">
        <f>IF(Raw_Data!AQ557="","",IF(Raw_Data!AQ557="oui",1,0))</f>
        <v/>
      </c>
      <c r="X554" s="12" t="str">
        <f>IF(Raw_Data!AR557="","",IF(Raw_Data!AR557="oui",1,0))</f>
        <v/>
      </c>
      <c r="Y554" s="12" t="str">
        <f>IF(Raw_Data!AS557="","",IF(Raw_Data!AS557="oui",1,0))</f>
        <v/>
      </c>
      <c r="Z554" s="12" t="str">
        <f>IF(Raw_Data!V557="","",IF(Raw_Data!V557="oui",1,0))</f>
        <v/>
      </c>
      <c r="AA554" s="12" t="str">
        <f>IF(Raw_Data!W557="","",IF(Raw_Data!W557="oui",1,0))</f>
        <v/>
      </c>
      <c r="AB554" s="12" t="str">
        <f>IF(Raw_Data!Q557="","",IF(Raw_Data!Q557="oui",1,0))</f>
        <v/>
      </c>
      <c r="AC554" s="12">
        <f>Raw_Data!AF557</f>
        <v>0</v>
      </c>
      <c r="AD554" s="12" t="str">
        <f t="shared" si="77"/>
        <v/>
      </c>
      <c r="AE554" s="12" t="str">
        <f t="shared" si="78"/>
        <v/>
      </c>
      <c r="AF554" s="12" t="str">
        <f t="shared" si="79"/>
        <v/>
      </c>
      <c r="AG554" s="12">
        <f t="shared" si="80"/>
        <v>0</v>
      </c>
    </row>
    <row r="555" spans="1:33" ht="15" customHeight="1" x14ac:dyDescent="0.25">
      <c r="A555" s="12" t="str">
        <f>IF(Raw_Data!B558="","",Raw_Data!B558)</f>
        <v/>
      </c>
      <c r="B555" s="12">
        <f>IF(Raw_Data!X558&lt;&gt;"",Raw_Data!X558,Raw_Data!C558)</f>
        <v>0</v>
      </c>
      <c r="C555" s="12" t="str">
        <f>IF(Raw_Data!G558="","",Raw_Data!G558)</f>
        <v/>
      </c>
      <c r="D555" s="12" t="str">
        <f>IF(Raw_Data!H558="","",Raw_Data!H558)</f>
        <v/>
      </c>
      <c r="E555" s="12" t="str">
        <f>IF(Raw_Data!I558="","",Raw_Data!I558)</f>
        <v/>
      </c>
      <c r="F555" s="12" t="str">
        <f>IF(Raw_Data!J558="","",Raw_Data!J558)</f>
        <v/>
      </c>
      <c r="G555" s="12" t="str">
        <f>IF(Raw_Data!AH558&lt;&gt;"",Raw_Data!AH558,IF(Raw_Data!K558&lt;&gt;"",Raw_Data!K558,""))</f>
        <v/>
      </c>
      <c r="H555" s="12" t="str">
        <f>IF(Raw_Data!AI558&lt;&gt;"",Raw_Data!AI558,IF(Raw_Data!L558&lt;&gt;"",Raw_Data!L558,""))</f>
        <v/>
      </c>
      <c r="I555" s="12" t="str">
        <f t="shared" si="72"/>
        <v/>
      </c>
      <c r="J555" s="12" t="str">
        <f>IF(Raw_Data!M558="","",Raw_Data!M558)</f>
        <v/>
      </c>
      <c r="K555" s="12">
        <f>IF(Raw_Data!AJ558&lt;&gt;"",Raw_Data!AJ558,Raw_Data!N558)</f>
        <v>0</v>
      </c>
      <c r="L555" s="12">
        <f t="shared" si="73"/>
        <v>1</v>
      </c>
      <c r="M555" s="12" t="str">
        <f>IF(Raw_Data!AK558="","",Raw_Data!AK558)</f>
        <v/>
      </c>
      <c r="N555" s="12" t="str">
        <f>IF(Raw_Data!T558="","",Raw_Data!T558)</f>
        <v/>
      </c>
      <c r="O555" s="12" t="str">
        <f>IF(Raw_Data!AB558&lt;&gt;"",Raw_Data!AB558,IF(N555="tres_insatisfait",1,IF(N555="insatisfait",2,IF(N555="neutre",3,IF(N555="satisfait",4,IF(N555="tres_satisfait",5,""))))))</f>
        <v/>
      </c>
      <c r="P555" s="12">
        <f>IF(Raw_Data!AL558&lt;&gt;"",Raw_Data!AL558,Raw_Data!R558)</f>
        <v>0</v>
      </c>
      <c r="Q555" s="12">
        <f t="shared" si="74"/>
        <v>0</v>
      </c>
      <c r="R555" s="12" t="str">
        <f>IF(Raw_Data!AM558="","",Raw_Data!AM558)</f>
        <v/>
      </c>
      <c r="S555" s="12" t="str">
        <f t="shared" si="75"/>
        <v/>
      </c>
      <c r="T555" s="12" t="str">
        <f>IF(Raw_Data!AN558="","",Raw_Data!AN558)</f>
        <v/>
      </c>
      <c r="U555" s="12" t="str">
        <f t="shared" si="76"/>
        <v/>
      </c>
      <c r="V555" s="12" t="str">
        <f>IF(Raw_Data!AP558="","",IF(Raw_Data!AP558="oui",1,0))</f>
        <v/>
      </c>
      <c r="W555" s="12" t="str">
        <f>IF(Raw_Data!AQ558="","",IF(Raw_Data!AQ558="oui",1,0))</f>
        <v/>
      </c>
      <c r="X555" s="12" t="str">
        <f>IF(Raw_Data!AR558="","",IF(Raw_Data!AR558="oui",1,0))</f>
        <v/>
      </c>
      <c r="Y555" s="12" t="str">
        <f>IF(Raw_Data!AS558="","",IF(Raw_Data!AS558="oui",1,0))</f>
        <v/>
      </c>
      <c r="Z555" s="12" t="str">
        <f>IF(Raw_Data!V558="","",IF(Raw_Data!V558="oui",1,0))</f>
        <v/>
      </c>
      <c r="AA555" s="12" t="str">
        <f>IF(Raw_Data!W558="","",IF(Raw_Data!W558="oui",1,0))</f>
        <v/>
      </c>
      <c r="AB555" s="12" t="str">
        <f>IF(Raw_Data!Q558="","",IF(Raw_Data!Q558="oui",1,0))</f>
        <v/>
      </c>
      <c r="AC555" s="12">
        <f>Raw_Data!AF558</f>
        <v>0</v>
      </c>
      <c r="AD555" s="12" t="str">
        <f t="shared" si="77"/>
        <v/>
      </c>
      <c r="AE555" s="12" t="str">
        <f t="shared" si="78"/>
        <v/>
      </c>
      <c r="AF555" s="12" t="str">
        <f t="shared" si="79"/>
        <v/>
      </c>
      <c r="AG555" s="12">
        <f t="shared" si="80"/>
        <v>0</v>
      </c>
    </row>
    <row r="556" spans="1:33" ht="15" customHeight="1" x14ac:dyDescent="0.25">
      <c r="A556" s="12" t="str">
        <f>IF(Raw_Data!B559="","",Raw_Data!B559)</f>
        <v/>
      </c>
      <c r="B556" s="12">
        <f>IF(Raw_Data!X559&lt;&gt;"",Raw_Data!X559,Raw_Data!C559)</f>
        <v>0</v>
      </c>
      <c r="C556" s="12" t="str">
        <f>IF(Raw_Data!G559="","",Raw_Data!G559)</f>
        <v/>
      </c>
      <c r="D556" s="12" t="str">
        <f>IF(Raw_Data!H559="","",Raw_Data!H559)</f>
        <v/>
      </c>
      <c r="E556" s="12" t="str">
        <f>IF(Raw_Data!I559="","",Raw_Data!I559)</f>
        <v/>
      </c>
      <c r="F556" s="12" t="str">
        <f>IF(Raw_Data!J559="","",Raw_Data!J559)</f>
        <v/>
      </c>
      <c r="G556" s="12" t="str">
        <f>IF(Raw_Data!AH559&lt;&gt;"",Raw_Data!AH559,IF(Raw_Data!K559&lt;&gt;"",Raw_Data!K559,""))</f>
        <v/>
      </c>
      <c r="H556" s="12" t="str">
        <f>IF(Raw_Data!AI559&lt;&gt;"",Raw_Data!AI559,IF(Raw_Data!L559&lt;&gt;"",Raw_Data!L559,""))</f>
        <v/>
      </c>
      <c r="I556" s="12" t="str">
        <f t="shared" si="72"/>
        <v/>
      </c>
      <c r="J556" s="12" t="str">
        <f>IF(Raw_Data!M559="","",Raw_Data!M559)</f>
        <v/>
      </c>
      <c r="K556" s="12">
        <f>IF(Raw_Data!AJ559&lt;&gt;"",Raw_Data!AJ559,Raw_Data!N559)</f>
        <v>0</v>
      </c>
      <c r="L556" s="12">
        <f t="shared" si="73"/>
        <v>1</v>
      </c>
      <c r="M556" s="12" t="str">
        <f>IF(Raw_Data!AK559="","",Raw_Data!AK559)</f>
        <v/>
      </c>
      <c r="N556" s="12" t="str">
        <f>IF(Raw_Data!T559="","",Raw_Data!T559)</f>
        <v/>
      </c>
      <c r="O556" s="12" t="str">
        <f>IF(Raw_Data!AB559&lt;&gt;"",Raw_Data!AB559,IF(N556="tres_insatisfait",1,IF(N556="insatisfait",2,IF(N556="neutre",3,IF(N556="satisfait",4,IF(N556="tres_satisfait",5,""))))))</f>
        <v/>
      </c>
      <c r="P556" s="12">
        <f>IF(Raw_Data!AL559&lt;&gt;"",Raw_Data!AL559,Raw_Data!R559)</f>
        <v>0</v>
      </c>
      <c r="Q556" s="12">
        <f t="shared" si="74"/>
        <v>0</v>
      </c>
      <c r="R556" s="12" t="str">
        <f>IF(Raw_Data!AM559="","",Raw_Data!AM559)</f>
        <v/>
      </c>
      <c r="S556" s="12" t="str">
        <f t="shared" si="75"/>
        <v/>
      </c>
      <c r="T556" s="12" t="str">
        <f>IF(Raw_Data!AN559="","",Raw_Data!AN559)</f>
        <v/>
      </c>
      <c r="U556" s="12" t="str">
        <f t="shared" si="76"/>
        <v/>
      </c>
      <c r="V556" s="12" t="str">
        <f>IF(Raw_Data!AP559="","",IF(Raw_Data!AP559="oui",1,0))</f>
        <v/>
      </c>
      <c r="W556" s="12" t="str">
        <f>IF(Raw_Data!AQ559="","",IF(Raw_Data!AQ559="oui",1,0))</f>
        <v/>
      </c>
      <c r="X556" s="12" t="str">
        <f>IF(Raw_Data!AR559="","",IF(Raw_Data!AR559="oui",1,0))</f>
        <v/>
      </c>
      <c r="Y556" s="12" t="str">
        <f>IF(Raw_Data!AS559="","",IF(Raw_Data!AS559="oui",1,0))</f>
        <v/>
      </c>
      <c r="Z556" s="12" t="str">
        <f>IF(Raw_Data!V559="","",IF(Raw_Data!V559="oui",1,0))</f>
        <v/>
      </c>
      <c r="AA556" s="12" t="str">
        <f>IF(Raw_Data!W559="","",IF(Raw_Data!W559="oui",1,0))</f>
        <v/>
      </c>
      <c r="AB556" s="12" t="str">
        <f>IF(Raw_Data!Q559="","",IF(Raw_Data!Q559="oui",1,0))</f>
        <v/>
      </c>
      <c r="AC556" s="12">
        <f>Raw_Data!AF559</f>
        <v>0</v>
      </c>
      <c r="AD556" s="12" t="str">
        <f t="shared" si="77"/>
        <v/>
      </c>
      <c r="AE556" s="12" t="str">
        <f t="shared" si="78"/>
        <v/>
      </c>
      <c r="AF556" s="12" t="str">
        <f t="shared" si="79"/>
        <v/>
      </c>
      <c r="AG556" s="12">
        <f t="shared" si="80"/>
        <v>0</v>
      </c>
    </row>
    <row r="557" spans="1:33" ht="15" customHeight="1" x14ac:dyDescent="0.25">
      <c r="A557" s="12" t="str">
        <f>IF(Raw_Data!B560="","",Raw_Data!B560)</f>
        <v/>
      </c>
      <c r="B557" s="12">
        <f>IF(Raw_Data!X560&lt;&gt;"",Raw_Data!X560,Raw_Data!C560)</f>
        <v>0</v>
      </c>
      <c r="C557" s="12" t="str">
        <f>IF(Raw_Data!G560="","",Raw_Data!G560)</f>
        <v/>
      </c>
      <c r="D557" s="12" t="str">
        <f>IF(Raw_Data!H560="","",Raw_Data!H560)</f>
        <v/>
      </c>
      <c r="E557" s="12" t="str">
        <f>IF(Raw_Data!I560="","",Raw_Data!I560)</f>
        <v/>
      </c>
      <c r="F557" s="12" t="str">
        <f>IF(Raw_Data!J560="","",Raw_Data!J560)</f>
        <v/>
      </c>
      <c r="G557" s="12" t="str">
        <f>IF(Raw_Data!AH560&lt;&gt;"",Raw_Data!AH560,IF(Raw_Data!K560&lt;&gt;"",Raw_Data!K560,""))</f>
        <v/>
      </c>
      <c r="H557" s="12" t="str">
        <f>IF(Raw_Data!AI560&lt;&gt;"",Raw_Data!AI560,IF(Raw_Data!L560&lt;&gt;"",Raw_Data!L560,""))</f>
        <v/>
      </c>
      <c r="I557" s="12" t="str">
        <f t="shared" si="72"/>
        <v/>
      </c>
      <c r="J557" s="12" t="str">
        <f>IF(Raw_Data!M560="","",Raw_Data!M560)</f>
        <v/>
      </c>
      <c r="K557" s="12">
        <f>IF(Raw_Data!AJ560&lt;&gt;"",Raw_Data!AJ560,Raw_Data!N560)</f>
        <v>0</v>
      </c>
      <c r="L557" s="12">
        <f t="shared" si="73"/>
        <v>1</v>
      </c>
      <c r="M557" s="12" t="str">
        <f>IF(Raw_Data!AK560="","",Raw_Data!AK560)</f>
        <v/>
      </c>
      <c r="N557" s="12" t="str">
        <f>IF(Raw_Data!T560="","",Raw_Data!T560)</f>
        <v/>
      </c>
      <c r="O557" s="12" t="str">
        <f>IF(Raw_Data!AB560&lt;&gt;"",Raw_Data!AB560,IF(N557="tres_insatisfait",1,IF(N557="insatisfait",2,IF(N557="neutre",3,IF(N557="satisfait",4,IF(N557="tres_satisfait",5,""))))))</f>
        <v/>
      </c>
      <c r="P557" s="12">
        <f>IF(Raw_Data!AL560&lt;&gt;"",Raw_Data!AL560,Raw_Data!R560)</f>
        <v>0</v>
      </c>
      <c r="Q557" s="12">
        <f t="shared" si="74"/>
        <v>0</v>
      </c>
      <c r="R557" s="12" t="str">
        <f>IF(Raw_Data!AM560="","",Raw_Data!AM560)</f>
        <v/>
      </c>
      <c r="S557" s="12" t="str">
        <f t="shared" si="75"/>
        <v/>
      </c>
      <c r="T557" s="12" t="str">
        <f>IF(Raw_Data!AN560="","",Raw_Data!AN560)</f>
        <v/>
      </c>
      <c r="U557" s="12" t="str">
        <f t="shared" si="76"/>
        <v/>
      </c>
      <c r="V557" s="12" t="str">
        <f>IF(Raw_Data!AP560="","",IF(Raw_Data!AP560="oui",1,0))</f>
        <v/>
      </c>
      <c r="W557" s="12" t="str">
        <f>IF(Raw_Data!AQ560="","",IF(Raw_Data!AQ560="oui",1,0))</f>
        <v/>
      </c>
      <c r="X557" s="12" t="str">
        <f>IF(Raw_Data!AR560="","",IF(Raw_Data!AR560="oui",1,0))</f>
        <v/>
      </c>
      <c r="Y557" s="12" t="str">
        <f>IF(Raw_Data!AS560="","",IF(Raw_Data!AS560="oui",1,0))</f>
        <v/>
      </c>
      <c r="Z557" s="12" t="str">
        <f>IF(Raw_Data!V560="","",IF(Raw_Data!V560="oui",1,0))</f>
        <v/>
      </c>
      <c r="AA557" s="12" t="str">
        <f>IF(Raw_Data!W560="","",IF(Raw_Data!W560="oui",1,0))</f>
        <v/>
      </c>
      <c r="AB557" s="12" t="str">
        <f>IF(Raw_Data!Q560="","",IF(Raw_Data!Q560="oui",1,0))</f>
        <v/>
      </c>
      <c r="AC557" s="12">
        <f>Raw_Data!AF560</f>
        <v>0</v>
      </c>
      <c r="AD557" s="12" t="str">
        <f t="shared" si="77"/>
        <v/>
      </c>
      <c r="AE557" s="12" t="str">
        <f t="shared" si="78"/>
        <v/>
      </c>
      <c r="AF557" s="12" t="str">
        <f t="shared" si="79"/>
        <v/>
      </c>
      <c r="AG557" s="12">
        <f t="shared" si="80"/>
        <v>0</v>
      </c>
    </row>
    <row r="558" spans="1:33" ht="15" customHeight="1" x14ac:dyDescent="0.25">
      <c r="A558" s="12" t="str">
        <f>IF(Raw_Data!B561="","",Raw_Data!B561)</f>
        <v/>
      </c>
      <c r="B558" s="12">
        <f>IF(Raw_Data!X561&lt;&gt;"",Raw_Data!X561,Raw_Data!C561)</f>
        <v>0</v>
      </c>
      <c r="C558" s="12" t="str">
        <f>IF(Raw_Data!G561="","",Raw_Data!G561)</f>
        <v/>
      </c>
      <c r="D558" s="12" t="str">
        <f>IF(Raw_Data!H561="","",Raw_Data!H561)</f>
        <v/>
      </c>
      <c r="E558" s="12" t="str">
        <f>IF(Raw_Data!I561="","",Raw_Data!I561)</f>
        <v/>
      </c>
      <c r="F558" s="12" t="str">
        <f>IF(Raw_Data!J561="","",Raw_Data!J561)</f>
        <v/>
      </c>
      <c r="G558" s="12" t="str">
        <f>IF(Raw_Data!AH561&lt;&gt;"",Raw_Data!AH561,IF(Raw_Data!K561&lt;&gt;"",Raw_Data!K561,""))</f>
        <v/>
      </c>
      <c r="H558" s="12" t="str">
        <f>IF(Raw_Data!AI561&lt;&gt;"",Raw_Data!AI561,IF(Raw_Data!L561&lt;&gt;"",Raw_Data!L561,""))</f>
        <v/>
      </c>
      <c r="I558" s="12" t="str">
        <f t="shared" si="72"/>
        <v/>
      </c>
      <c r="J558" s="12" t="str">
        <f>IF(Raw_Data!M561="","",Raw_Data!M561)</f>
        <v/>
      </c>
      <c r="K558" s="12">
        <f>IF(Raw_Data!AJ561&lt;&gt;"",Raw_Data!AJ561,Raw_Data!N561)</f>
        <v>0</v>
      </c>
      <c r="L558" s="12">
        <f t="shared" si="73"/>
        <v>1</v>
      </c>
      <c r="M558" s="12" t="str">
        <f>IF(Raw_Data!AK561="","",Raw_Data!AK561)</f>
        <v/>
      </c>
      <c r="N558" s="12" t="str">
        <f>IF(Raw_Data!T561="","",Raw_Data!T561)</f>
        <v/>
      </c>
      <c r="O558" s="12" t="str">
        <f>IF(Raw_Data!AB561&lt;&gt;"",Raw_Data!AB561,IF(N558="tres_insatisfait",1,IF(N558="insatisfait",2,IF(N558="neutre",3,IF(N558="satisfait",4,IF(N558="tres_satisfait",5,""))))))</f>
        <v/>
      </c>
      <c r="P558" s="12">
        <f>IF(Raw_Data!AL561&lt;&gt;"",Raw_Data!AL561,Raw_Data!R561)</f>
        <v>0</v>
      </c>
      <c r="Q558" s="12">
        <f t="shared" si="74"/>
        <v>0</v>
      </c>
      <c r="R558" s="12" t="str">
        <f>IF(Raw_Data!AM561="","",Raw_Data!AM561)</f>
        <v/>
      </c>
      <c r="S558" s="12" t="str">
        <f t="shared" si="75"/>
        <v/>
      </c>
      <c r="T558" s="12" t="str">
        <f>IF(Raw_Data!AN561="","",Raw_Data!AN561)</f>
        <v/>
      </c>
      <c r="U558" s="12" t="str">
        <f t="shared" si="76"/>
        <v/>
      </c>
      <c r="V558" s="12" t="str">
        <f>IF(Raw_Data!AP561="","",IF(Raw_Data!AP561="oui",1,0))</f>
        <v/>
      </c>
      <c r="W558" s="12" t="str">
        <f>IF(Raw_Data!AQ561="","",IF(Raw_Data!AQ561="oui",1,0))</f>
        <v/>
      </c>
      <c r="X558" s="12" t="str">
        <f>IF(Raw_Data!AR561="","",IF(Raw_Data!AR561="oui",1,0))</f>
        <v/>
      </c>
      <c r="Y558" s="12" t="str">
        <f>IF(Raw_Data!AS561="","",IF(Raw_Data!AS561="oui",1,0))</f>
        <v/>
      </c>
      <c r="Z558" s="12" t="str">
        <f>IF(Raw_Data!V561="","",IF(Raw_Data!V561="oui",1,0))</f>
        <v/>
      </c>
      <c r="AA558" s="12" t="str">
        <f>IF(Raw_Data!W561="","",IF(Raw_Data!W561="oui",1,0))</f>
        <v/>
      </c>
      <c r="AB558" s="12" t="str">
        <f>IF(Raw_Data!Q561="","",IF(Raw_Data!Q561="oui",1,0))</f>
        <v/>
      </c>
      <c r="AC558" s="12">
        <f>Raw_Data!AF561</f>
        <v>0</v>
      </c>
      <c r="AD558" s="12" t="str">
        <f t="shared" si="77"/>
        <v/>
      </c>
      <c r="AE558" s="12" t="str">
        <f t="shared" si="78"/>
        <v/>
      </c>
      <c r="AF558" s="12" t="str">
        <f t="shared" si="79"/>
        <v/>
      </c>
      <c r="AG558" s="12">
        <f t="shared" si="80"/>
        <v>0</v>
      </c>
    </row>
    <row r="559" spans="1:33" ht="15" customHeight="1" x14ac:dyDescent="0.25">
      <c r="A559" s="12" t="str">
        <f>IF(Raw_Data!B562="","",Raw_Data!B562)</f>
        <v/>
      </c>
      <c r="B559" s="12">
        <f>IF(Raw_Data!X562&lt;&gt;"",Raw_Data!X562,Raw_Data!C562)</f>
        <v>0</v>
      </c>
      <c r="C559" s="12" t="str">
        <f>IF(Raw_Data!G562="","",Raw_Data!G562)</f>
        <v/>
      </c>
      <c r="D559" s="12" t="str">
        <f>IF(Raw_Data!H562="","",Raw_Data!H562)</f>
        <v/>
      </c>
      <c r="E559" s="12" t="str">
        <f>IF(Raw_Data!I562="","",Raw_Data!I562)</f>
        <v/>
      </c>
      <c r="F559" s="12" t="str">
        <f>IF(Raw_Data!J562="","",Raw_Data!J562)</f>
        <v/>
      </c>
      <c r="G559" s="12" t="str">
        <f>IF(Raw_Data!AH562&lt;&gt;"",Raw_Data!AH562,IF(Raw_Data!K562&lt;&gt;"",Raw_Data!K562,""))</f>
        <v/>
      </c>
      <c r="H559" s="12" t="str">
        <f>IF(Raw_Data!AI562&lt;&gt;"",Raw_Data!AI562,IF(Raw_Data!L562&lt;&gt;"",Raw_Data!L562,""))</f>
        <v/>
      </c>
      <c r="I559" s="12" t="str">
        <f t="shared" si="72"/>
        <v/>
      </c>
      <c r="J559" s="12" t="str">
        <f>IF(Raw_Data!M562="","",Raw_Data!M562)</f>
        <v/>
      </c>
      <c r="K559" s="12">
        <f>IF(Raw_Data!AJ562&lt;&gt;"",Raw_Data!AJ562,Raw_Data!N562)</f>
        <v>0</v>
      </c>
      <c r="L559" s="12">
        <f t="shared" si="73"/>
        <v>1</v>
      </c>
      <c r="M559" s="12" t="str">
        <f>IF(Raw_Data!AK562="","",Raw_Data!AK562)</f>
        <v/>
      </c>
      <c r="N559" s="12" t="str">
        <f>IF(Raw_Data!T562="","",Raw_Data!T562)</f>
        <v/>
      </c>
      <c r="O559" s="12" t="str">
        <f>IF(Raw_Data!AB562&lt;&gt;"",Raw_Data!AB562,IF(N559="tres_insatisfait",1,IF(N559="insatisfait",2,IF(N559="neutre",3,IF(N559="satisfait",4,IF(N559="tres_satisfait",5,""))))))</f>
        <v/>
      </c>
      <c r="P559" s="12">
        <f>IF(Raw_Data!AL562&lt;&gt;"",Raw_Data!AL562,Raw_Data!R562)</f>
        <v>0</v>
      </c>
      <c r="Q559" s="12">
        <f t="shared" si="74"/>
        <v>0</v>
      </c>
      <c r="R559" s="12" t="str">
        <f>IF(Raw_Data!AM562="","",Raw_Data!AM562)</f>
        <v/>
      </c>
      <c r="S559" s="12" t="str">
        <f t="shared" si="75"/>
        <v/>
      </c>
      <c r="T559" s="12" t="str">
        <f>IF(Raw_Data!AN562="","",Raw_Data!AN562)</f>
        <v/>
      </c>
      <c r="U559" s="12" t="str">
        <f t="shared" si="76"/>
        <v/>
      </c>
      <c r="V559" s="12" t="str">
        <f>IF(Raw_Data!AP562="","",IF(Raw_Data!AP562="oui",1,0))</f>
        <v/>
      </c>
      <c r="W559" s="12" t="str">
        <f>IF(Raw_Data!AQ562="","",IF(Raw_Data!AQ562="oui",1,0))</f>
        <v/>
      </c>
      <c r="X559" s="12" t="str">
        <f>IF(Raw_Data!AR562="","",IF(Raw_Data!AR562="oui",1,0))</f>
        <v/>
      </c>
      <c r="Y559" s="12" t="str">
        <f>IF(Raw_Data!AS562="","",IF(Raw_Data!AS562="oui",1,0))</f>
        <v/>
      </c>
      <c r="Z559" s="12" t="str">
        <f>IF(Raw_Data!V562="","",IF(Raw_Data!V562="oui",1,0))</f>
        <v/>
      </c>
      <c r="AA559" s="12" t="str">
        <f>IF(Raw_Data!W562="","",IF(Raw_Data!W562="oui",1,0))</f>
        <v/>
      </c>
      <c r="AB559" s="12" t="str">
        <f>IF(Raw_Data!Q562="","",IF(Raw_Data!Q562="oui",1,0))</f>
        <v/>
      </c>
      <c r="AC559" s="12">
        <f>Raw_Data!AF562</f>
        <v>0</v>
      </c>
      <c r="AD559" s="12" t="str">
        <f t="shared" si="77"/>
        <v/>
      </c>
      <c r="AE559" s="12" t="str">
        <f t="shared" si="78"/>
        <v/>
      </c>
      <c r="AF559" s="12" t="str">
        <f t="shared" si="79"/>
        <v/>
      </c>
      <c r="AG559" s="12">
        <f t="shared" si="80"/>
        <v>0</v>
      </c>
    </row>
    <row r="560" spans="1:33" ht="15" customHeight="1" x14ac:dyDescent="0.25">
      <c r="A560" s="12" t="str">
        <f>IF(Raw_Data!B563="","",Raw_Data!B563)</f>
        <v/>
      </c>
      <c r="B560" s="12">
        <f>IF(Raw_Data!X563&lt;&gt;"",Raw_Data!X563,Raw_Data!C563)</f>
        <v>0</v>
      </c>
      <c r="C560" s="12" t="str">
        <f>IF(Raw_Data!G563="","",Raw_Data!G563)</f>
        <v/>
      </c>
      <c r="D560" s="12" t="str">
        <f>IF(Raw_Data!H563="","",Raw_Data!H563)</f>
        <v/>
      </c>
      <c r="E560" s="12" t="str">
        <f>IF(Raw_Data!I563="","",Raw_Data!I563)</f>
        <v/>
      </c>
      <c r="F560" s="12" t="str">
        <f>IF(Raw_Data!J563="","",Raw_Data!J563)</f>
        <v/>
      </c>
      <c r="G560" s="12" t="str">
        <f>IF(Raw_Data!AH563&lt;&gt;"",Raw_Data!AH563,IF(Raw_Data!K563&lt;&gt;"",Raw_Data!K563,""))</f>
        <v/>
      </c>
      <c r="H560" s="12" t="str">
        <f>IF(Raw_Data!AI563&lt;&gt;"",Raw_Data!AI563,IF(Raw_Data!L563&lt;&gt;"",Raw_Data!L563,""))</f>
        <v/>
      </c>
      <c r="I560" s="12" t="str">
        <f t="shared" si="72"/>
        <v/>
      </c>
      <c r="J560" s="12" t="str">
        <f>IF(Raw_Data!M563="","",Raw_Data!M563)</f>
        <v/>
      </c>
      <c r="K560" s="12">
        <f>IF(Raw_Data!AJ563&lt;&gt;"",Raw_Data!AJ563,Raw_Data!N563)</f>
        <v>0</v>
      </c>
      <c r="L560" s="12">
        <f t="shared" si="73"/>
        <v>1</v>
      </c>
      <c r="M560" s="12" t="str">
        <f>IF(Raw_Data!AK563="","",Raw_Data!AK563)</f>
        <v/>
      </c>
      <c r="N560" s="12" t="str">
        <f>IF(Raw_Data!T563="","",Raw_Data!T563)</f>
        <v/>
      </c>
      <c r="O560" s="12" t="str">
        <f>IF(Raw_Data!AB563&lt;&gt;"",Raw_Data!AB563,IF(N560="tres_insatisfait",1,IF(N560="insatisfait",2,IF(N560="neutre",3,IF(N560="satisfait",4,IF(N560="tres_satisfait",5,""))))))</f>
        <v/>
      </c>
      <c r="P560" s="12">
        <f>IF(Raw_Data!AL563&lt;&gt;"",Raw_Data!AL563,Raw_Data!R563)</f>
        <v>0</v>
      </c>
      <c r="Q560" s="12">
        <f t="shared" si="74"/>
        <v>0</v>
      </c>
      <c r="R560" s="12" t="str">
        <f>IF(Raw_Data!AM563="","",Raw_Data!AM563)</f>
        <v/>
      </c>
      <c r="S560" s="12" t="str">
        <f t="shared" si="75"/>
        <v/>
      </c>
      <c r="T560" s="12" t="str">
        <f>IF(Raw_Data!AN563="","",Raw_Data!AN563)</f>
        <v/>
      </c>
      <c r="U560" s="12" t="str">
        <f t="shared" si="76"/>
        <v/>
      </c>
      <c r="V560" s="12" t="str">
        <f>IF(Raw_Data!AP563="","",IF(Raw_Data!AP563="oui",1,0))</f>
        <v/>
      </c>
      <c r="W560" s="12" t="str">
        <f>IF(Raw_Data!AQ563="","",IF(Raw_Data!AQ563="oui",1,0))</f>
        <v/>
      </c>
      <c r="X560" s="12" t="str">
        <f>IF(Raw_Data!AR563="","",IF(Raw_Data!AR563="oui",1,0))</f>
        <v/>
      </c>
      <c r="Y560" s="12" t="str">
        <f>IF(Raw_Data!AS563="","",IF(Raw_Data!AS563="oui",1,0))</f>
        <v/>
      </c>
      <c r="Z560" s="12" t="str">
        <f>IF(Raw_Data!V563="","",IF(Raw_Data!V563="oui",1,0))</f>
        <v/>
      </c>
      <c r="AA560" s="12" t="str">
        <f>IF(Raw_Data!W563="","",IF(Raw_Data!W563="oui",1,0))</f>
        <v/>
      </c>
      <c r="AB560" s="12" t="str">
        <f>IF(Raw_Data!Q563="","",IF(Raw_Data!Q563="oui",1,0))</f>
        <v/>
      </c>
      <c r="AC560" s="12">
        <f>Raw_Data!AF563</f>
        <v>0</v>
      </c>
      <c r="AD560" s="12" t="str">
        <f t="shared" si="77"/>
        <v/>
      </c>
      <c r="AE560" s="12" t="str">
        <f t="shared" si="78"/>
        <v/>
      </c>
      <c r="AF560" s="12" t="str">
        <f t="shared" si="79"/>
        <v/>
      </c>
      <c r="AG560" s="12">
        <f t="shared" si="80"/>
        <v>0</v>
      </c>
    </row>
    <row r="561" spans="1:33" ht="15" customHeight="1" x14ac:dyDescent="0.25">
      <c r="A561" s="12" t="str">
        <f>IF(Raw_Data!B564="","",Raw_Data!B564)</f>
        <v/>
      </c>
      <c r="B561" s="12">
        <f>IF(Raw_Data!X564&lt;&gt;"",Raw_Data!X564,Raw_Data!C564)</f>
        <v>0</v>
      </c>
      <c r="C561" s="12" t="str">
        <f>IF(Raw_Data!G564="","",Raw_Data!G564)</f>
        <v/>
      </c>
      <c r="D561" s="12" t="str">
        <f>IF(Raw_Data!H564="","",Raw_Data!H564)</f>
        <v/>
      </c>
      <c r="E561" s="12" t="str">
        <f>IF(Raw_Data!I564="","",Raw_Data!I564)</f>
        <v/>
      </c>
      <c r="F561" s="12" t="str">
        <f>IF(Raw_Data!J564="","",Raw_Data!J564)</f>
        <v/>
      </c>
      <c r="G561" s="12" t="str">
        <f>IF(Raw_Data!AH564&lt;&gt;"",Raw_Data!AH564,IF(Raw_Data!K564&lt;&gt;"",Raw_Data!K564,""))</f>
        <v/>
      </c>
      <c r="H561" s="12" t="str">
        <f>IF(Raw_Data!AI564&lt;&gt;"",Raw_Data!AI564,IF(Raw_Data!L564&lt;&gt;"",Raw_Data!L564,""))</f>
        <v/>
      </c>
      <c r="I561" s="12" t="str">
        <f t="shared" si="72"/>
        <v/>
      </c>
      <c r="J561" s="12" t="str">
        <f>IF(Raw_Data!M564="","",Raw_Data!M564)</f>
        <v/>
      </c>
      <c r="K561" s="12">
        <f>IF(Raw_Data!AJ564&lt;&gt;"",Raw_Data!AJ564,Raw_Data!N564)</f>
        <v>0</v>
      </c>
      <c r="L561" s="12">
        <f t="shared" si="73"/>
        <v>1</v>
      </c>
      <c r="M561" s="12" t="str">
        <f>IF(Raw_Data!AK564="","",Raw_Data!AK564)</f>
        <v/>
      </c>
      <c r="N561" s="12" t="str">
        <f>IF(Raw_Data!T564="","",Raw_Data!T564)</f>
        <v/>
      </c>
      <c r="O561" s="12" t="str">
        <f>IF(Raw_Data!AB564&lt;&gt;"",Raw_Data!AB564,IF(N561="tres_insatisfait",1,IF(N561="insatisfait",2,IF(N561="neutre",3,IF(N561="satisfait",4,IF(N561="tres_satisfait",5,""))))))</f>
        <v/>
      </c>
      <c r="P561" s="12">
        <f>IF(Raw_Data!AL564&lt;&gt;"",Raw_Data!AL564,Raw_Data!R564)</f>
        <v>0</v>
      </c>
      <c r="Q561" s="12">
        <f t="shared" si="74"/>
        <v>0</v>
      </c>
      <c r="R561" s="12" t="str">
        <f>IF(Raw_Data!AM564="","",Raw_Data!AM564)</f>
        <v/>
      </c>
      <c r="S561" s="12" t="str">
        <f t="shared" si="75"/>
        <v/>
      </c>
      <c r="T561" s="12" t="str">
        <f>IF(Raw_Data!AN564="","",Raw_Data!AN564)</f>
        <v/>
      </c>
      <c r="U561" s="12" t="str">
        <f t="shared" si="76"/>
        <v/>
      </c>
      <c r="V561" s="12" t="str">
        <f>IF(Raw_Data!AP564="","",IF(Raw_Data!AP564="oui",1,0))</f>
        <v/>
      </c>
      <c r="W561" s="12" t="str">
        <f>IF(Raw_Data!AQ564="","",IF(Raw_Data!AQ564="oui",1,0))</f>
        <v/>
      </c>
      <c r="X561" s="12" t="str">
        <f>IF(Raw_Data!AR564="","",IF(Raw_Data!AR564="oui",1,0))</f>
        <v/>
      </c>
      <c r="Y561" s="12" t="str">
        <f>IF(Raw_Data!AS564="","",IF(Raw_Data!AS564="oui",1,0))</f>
        <v/>
      </c>
      <c r="Z561" s="12" t="str">
        <f>IF(Raw_Data!V564="","",IF(Raw_Data!V564="oui",1,0))</f>
        <v/>
      </c>
      <c r="AA561" s="12" t="str">
        <f>IF(Raw_Data!W564="","",IF(Raw_Data!W564="oui",1,0))</f>
        <v/>
      </c>
      <c r="AB561" s="12" t="str">
        <f>IF(Raw_Data!Q564="","",IF(Raw_Data!Q564="oui",1,0))</f>
        <v/>
      </c>
      <c r="AC561" s="12">
        <f>Raw_Data!AF564</f>
        <v>0</v>
      </c>
      <c r="AD561" s="12" t="str">
        <f t="shared" si="77"/>
        <v/>
      </c>
      <c r="AE561" s="12" t="str">
        <f t="shared" si="78"/>
        <v/>
      </c>
      <c r="AF561" s="12" t="str">
        <f t="shared" si="79"/>
        <v/>
      </c>
      <c r="AG561" s="12">
        <f t="shared" si="80"/>
        <v>0</v>
      </c>
    </row>
    <row r="562" spans="1:33" ht="15" customHeight="1" x14ac:dyDescent="0.25">
      <c r="A562" s="12" t="str">
        <f>IF(Raw_Data!B565="","",Raw_Data!B565)</f>
        <v/>
      </c>
      <c r="B562" s="12">
        <f>IF(Raw_Data!X565&lt;&gt;"",Raw_Data!X565,Raw_Data!C565)</f>
        <v>0</v>
      </c>
      <c r="C562" s="12" t="str">
        <f>IF(Raw_Data!G565="","",Raw_Data!G565)</f>
        <v/>
      </c>
      <c r="D562" s="12" t="str">
        <f>IF(Raw_Data!H565="","",Raw_Data!H565)</f>
        <v/>
      </c>
      <c r="E562" s="12" t="str">
        <f>IF(Raw_Data!I565="","",Raw_Data!I565)</f>
        <v/>
      </c>
      <c r="F562" s="12" t="str">
        <f>IF(Raw_Data!J565="","",Raw_Data!J565)</f>
        <v/>
      </c>
      <c r="G562" s="12" t="str">
        <f>IF(Raw_Data!AH565&lt;&gt;"",Raw_Data!AH565,IF(Raw_Data!K565&lt;&gt;"",Raw_Data!K565,""))</f>
        <v/>
      </c>
      <c r="H562" s="12" t="str">
        <f>IF(Raw_Data!AI565&lt;&gt;"",Raw_Data!AI565,IF(Raw_Data!L565&lt;&gt;"",Raw_Data!L565,""))</f>
        <v/>
      </c>
      <c r="I562" s="12" t="str">
        <f t="shared" si="72"/>
        <v/>
      </c>
      <c r="J562" s="12" t="str">
        <f>IF(Raw_Data!M565="","",Raw_Data!M565)</f>
        <v/>
      </c>
      <c r="K562" s="12">
        <f>IF(Raw_Data!AJ565&lt;&gt;"",Raw_Data!AJ565,Raw_Data!N565)</f>
        <v>0</v>
      </c>
      <c r="L562" s="12">
        <f t="shared" si="73"/>
        <v>1</v>
      </c>
      <c r="M562" s="12" t="str">
        <f>IF(Raw_Data!AK565="","",Raw_Data!AK565)</f>
        <v/>
      </c>
      <c r="N562" s="12" t="str">
        <f>IF(Raw_Data!T565="","",Raw_Data!T565)</f>
        <v/>
      </c>
      <c r="O562" s="12" t="str">
        <f>IF(Raw_Data!AB565&lt;&gt;"",Raw_Data!AB565,IF(N562="tres_insatisfait",1,IF(N562="insatisfait",2,IF(N562="neutre",3,IF(N562="satisfait",4,IF(N562="tres_satisfait",5,""))))))</f>
        <v/>
      </c>
      <c r="P562" s="12">
        <f>IF(Raw_Data!AL565&lt;&gt;"",Raw_Data!AL565,Raw_Data!R565)</f>
        <v>0</v>
      </c>
      <c r="Q562" s="12">
        <f t="shared" si="74"/>
        <v>0</v>
      </c>
      <c r="R562" s="12" t="str">
        <f>IF(Raw_Data!AM565="","",Raw_Data!AM565)</f>
        <v/>
      </c>
      <c r="S562" s="12" t="str">
        <f t="shared" si="75"/>
        <v/>
      </c>
      <c r="T562" s="12" t="str">
        <f>IF(Raw_Data!AN565="","",Raw_Data!AN565)</f>
        <v/>
      </c>
      <c r="U562" s="12" t="str">
        <f t="shared" si="76"/>
        <v/>
      </c>
      <c r="V562" s="12" t="str">
        <f>IF(Raw_Data!AP565="","",IF(Raw_Data!AP565="oui",1,0))</f>
        <v/>
      </c>
      <c r="W562" s="12" t="str">
        <f>IF(Raw_Data!AQ565="","",IF(Raw_Data!AQ565="oui",1,0))</f>
        <v/>
      </c>
      <c r="X562" s="12" t="str">
        <f>IF(Raw_Data!AR565="","",IF(Raw_Data!AR565="oui",1,0))</f>
        <v/>
      </c>
      <c r="Y562" s="12" t="str">
        <f>IF(Raw_Data!AS565="","",IF(Raw_Data!AS565="oui",1,0))</f>
        <v/>
      </c>
      <c r="Z562" s="12" t="str">
        <f>IF(Raw_Data!V565="","",IF(Raw_Data!V565="oui",1,0))</f>
        <v/>
      </c>
      <c r="AA562" s="12" t="str">
        <f>IF(Raw_Data!W565="","",IF(Raw_Data!W565="oui",1,0))</f>
        <v/>
      </c>
      <c r="AB562" s="12" t="str">
        <f>IF(Raw_Data!Q565="","",IF(Raw_Data!Q565="oui",1,0))</f>
        <v/>
      </c>
      <c r="AC562" s="12">
        <f>Raw_Data!AF565</f>
        <v>0</v>
      </c>
      <c r="AD562" s="12" t="str">
        <f t="shared" si="77"/>
        <v/>
      </c>
      <c r="AE562" s="12" t="str">
        <f t="shared" si="78"/>
        <v/>
      </c>
      <c r="AF562" s="12" t="str">
        <f t="shared" si="79"/>
        <v/>
      </c>
      <c r="AG562" s="12">
        <f t="shared" si="80"/>
        <v>0</v>
      </c>
    </row>
    <row r="563" spans="1:33" ht="15" customHeight="1" x14ac:dyDescent="0.25">
      <c r="A563" s="12" t="str">
        <f>IF(Raw_Data!B566="","",Raw_Data!B566)</f>
        <v/>
      </c>
      <c r="B563" s="12">
        <f>IF(Raw_Data!X566&lt;&gt;"",Raw_Data!X566,Raw_Data!C566)</f>
        <v>0</v>
      </c>
      <c r="C563" s="12" t="str">
        <f>IF(Raw_Data!G566="","",Raw_Data!G566)</f>
        <v/>
      </c>
      <c r="D563" s="12" t="str">
        <f>IF(Raw_Data!H566="","",Raw_Data!H566)</f>
        <v/>
      </c>
      <c r="E563" s="12" t="str">
        <f>IF(Raw_Data!I566="","",Raw_Data!I566)</f>
        <v/>
      </c>
      <c r="F563" s="12" t="str">
        <f>IF(Raw_Data!J566="","",Raw_Data!J566)</f>
        <v/>
      </c>
      <c r="G563" s="12" t="str">
        <f>IF(Raw_Data!AH566&lt;&gt;"",Raw_Data!AH566,IF(Raw_Data!K566&lt;&gt;"",Raw_Data!K566,""))</f>
        <v/>
      </c>
      <c r="H563" s="12" t="str">
        <f>IF(Raw_Data!AI566&lt;&gt;"",Raw_Data!AI566,IF(Raw_Data!L566&lt;&gt;"",Raw_Data!L566,""))</f>
        <v/>
      </c>
      <c r="I563" s="12" t="str">
        <f t="shared" si="72"/>
        <v/>
      </c>
      <c r="J563" s="12" t="str">
        <f>IF(Raw_Data!M566="","",Raw_Data!M566)</f>
        <v/>
      </c>
      <c r="K563" s="12">
        <f>IF(Raw_Data!AJ566&lt;&gt;"",Raw_Data!AJ566,Raw_Data!N566)</f>
        <v>0</v>
      </c>
      <c r="L563" s="12">
        <f t="shared" si="73"/>
        <v>1</v>
      </c>
      <c r="M563" s="12" t="str">
        <f>IF(Raw_Data!AK566="","",Raw_Data!AK566)</f>
        <v/>
      </c>
      <c r="N563" s="12" t="str">
        <f>IF(Raw_Data!T566="","",Raw_Data!T566)</f>
        <v/>
      </c>
      <c r="O563" s="12" t="str">
        <f>IF(Raw_Data!AB566&lt;&gt;"",Raw_Data!AB566,IF(N563="tres_insatisfait",1,IF(N563="insatisfait",2,IF(N563="neutre",3,IF(N563="satisfait",4,IF(N563="tres_satisfait",5,""))))))</f>
        <v/>
      </c>
      <c r="P563" s="12">
        <f>IF(Raw_Data!AL566&lt;&gt;"",Raw_Data!AL566,Raw_Data!R566)</f>
        <v>0</v>
      </c>
      <c r="Q563" s="12">
        <f t="shared" si="74"/>
        <v>0</v>
      </c>
      <c r="R563" s="12" t="str">
        <f>IF(Raw_Data!AM566="","",Raw_Data!AM566)</f>
        <v/>
      </c>
      <c r="S563" s="12" t="str">
        <f t="shared" si="75"/>
        <v/>
      </c>
      <c r="T563" s="12" t="str">
        <f>IF(Raw_Data!AN566="","",Raw_Data!AN566)</f>
        <v/>
      </c>
      <c r="U563" s="12" t="str">
        <f t="shared" si="76"/>
        <v/>
      </c>
      <c r="V563" s="12" t="str">
        <f>IF(Raw_Data!AP566="","",IF(Raw_Data!AP566="oui",1,0))</f>
        <v/>
      </c>
      <c r="W563" s="12" t="str">
        <f>IF(Raw_Data!AQ566="","",IF(Raw_Data!AQ566="oui",1,0))</f>
        <v/>
      </c>
      <c r="X563" s="12" t="str">
        <f>IF(Raw_Data!AR566="","",IF(Raw_Data!AR566="oui",1,0))</f>
        <v/>
      </c>
      <c r="Y563" s="12" t="str">
        <f>IF(Raw_Data!AS566="","",IF(Raw_Data!AS566="oui",1,0))</f>
        <v/>
      </c>
      <c r="Z563" s="12" t="str">
        <f>IF(Raw_Data!V566="","",IF(Raw_Data!V566="oui",1,0))</f>
        <v/>
      </c>
      <c r="AA563" s="12" t="str">
        <f>IF(Raw_Data!W566="","",IF(Raw_Data!W566="oui",1,0))</f>
        <v/>
      </c>
      <c r="AB563" s="12" t="str">
        <f>IF(Raw_Data!Q566="","",IF(Raw_Data!Q566="oui",1,0))</f>
        <v/>
      </c>
      <c r="AC563" s="12">
        <f>Raw_Data!AF566</f>
        <v>0</v>
      </c>
      <c r="AD563" s="12" t="str">
        <f t="shared" si="77"/>
        <v/>
      </c>
      <c r="AE563" s="12" t="str">
        <f t="shared" si="78"/>
        <v/>
      </c>
      <c r="AF563" s="12" t="str">
        <f t="shared" si="79"/>
        <v/>
      </c>
      <c r="AG563" s="12">
        <f t="shared" si="80"/>
        <v>0</v>
      </c>
    </row>
    <row r="564" spans="1:33" ht="15" customHeight="1" x14ac:dyDescent="0.25">
      <c r="A564" s="12" t="str">
        <f>IF(Raw_Data!B567="","",Raw_Data!B567)</f>
        <v/>
      </c>
      <c r="B564" s="12">
        <f>IF(Raw_Data!X567&lt;&gt;"",Raw_Data!X567,Raw_Data!C567)</f>
        <v>0</v>
      </c>
      <c r="C564" s="12" t="str">
        <f>IF(Raw_Data!G567="","",Raw_Data!G567)</f>
        <v/>
      </c>
      <c r="D564" s="12" t="str">
        <f>IF(Raw_Data!H567="","",Raw_Data!H567)</f>
        <v/>
      </c>
      <c r="E564" s="12" t="str">
        <f>IF(Raw_Data!I567="","",Raw_Data!I567)</f>
        <v/>
      </c>
      <c r="F564" s="12" t="str">
        <f>IF(Raw_Data!J567="","",Raw_Data!J567)</f>
        <v/>
      </c>
      <c r="G564" s="12" t="str">
        <f>IF(Raw_Data!AH567&lt;&gt;"",Raw_Data!AH567,IF(Raw_Data!K567&lt;&gt;"",Raw_Data!K567,""))</f>
        <v/>
      </c>
      <c r="H564" s="12" t="str">
        <f>IF(Raw_Data!AI567&lt;&gt;"",Raw_Data!AI567,IF(Raw_Data!L567&lt;&gt;"",Raw_Data!L567,""))</f>
        <v/>
      </c>
      <c r="I564" s="12" t="str">
        <f t="shared" si="72"/>
        <v/>
      </c>
      <c r="J564" s="12" t="str">
        <f>IF(Raw_Data!M567="","",Raw_Data!M567)</f>
        <v/>
      </c>
      <c r="K564" s="12">
        <f>IF(Raw_Data!AJ567&lt;&gt;"",Raw_Data!AJ567,Raw_Data!N567)</f>
        <v>0</v>
      </c>
      <c r="L564" s="12">
        <f t="shared" si="73"/>
        <v>1</v>
      </c>
      <c r="M564" s="12" t="str">
        <f>IF(Raw_Data!AK567="","",Raw_Data!AK567)</f>
        <v/>
      </c>
      <c r="N564" s="12" t="str">
        <f>IF(Raw_Data!T567="","",Raw_Data!T567)</f>
        <v/>
      </c>
      <c r="O564" s="12" t="str">
        <f>IF(Raw_Data!AB567&lt;&gt;"",Raw_Data!AB567,IF(N564="tres_insatisfait",1,IF(N564="insatisfait",2,IF(N564="neutre",3,IF(N564="satisfait",4,IF(N564="tres_satisfait",5,""))))))</f>
        <v/>
      </c>
      <c r="P564" s="12">
        <f>IF(Raw_Data!AL567&lt;&gt;"",Raw_Data!AL567,Raw_Data!R567)</f>
        <v>0</v>
      </c>
      <c r="Q564" s="12">
        <f t="shared" si="74"/>
        <v>0</v>
      </c>
      <c r="R564" s="12" t="str">
        <f>IF(Raw_Data!AM567="","",Raw_Data!AM567)</f>
        <v/>
      </c>
      <c r="S564" s="12" t="str">
        <f t="shared" si="75"/>
        <v/>
      </c>
      <c r="T564" s="12" t="str">
        <f>IF(Raw_Data!AN567="","",Raw_Data!AN567)</f>
        <v/>
      </c>
      <c r="U564" s="12" t="str">
        <f t="shared" si="76"/>
        <v/>
      </c>
      <c r="V564" s="12" t="str">
        <f>IF(Raw_Data!AP567="","",IF(Raw_Data!AP567="oui",1,0))</f>
        <v/>
      </c>
      <c r="W564" s="12" t="str">
        <f>IF(Raw_Data!AQ567="","",IF(Raw_Data!AQ567="oui",1,0))</f>
        <v/>
      </c>
      <c r="X564" s="12" t="str">
        <f>IF(Raw_Data!AR567="","",IF(Raw_Data!AR567="oui",1,0))</f>
        <v/>
      </c>
      <c r="Y564" s="12" t="str">
        <f>IF(Raw_Data!AS567="","",IF(Raw_Data!AS567="oui",1,0))</f>
        <v/>
      </c>
      <c r="Z564" s="12" t="str">
        <f>IF(Raw_Data!V567="","",IF(Raw_Data!V567="oui",1,0))</f>
        <v/>
      </c>
      <c r="AA564" s="12" t="str">
        <f>IF(Raw_Data!W567="","",IF(Raw_Data!W567="oui",1,0))</f>
        <v/>
      </c>
      <c r="AB564" s="12" t="str">
        <f>IF(Raw_Data!Q567="","",IF(Raw_Data!Q567="oui",1,0))</f>
        <v/>
      </c>
      <c r="AC564" s="12">
        <f>Raw_Data!AF567</f>
        <v>0</v>
      </c>
      <c r="AD564" s="12" t="str">
        <f t="shared" si="77"/>
        <v/>
      </c>
      <c r="AE564" s="12" t="str">
        <f t="shared" si="78"/>
        <v/>
      </c>
      <c r="AF564" s="12" t="str">
        <f t="shared" si="79"/>
        <v/>
      </c>
      <c r="AG564" s="12">
        <f t="shared" si="80"/>
        <v>0</v>
      </c>
    </row>
    <row r="565" spans="1:33" ht="15" customHeight="1" x14ac:dyDescent="0.25">
      <c r="A565" s="12" t="str">
        <f>IF(Raw_Data!B568="","",Raw_Data!B568)</f>
        <v/>
      </c>
      <c r="B565" s="12">
        <f>IF(Raw_Data!X568&lt;&gt;"",Raw_Data!X568,Raw_Data!C568)</f>
        <v>0</v>
      </c>
      <c r="C565" s="12" t="str">
        <f>IF(Raw_Data!G568="","",Raw_Data!G568)</f>
        <v/>
      </c>
      <c r="D565" s="12" t="str">
        <f>IF(Raw_Data!H568="","",Raw_Data!H568)</f>
        <v/>
      </c>
      <c r="E565" s="12" t="str">
        <f>IF(Raw_Data!I568="","",Raw_Data!I568)</f>
        <v/>
      </c>
      <c r="F565" s="12" t="str">
        <f>IF(Raw_Data!J568="","",Raw_Data!J568)</f>
        <v/>
      </c>
      <c r="G565" s="12" t="str">
        <f>IF(Raw_Data!AH568&lt;&gt;"",Raw_Data!AH568,IF(Raw_Data!K568&lt;&gt;"",Raw_Data!K568,""))</f>
        <v/>
      </c>
      <c r="H565" s="12" t="str">
        <f>IF(Raw_Data!AI568&lt;&gt;"",Raw_Data!AI568,IF(Raw_Data!L568&lt;&gt;"",Raw_Data!L568,""))</f>
        <v/>
      </c>
      <c r="I565" s="12" t="str">
        <f t="shared" si="72"/>
        <v/>
      </c>
      <c r="J565" s="12" t="str">
        <f>IF(Raw_Data!M568="","",Raw_Data!M568)</f>
        <v/>
      </c>
      <c r="K565" s="12">
        <f>IF(Raw_Data!AJ568&lt;&gt;"",Raw_Data!AJ568,Raw_Data!N568)</f>
        <v>0</v>
      </c>
      <c r="L565" s="12">
        <f t="shared" si="73"/>
        <v>1</v>
      </c>
      <c r="M565" s="12" t="str">
        <f>IF(Raw_Data!AK568="","",Raw_Data!AK568)</f>
        <v/>
      </c>
      <c r="N565" s="12" t="str">
        <f>IF(Raw_Data!T568="","",Raw_Data!T568)</f>
        <v/>
      </c>
      <c r="O565" s="12" t="str">
        <f>IF(Raw_Data!AB568&lt;&gt;"",Raw_Data!AB568,IF(N565="tres_insatisfait",1,IF(N565="insatisfait",2,IF(N565="neutre",3,IF(N565="satisfait",4,IF(N565="tres_satisfait",5,""))))))</f>
        <v/>
      </c>
      <c r="P565" s="12">
        <f>IF(Raw_Data!AL568&lt;&gt;"",Raw_Data!AL568,Raw_Data!R568)</f>
        <v>0</v>
      </c>
      <c r="Q565" s="12">
        <f t="shared" si="74"/>
        <v>0</v>
      </c>
      <c r="R565" s="12" t="str">
        <f>IF(Raw_Data!AM568="","",Raw_Data!AM568)</f>
        <v/>
      </c>
      <c r="S565" s="12" t="str">
        <f t="shared" si="75"/>
        <v/>
      </c>
      <c r="T565" s="12" t="str">
        <f>IF(Raw_Data!AN568="","",Raw_Data!AN568)</f>
        <v/>
      </c>
      <c r="U565" s="12" t="str">
        <f t="shared" si="76"/>
        <v/>
      </c>
      <c r="V565" s="12" t="str">
        <f>IF(Raw_Data!AP568="","",IF(Raw_Data!AP568="oui",1,0))</f>
        <v/>
      </c>
      <c r="W565" s="12" t="str">
        <f>IF(Raw_Data!AQ568="","",IF(Raw_Data!AQ568="oui",1,0))</f>
        <v/>
      </c>
      <c r="X565" s="12" t="str">
        <f>IF(Raw_Data!AR568="","",IF(Raw_Data!AR568="oui",1,0))</f>
        <v/>
      </c>
      <c r="Y565" s="12" t="str">
        <f>IF(Raw_Data!AS568="","",IF(Raw_Data!AS568="oui",1,0))</f>
        <v/>
      </c>
      <c r="Z565" s="12" t="str">
        <f>IF(Raw_Data!V568="","",IF(Raw_Data!V568="oui",1,0))</f>
        <v/>
      </c>
      <c r="AA565" s="12" t="str">
        <f>IF(Raw_Data!W568="","",IF(Raw_Data!W568="oui",1,0))</f>
        <v/>
      </c>
      <c r="AB565" s="12" t="str">
        <f>IF(Raw_Data!Q568="","",IF(Raw_Data!Q568="oui",1,0))</f>
        <v/>
      </c>
      <c r="AC565" s="12">
        <f>Raw_Data!AF568</f>
        <v>0</v>
      </c>
      <c r="AD565" s="12" t="str">
        <f t="shared" si="77"/>
        <v/>
      </c>
      <c r="AE565" s="12" t="str">
        <f t="shared" si="78"/>
        <v/>
      </c>
      <c r="AF565" s="12" t="str">
        <f t="shared" si="79"/>
        <v/>
      </c>
      <c r="AG565" s="12">
        <f t="shared" si="80"/>
        <v>0</v>
      </c>
    </row>
    <row r="566" spans="1:33" ht="15" customHeight="1" x14ac:dyDescent="0.25">
      <c r="A566" s="12" t="str">
        <f>IF(Raw_Data!B569="","",Raw_Data!B569)</f>
        <v/>
      </c>
      <c r="B566" s="12">
        <f>IF(Raw_Data!X569&lt;&gt;"",Raw_Data!X569,Raw_Data!C569)</f>
        <v>0</v>
      </c>
      <c r="C566" s="12" t="str">
        <f>IF(Raw_Data!G569="","",Raw_Data!G569)</f>
        <v/>
      </c>
      <c r="D566" s="12" t="str">
        <f>IF(Raw_Data!H569="","",Raw_Data!H569)</f>
        <v/>
      </c>
      <c r="E566" s="12" t="str">
        <f>IF(Raw_Data!I569="","",Raw_Data!I569)</f>
        <v/>
      </c>
      <c r="F566" s="12" t="str">
        <f>IF(Raw_Data!J569="","",Raw_Data!J569)</f>
        <v/>
      </c>
      <c r="G566" s="12" t="str">
        <f>IF(Raw_Data!AH569&lt;&gt;"",Raw_Data!AH569,IF(Raw_Data!K569&lt;&gt;"",Raw_Data!K569,""))</f>
        <v/>
      </c>
      <c r="H566" s="12" t="str">
        <f>IF(Raw_Data!AI569&lt;&gt;"",Raw_Data!AI569,IF(Raw_Data!L569&lt;&gt;"",Raw_Data!L569,""))</f>
        <v/>
      </c>
      <c r="I566" s="12" t="str">
        <f t="shared" si="72"/>
        <v/>
      </c>
      <c r="J566" s="12" t="str">
        <f>IF(Raw_Data!M569="","",Raw_Data!M569)</f>
        <v/>
      </c>
      <c r="K566" s="12">
        <f>IF(Raw_Data!AJ569&lt;&gt;"",Raw_Data!AJ569,Raw_Data!N569)</f>
        <v>0</v>
      </c>
      <c r="L566" s="12">
        <f t="shared" si="73"/>
        <v>1</v>
      </c>
      <c r="M566" s="12" t="str">
        <f>IF(Raw_Data!AK569="","",Raw_Data!AK569)</f>
        <v/>
      </c>
      <c r="N566" s="12" t="str">
        <f>IF(Raw_Data!T569="","",Raw_Data!T569)</f>
        <v/>
      </c>
      <c r="O566" s="12" t="str">
        <f>IF(Raw_Data!AB569&lt;&gt;"",Raw_Data!AB569,IF(N566="tres_insatisfait",1,IF(N566="insatisfait",2,IF(N566="neutre",3,IF(N566="satisfait",4,IF(N566="tres_satisfait",5,""))))))</f>
        <v/>
      </c>
      <c r="P566" s="12">
        <f>IF(Raw_Data!AL569&lt;&gt;"",Raw_Data!AL569,Raw_Data!R569)</f>
        <v>0</v>
      </c>
      <c r="Q566" s="12">
        <f t="shared" si="74"/>
        <v>0</v>
      </c>
      <c r="R566" s="12" t="str">
        <f>IF(Raw_Data!AM569="","",Raw_Data!AM569)</f>
        <v/>
      </c>
      <c r="S566" s="12" t="str">
        <f t="shared" si="75"/>
        <v/>
      </c>
      <c r="T566" s="12" t="str">
        <f>IF(Raw_Data!AN569="","",Raw_Data!AN569)</f>
        <v/>
      </c>
      <c r="U566" s="12" t="str">
        <f t="shared" si="76"/>
        <v/>
      </c>
      <c r="V566" s="12" t="str">
        <f>IF(Raw_Data!AP569="","",IF(Raw_Data!AP569="oui",1,0))</f>
        <v/>
      </c>
      <c r="W566" s="12" t="str">
        <f>IF(Raw_Data!AQ569="","",IF(Raw_Data!AQ569="oui",1,0))</f>
        <v/>
      </c>
      <c r="X566" s="12" t="str">
        <f>IF(Raw_Data!AR569="","",IF(Raw_Data!AR569="oui",1,0))</f>
        <v/>
      </c>
      <c r="Y566" s="12" t="str">
        <f>IF(Raw_Data!AS569="","",IF(Raw_Data!AS569="oui",1,0))</f>
        <v/>
      </c>
      <c r="Z566" s="12" t="str">
        <f>IF(Raw_Data!V569="","",IF(Raw_Data!V569="oui",1,0))</f>
        <v/>
      </c>
      <c r="AA566" s="12" t="str">
        <f>IF(Raw_Data!W569="","",IF(Raw_Data!W569="oui",1,0))</f>
        <v/>
      </c>
      <c r="AB566" s="12" t="str">
        <f>IF(Raw_Data!Q569="","",IF(Raw_Data!Q569="oui",1,0))</f>
        <v/>
      </c>
      <c r="AC566" s="12">
        <f>Raw_Data!AF569</f>
        <v>0</v>
      </c>
      <c r="AD566" s="12" t="str">
        <f t="shared" si="77"/>
        <v/>
      </c>
      <c r="AE566" s="12" t="str">
        <f t="shared" si="78"/>
        <v/>
      </c>
      <c r="AF566" s="12" t="str">
        <f t="shared" si="79"/>
        <v/>
      </c>
      <c r="AG566" s="12">
        <f t="shared" si="80"/>
        <v>0</v>
      </c>
    </row>
    <row r="567" spans="1:33" ht="15" customHeight="1" x14ac:dyDescent="0.25">
      <c r="A567" s="12" t="str">
        <f>IF(Raw_Data!B570="","",Raw_Data!B570)</f>
        <v/>
      </c>
      <c r="B567" s="12">
        <f>IF(Raw_Data!X570&lt;&gt;"",Raw_Data!X570,Raw_Data!C570)</f>
        <v>0</v>
      </c>
      <c r="C567" s="12" t="str">
        <f>IF(Raw_Data!G570="","",Raw_Data!G570)</f>
        <v/>
      </c>
      <c r="D567" s="12" t="str">
        <f>IF(Raw_Data!H570="","",Raw_Data!H570)</f>
        <v/>
      </c>
      <c r="E567" s="12" t="str">
        <f>IF(Raw_Data!I570="","",Raw_Data!I570)</f>
        <v/>
      </c>
      <c r="F567" s="12" t="str">
        <f>IF(Raw_Data!J570="","",Raw_Data!J570)</f>
        <v/>
      </c>
      <c r="G567" s="12" t="str">
        <f>IF(Raw_Data!AH570&lt;&gt;"",Raw_Data!AH570,IF(Raw_Data!K570&lt;&gt;"",Raw_Data!K570,""))</f>
        <v/>
      </c>
      <c r="H567" s="12" t="str">
        <f>IF(Raw_Data!AI570&lt;&gt;"",Raw_Data!AI570,IF(Raw_Data!L570&lt;&gt;"",Raw_Data!L570,""))</f>
        <v/>
      </c>
      <c r="I567" s="12" t="str">
        <f t="shared" si="72"/>
        <v/>
      </c>
      <c r="J567" s="12" t="str">
        <f>IF(Raw_Data!M570="","",Raw_Data!M570)</f>
        <v/>
      </c>
      <c r="K567" s="12">
        <f>IF(Raw_Data!AJ570&lt;&gt;"",Raw_Data!AJ570,Raw_Data!N570)</f>
        <v>0</v>
      </c>
      <c r="L567" s="12">
        <f t="shared" si="73"/>
        <v>1</v>
      </c>
      <c r="M567" s="12" t="str">
        <f>IF(Raw_Data!AK570="","",Raw_Data!AK570)</f>
        <v/>
      </c>
      <c r="N567" s="12" t="str">
        <f>IF(Raw_Data!T570="","",Raw_Data!T570)</f>
        <v/>
      </c>
      <c r="O567" s="12" t="str">
        <f>IF(Raw_Data!AB570&lt;&gt;"",Raw_Data!AB570,IF(N567="tres_insatisfait",1,IF(N567="insatisfait",2,IF(N567="neutre",3,IF(N567="satisfait",4,IF(N567="tres_satisfait",5,""))))))</f>
        <v/>
      </c>
      <c r="P567" s="12">
        <f>IF(Raw_Data!AL570&lt;&gt;"",Raw_Data!AL570,Raw_Data!R570)</f>
        <v>0</v>
      </c>
      <c r="Q567" s="12">
        <f t="shared" si="74"/>
        <v>0</v>
      </c>
      <c r="R567" s="12" t="str">
        <f>IF(Raw_Data!AM570="","",Raw_Data!AM570)</f>
        <v/>
      </c>
      <c r="S567" s="12" t="str">
        <f t="shared" si="75"/>
        <v/>
      </c>
      <c r="T567" s="12" t="str">
        <f>IF(Raw_Data!AN570="","",Raw_Data!AN570)</f>
        <v/>
      </c>
      <c r="U567" s="12" t="str">
        <f t="shared" si="76"/>
        <v/>
      </c>
      <c r="V567" s="12" t="str">
        <f>IF(Raw_Data!AP570="","",IF(Raw_Data!AP570="oui",1,0))</f>
        <v/>
      </c>
      <c r="W567" s="12" t="str">
        <f>IF(Raw_Data!AQ570="","",IF(Raw_Data!AQ570="oui",1,0))</f>
        <v/>
      </c>
      <c r="X567" s="12" t="str">
        <f>IF(Raw_Data!AR570="","",IF(Raw_Data!AR570="oui",1,0))</f>
        <v/>
      </c>
      <c r="Y567" s="12" t="str">
        <f>IF(Raw_Data!AS570="","",IF(Raw_Data!AS570="oui",1,0))</f>
        <v/>
      </c>
      <c r="Z567" s="12" t="str">
        <f>IF(Raw_Data!V570="","",IF(Raw_Data!V570="oui",1,0))</f>
        <v/>
      </c>
      <c r="AA567" s="12" t="str">
        <f>IF(Raw_Data!W570="","",IF(Raw_Data!W570="oui",1,0))</f>
        <v/>
      </c>
      <c r="AB567" s="12" t="str">
        <f>IF(Raw_Data!Q570="","",IF(Raw_Data!Q570="oui",1,0))</f>
        <v/>
      </c>
      <c r="AC567" s="12">
        <f>Raw_Data!AF570</f>
        <v>0</v>
      </c>
      <c r="AD567" s="12" t="str">
        <f t="shared" si="77"/>
        <v/>
      </c>
      <c r="AE567" s="12" t="str">
        <f t="shared" si="78"/>
        <v/>
      </c>
      <c r="AF567" s="12" t="str">
        <f t="shared" si="79"/>
        <v/>
      </c>
      <c r="AG567" s="12">
        <f t="shared" si="80"/>
        <v>0</v>
      </c>
    </row>
    <row r="568" spans="1:33" ht="15" customHeight="1" x14ac:dyDescent="0.25">
      <c r="A568" s="12" t="str">
        <f>IF(Raw_Data!B571="","",Raw_Data!B571)</f>
        <v/>
      </c>
      <c r="B568" s="12">
        <f>IF(Raw_Data!X571&lt;&gt;"",Raw_Data!X571,Raw_Data!C571)</f>
        <v>0</v>
      </c>
      <c r="C568" s="12" t="str">
        <f>IF(Raw_Data!G571="","",Raw_Data!G571)</f>
        <v/>
      </c>
      <c r="D568" s="12" t="str">
        <f>IF(Raw_Data!H571="","",Raw_Data!H571)</f>
        <v/>
      </c>
      <c r="E568" s="12" t="str">
        <f>IF(Raw_Data!I571="","",Raw_Data!I571)</f>
        <v/>
      </c>
      <c r="F568" s="12" t="str">
        <f>IF(Raw_Data!J571="","",Raw_Data!J571)</f>
        <v/>
      </c>
      <c r="G568" s="12" t="str">
        <f>IF(Raw_Data!AH571&lt;&gt;"",Raw_Data!AH571,IF(Raw_Data!K571&lt;&gt;"",Raw_Data!K571,""))</f>
        <v/>
      </c>
      <c r="H568" s="12" t="str">
        <f>IF(Raw_Data!AI571&lt;&gt;"",Raw_Data!AI571,IF(Raw_Data!L571&lt;&gt;"",Raw_Data!L571,""))</f>
        <v/>
      </c>
      <c r="I568" s="12" t="str">
        <f t="shared" si="72"/>
        <v/>
      </c>
      <c r="J568" s="12" t="str">
        <f>IF(Raw_Data!M571="","",Raw_Data!M571)</f>
        <v/>
      </c>
      <c r="K568" s="12">
        <f>IF(Raw_Data!AJ571&lt;&gt;"",Raw_Data!AJ571,Raw_Data!N571)</f>
        <v>0</v>
      </c>
      <c r="L568" s="12">
        <f t="shared" si="73"/>
        <v>1</v>
      </c>
      <c r="M568" s="12" t="str">
        <f>IF(Raw_Data!AK571="","",Raw_Data!AK571)</f>
        <v/>
      </c>
      <c r="N568" s="12" t="str">
        <f>IF(Raw_Data!T571="","",Raw_Data!T571)</f>
        <v/>
      </c>
      <c r="O568" s="12" t="str">
        <f>IF(Raw_Data!AB571&lt;&gt;"",Raw_Data!AB571,IF(N568="tres_insatisfait",1,IF(N568="insatisfait",2,IF(N568="neutre",3,IF(N568="satisfait",4,IF(N568="tres_satisfait",5,""))))))</f>
        <v/>
      </c>
      <c r="P568" s="12">
        <f>IF(Raw_Data!AL571&lt;&gt;"",Raw_Data!AL571,Raw_Data!R571)</f>
        <v>0</v>
      </c>
      <c r="Q568" s="12">
        <f t="shared" si="74"/>
        <v>0</v>
      </c>
      <c r="R568" s="12" t="str">
        <f>IF(Raw_Data!AM571="","",Raw_Data!AM571)</f>
        <v/>
      </c>
      <c r="S568" s="12" t="str">
        <f t="shared" si="75"/>
        <v/>
      </c>
      <c r="T568" s="12" t="str">
        <f>IF(Raw_Data!AN571="","",Raw_Data!AN571)</f>
        <v/>
      </c>
      <c r="U568" s="12" t="str">
        <f t="shared" si="76"/>
        <v/>
      </c>
      <c r="V568" s="12" t="str">
        <f>IF(Raw_Data!AP571="","",IF(Raw_Data!AP571="oui",1,0))</f>
        <v/>
      </c>
      <c r="W568" s="12" t="str">
        <f>IF(Raw_Data!AQ571="","",IF(Raw_Data!AQ571="oui",1,0))</f>
        <v/>
      </c>
      <c r="X568" s="12" t="str">
        <f>IF(Raw_Data!AR571="","",IF(Raw_Data!AR571="oui",1,0))</f>
        <v/>
      </c>
      <c r="Y568" s="12" t="str">
        <f>IF(Raw_Data!AS571="","",IF(Raw_Data!AS571="oui",1,0))</f>
        <v/>
      </c>
      <c r="Z568" s="12" t="str">
        <f>IF(Raw_Data!V571="","",IF(Raw_Data!V571="oui",1,0))</f>
        <v/>
      </c>
      <c r="AA568" s="12" t="str">
        <f>IF(Raw_Data!W571="","",IF(Raw_Data!W571="oui",1,0))</f>
        <v/>
      </c>
      <c r="AB568" s="12" t="str">
        <f>IF(Raw_Data!Q571="","",IF(Raw_Data!Q571="oui",1,0))</f>
        <v/>
      </c>
      <c r="AC568" s="12">
        <f>Raw_Data!AF571</f>
        <v>0</v>
      </c>
      <c r="AD568" s="12" t="str">
        <f t="shared" si="77"/>
        <v/>
      </c>
      <c r="AE568" s="12" t="str">
        <f t="shared" si="78"/>
        <v/>
      </c>
      <c r="AF568" s="12" t="str">
        <f t="shared" si="79"/>
        <v/>
      </c>
      <c r="AG568" s="12">
        <f t="shared" si="80"/>
        <v>0</v>
      </c>
    </row>
    <row r="569" spans="1:33" ht="15" customHeight="1" x14ac:dyDescent="0.25">
      <c r="A569" s="12" t="str">
        <f>IF(Raw_Data!B572="","",Raw_Data!B572)</f>
        <v/>
      </c>
      <c r="B569" s="12">
        <f>IF(Raw_Data!X572&lt;&gt;"",Raw_Data!X572,Raw_Data!C572)</f>
        <v>0</v>
      </c>
      <c r="C569" s="12" t="str">
        <f>IF(Raw_Data!G572="","",Raw_Data!G572)</f>
        <v/>
      </c>
      <c r="D569" s="12" t="str">
        <f>IF(Raw_Data!H572="","",Raw_Data!H572)</f>
        <v/>
      </c>
      <c r="E569" s="12" t="str">
        <f>IF(Raw_Data!I572="","",Raw_Data!I572)</f>
        <v/>
      </c>
      <c r="F569" s="12" t="str">
        <f>IF(Raw_Data!J572="","",Raw_Data!J572)</f>
        <v/>
      </c>
      <c r="G569" s="12" t="str">
        <f>IF(Raw_Data!AH572&lt;&gt;"",Raw_Data!AH572,IF(Raw_Data!K572&lt;&gt;"",Raw_Data!K572,""))</f>
        <v/>
      </c>
      <c r="H569" s="12" t="str">
        <f>IF(Raw_Data!AI572&lt;&gt;"",Raw_Data!AI572,IF(Raw_Data!L572&lt;&gt;"",Raw_Data!L572,""))</f>
        <v/>
      </c>
      <c r="I569" s="12" t="str">
        <f t="shared" si="72"/>
        <v/>
      </c>
      <c r="J569" s="12" t="str">
        <f>IF(Raw_Data!M572="","",Raw_Data!M572)</f>
        <v/>
      </c>
      <c r="K569" s="12">
        <f>IF(Raw_Data!AJ572&lt;&gt;"",Raw_Data!AJ572,Raw_Data!N572)</f>
        <v>0</v>
      </c>
      <c r="L569" s="12">
        <f t="shared" si="73"/>
        <v>1</v>
      </c>
      <c r="M569" s="12" t="str">
        <f>IF(Raw_Data!AK572="","",Raw_Data!AK572)</f>
        <v/>
      </c>
      <c r="N569" s="12" t="str">
        <f>IF(Raw_Data!T572="","",Raw_Data!T572)</f>
        <v/>
      </c>
      <c r="O569" s="12" t="str">
        <f>IF(Raw_Data!AB572&lt;&gt;"",Raw_Data!AB572,IF(N569="tres_insatisfait",1,IF(N569="insatisfait",2,IF(N569="neutre",3,IF(N569="satisfait",4,IF(N569="tres_satisfait",5,""))))))</f>
        <v/>
      </c>
      <c r="P569" s="12">
        <f>IF(Raw_Data!AL572&lt;&gt;"",Raw_Data!AL572,Raw_Data!R572)</f>
        <v>0</v>
      </c>
      <c r="Q569" s="12">
        <f t="shared" si="74"/>
        <v>0</v>
      </c>
      <c r="R569" s="12" t="str">
        <f>IF(Raw_Data!AM572="","",Raw_Data!AM572)</f>
        <v/>
      </c>
      <c r="S569" s="12" t="str">
        <f t="shared" si="75"/>
        <v/>
      </c>
      <c r="T569" s="12" t="str">
        <f>IF(Raw_Data!AN572="","",Raw_Data!AN572)</f>
        <v/>
      </c>
      <c r="U569" s="12" t="str">
        <f t="shared" si="76"/>
        <v/>
      </c>
      <c r="V569" s="12" t="str">
        <f>IF(Raw_Data!AP572="","",IF(Raw_Data!AP572="oui",1,0))</f>
        <v/>
      </c>
      <c r="W569" s="12" t="str">
        <f>IF(Raw_Data!AQ572="","",IF(Raw_Data!AQ572="oui",1,0))</f>
        <v/>
      </c>
      <c r="X569" s="12" t="str">
        <f>IF(Raw_Data!AR572="","",IF(Raw_Data!AR572="oui",1,0))</f>
        <v/>
      </c>
      <c r="Y569" s="12" t="str">
        <f>IF(Raw_Data!AS572="","",IF(Raw_Data!AS572="oui",1,0))</f>
        <v/>
      </c>
      <c r="Z569" s="12" t="str">
        <f>IF(Raw_Data!V572="","",IF(Raw_Data!V572="oui",1,0))</f>
        <v/>
      </c>
      <c r="AA569" s="12" t="str">
        <f>IF(Raw_Data!W572="","",IF(Raw_Data!W572="oui",1,0))</f>
        <v/>
      </c>
      <c r="AB569" s="12" t="str">
        <f>IF(Raw_Data!Q572="","",IF(Raw_Data!Q572="oui",1,0))</f>
        <v/>
      </c>
      <c r="AC569" s="12">
        <f>Raw_Data!AF572</f>
        <v>0</v>
      </c>
      <c r="AD569" s="12" t="str">
        <f t="shared" si="77"/>
        <v/>
      </c>
      <c r="AE569" s="12" t="str">
        <f t="shared" si="78"/>
        <v/>
      </c>
      <c r="AF569" s="12" t="str">
        <f t="shared" si="79"/>
        <v/>
      </c>
      <c r="AG569" s="12">
        <f t="shared" si="80"/>
        <v>0</v>
      </c>
    </row>
    <row r="570" spans="1:33" ht="15" customHeight="1" x14ac:dyDescent="0.25">
      <c r="A570" s="12" t="str">
        <f>IF(Raw_Data!B573="","",Raw_Data!B573)</f>
        <v/>
      </c>
      <c r="B570" s="12">
        <f>IF(Raw_Data!X573&lt;&gt;"",Raw_Data!X573,Raw_Data!C573)</f>
        <v>0</v>
      </c>
      <c r="C570" s="12" t="str">
        <f>IF(Raw_Data!G573="","",Raw_Data!G573)</f>
        <v/>
      </c>
      <c r="D570" s="12" t="str">
        <f>IF(Raw_Data!H573="","",Raw_Data!H573)</f>
        <v/>
      </c>
      <c r="E570" s="12" t="str">
        <f>IF(Raw_Data!I573="","",Raw_Data!I573)</f>
        <v/>
      </c>
      <c r="F570" s="12" t="str">
        <f>IF(Raw_Data!J573="","",Raw_Data!J573)</f>
        <v/>
      </c>
      <c r="G570" s="12" t="str">
        <f>IF(Raw_Data!AH573&lt;&gt;"",Raw_Data!AH573,IF(Raw_Data!K573&lt;&gt;"",Raw_Data!K573,""))</f>
        <v/>
      </c>
      <c r="H570" s="12" t="str">
        <f>IF(Raw_Data!AI573&lt;&gt;"",Raw_Data!AI573,IF(Raw_Data!L573&lt;&gt;"",Raw_Data!L573,""))</f>
        <v/>
      </c>
      <c r="I570" s="12" t="str">
        <f t="shared" si="72"/>
        <v/>
      </c>
      <c r="J570" s="12" t="str">
        <f>IF(Raw_Data!M573="","",Raw_Data!M573)</f>
        <v/>
      </c>
      <c r="K570" s="12">
        <f>IF(Raw_Data!AJ573&lt;&gt;"",Raw_Data!AJ573,Raw_Data!N573)</f>
        <v>0</v>
      </c>
      <c r="L570" s="12">
        <f t="shared" si="73"/>
        <v>1</v>
      </c>
      <c r="M570" s="12" t="str">
        <f>IF(Raw_Data!AK573="","",Raw_Data!AK573)</f>
        <v/>
      </c>
      <c r="N570" s="12" t="str">
        <f>IF(Raw_Data!T573="","",Raw_Data!T573)</f>
        <v/>
      </c>
      <c r="O570" s="12" t="str">
        <f>IF(Raw_Data!AB573&lt;&gt;"",Raw_Data!AB573,IF(N570="tres_insatisfait",1,IF(N570="insatisfait",2,IF(N570="neutre",3,IF(N570="satisfait",4,IF(N570="tres_satisfait",5,""))))))</f>
        <v/>
      </c>
      <c r="P570" s="12">
        <f>IF(Raw_Data!AL573&lt;&gt;"",Raw_Data!AL573,Raw_Data!R573)</f>
        <v>0</v>
      </c>
      <c r="Q570" s="12">
        <f t="shared" si="74"/>
        <v>0</v>
      </c>
      <c r="R570" s="12" t="str">
        <f>IF(Raw_Data!AM573="","",Raw_Data!AM573)</f>
        <v/>
      </c>
      <c r="S570" s="12" t="str">
        <f t="shared" si="75"/>
        <v/>
      </c>
      <c r="T570" s="12" t="str">
        <f>IF(Raw_Data!AN573="","",Raw_Data!AN573)</f>
        <v/>
      </c>
      <c r="U570" s="12" t="str">
        <f t="shared" si="76"/>
        <v/>
      </c>
      <c r="V570" s="12" t="str">
        <f>IF(Raw_Data!AP573="","",IF(Raw_Data!AP573="oui",1,0))</f>
        <v/>
      </c>
      <c r="W570" s="12" t="str">
        <f>IF(Raw_Data!AQ573="","",IF(Raw_Data!AQ573="oui",1,0))</f>
        <v/>
      </c>
      <c r="X570" s="12" t="str">
        <f>IF(Raw_Data!AR573="","",IF(Raw_Data!AR573="oui",1,0))</f>
        <v/>
      </c>
      <c r="Y570" s="12" t="str">
        <f>IF(Raw_Data!AS573="","",IF(Raw_Data!AS573="oui",1,0))</f>
        <v/>
      </c>
      <c r="Z570" s="12" t="str">
        <f>IF(Raw_Data!V573="","",IF(Raw_Data!V573="oui",1,0))</f>
        <v/>
      </c>
      <c r="AA570" s="12" t="str">
        <f>IF(Raw_Data!W573="","",IF(Raw_Data!W573="oui",1,0))</f>
        <v/>
      </c>
      <c r="AB570" s="12" t="str">
        <f>IF(Raw_Data!Q573="","",IF(Raw_Data!Q573="oui",1,0))</f>
        <v/>
      </c>
      <c r="AC570" s="12">
        <f>Raw_Data!AF573</f>
        <v>0</v>
      </c>
      <c r="AD570" s="12" t="str">
        <f t="shared" si="77"/>
        <v/>
      </c>
      <c r="AE570" s="12" t="str">
        <f t="shared" si="78"/>
        <v/>
      </c>
      <c r="AF570" s="12" t="str">
        <f t="shared" si="79"/>
        <v/>
      </c>
      <c r="AG570" s="12">
        <f t="shared" si="80"/>
        <v>0</v>
      </c>
    </row>
    <row r="571" spans="1:33" ht="15" customHeight="1" x14ac:dyDescent="0.25">
      <c r="A571" s="12" t="str">
        <f>IF(Raw_Data!B574="","",Raw_Data!B574)</f>
        <v/>
      </c>
      <c r="B571" s="12">
        <f>IF(Raw_Data!X574&lt;&gt;"",Raw_Data!X574,Raw_Data!C574)</f>
        <v>0</v>
      </c>
      <c r="C571" s="12" t="str">
        <f>IF(Raw_Data!G574="","",Raw_Data!G574)</f>
        <v/>
      </c>
      <c r="D571" s="12" t="str">
        <f>IF(Raw_Data!H574="","",Raw_Data!H574)</f>
        <v/>
      </c>
      <c r="E571" s="12" t="str">
        <f>IF(Raw_Data!I574="","",Raw_Data!I574)</f>
        <v/>
      </c>
      <c r="F571" s="12" t="str">
        <f>IF(Raw_Data!J574="","",Raw_Data!J574)</f>
        <v/>
      </c>
      <c r="G571" s="12" t="str">
        <f>IF(Raw_Data!AH574&lt;&gt;"",Raw_Data!AH574,IF(Raw_Data!K574&lt;&gt;"",Raw_Data!K574,""))</f>
        <v/>
      </c>
      <c r="H571" s="12" t="str">
        <f>IF(Raw_Data!AI574&lt;&gt;"",Raw_Data!AI574,IF(Raw_Data!L574&lt;&gt;"",Raw_Data!L574,""))</f>
        <v/>
      </c>
      <c r="I571" s="12" t="str">
        <f t="shared" si="72"/>
        <v/>
      </c>
      <c r="J571" s="12" t="str">
        <f>IF(Raw_Data!M574="","",Raw_Data!M574)</f>
        <v/>
      </c>
      <c r="K571" s="12">
        <f>IF(Raw_Data!AJ574&lt;&gt;"",Raw_Data!AJ574,Raw_Data!N574)</f>
        <v>0</v>
      </c>
      <c r="L571" s="12">
        <f t="shared" si="73"/>
        <v>1</v>
      </c>
      <c r="M571" s="12" t="str">
        <f>IF(Raw_Data!AK574="","",Raw_Data!AK574)</f>
        <v/>
      </c>
      <c r="N571" s="12" t="str">
        <f>IF(Raw_Data!T574="","",Raw_Data!T574)</f>
        <v/>
      </c>
      <c r="O571" s="12" t="str">
        <f>IF(Raw_Data!AB574&lt;&gt;"",Raw_Data!AB574,IF(N571="tres_insatisfait",1,IF(N571="insatisfait",2,IF(N571="neutre",3,IF(N571="satisfait",4,IF(N571="tres_satisfait",5,""))))))</f>
        <v/>
      </c>
      <c r="P571" s="12">
        <f>IF(Raw_Data!AL574&lt;&gt;"",Raw_Data!AL574,Raw_Data!R574)</f>
        <v>0</v>
      </c>
      <c r="Q571" s="12">
        <f t="shared" si="74"/>
        <v>0</v>
      </c>
      <c r="R571" s="12" t="str">
        <f>IF(Raw_Data!AM574="","",Raw_Data!AM574)</f>
        <v/>
      </c>
      <c r="S571" s="12" t="str">
        <f t="shared" si="75"/>
        <v/>
      </c>
      <c r="T571" s="12" t="str">
        <f>IF(Raw_Data!AN574="","",Raw_Data!AN574)</f>
        <v/>
      </c>
      <c r="U571" s="12" t="str">
        <f t="shared" si="76"/>
        <v/>
      </c>
      <c r="V571" s="12" t="str">
        <f>IF(Raw_Data!AP574="","",IF(Raw_Data!AP574="oui",1,0))</f>
        <v/>
      </c>
      <c r="W571" s="12" t="str">
        <f>IF(Raw_Data!AQ574="","",IF(Raw_Data!AQ574="oui",1,0))</f>
        <v/>
      </c>
      <c r="X571" s="12" t="str">
        <f>IF(Raw_Data!AR574="","",IF(Raw_Data!AR574="oui",1,0))</f>
        <v/>
      </c>
      <c r="Y571" s="12" t="str">
        <f>IF(Raw_Data!AS574="","",IF(Raw_Data!AS574="oui",1,0))</f>
        <v/>
      </c>
      <c r="Z571" s="12" t="str">
        <f>IF(Raw_Data!V574="","",IF(Raw_Data!V574="oui",1,0))</f>
        <v/>
      </c>
      <c r="AA571" s="12" t="str">
        <f>IF(Raw_Data!W574="","",IF(Raw_Data!W574="oui",1,0))</f>
        <v/>
      </c>
      <c r="AB571" s="12" t="str">
        <f>IF(Raw_Data!Q574="","",IF(Raw_Data!Q574="oui",1,0))</f>
        <v/>
      </c>
      <c r="AC571" s="12">
        <f>Raw_Data!AF574</f>
        <v>0</v>
      </c>
      <c r="AD571" s="12" t="str">
        <f t="shared" si="77"/>
        <v/>
      </c>
      <c r="AE571" s="12" t="str">
        <f t="shared" si="78"/>
        <v/>
      </c>
      <c r="AF571" s="12" t="str">
        <f t="shared" si="79"/>
        <v/>
      </c>
      <c r="AG571" s="12">
        <f t="shared" si="80"/>
        <v>0</v>
      </c>
    </row>
    <row r="572" spans="1:33" ht="15" customHeight="1" x14ac:dyDescent="0.25">
      <c r="A572" s="12" t="str">
        <f>IF(Raw_Data!B575="","",Raw_Data!B575)</f>
        <v/>
      </c>
      <c r="B572" s="12">
        <f>IF(Raw_Data!X575&lt;&gt;"",Raw_Data!X575,Raw_Data!C575)</f>
        <v>0</v>
      </c>
      <c r="C572" s="12" t="str">
        <f>IF(Raw_Data!G575="","",Raw_Data!G575)</f>
        <v/>
      </c>
      <c r="D572" s="12" t="str">
        <f>IF(Raw_Data!H575="","",Raw_Data!H575)</f>
        <v/>
      </c>
      <c r="E572" s="12" t="str">
        <f>IF(Raw_Data!I575="","",Raw_Data!I575)</f>
        <v/>
      </c>
      <c r="F572" s="12" t="str">
        <f>IF(Raw_Data!J575="","",Raw_Data!J575)</f>
        <v/>
      </c>
      <c r="G572" s="12" t="str">
        <f>IF(Raw_Data!AH575&lt;&gt;"",Raw_Data!AH575,IF(Raw_Data!K575&lt;&gt;"",Raw_Data!K575,""))</f>
        <v/>
      </c>
      <c r="H572" s="12" t="str">
        <f>IF(Raw_Data!AI575&lt;&gt;"",Raw_Data!AI575,IF(Raw_Data!L575&lt;&gt;"",Raw_Data!L575,""))</f>
        <v/>
      </c>
      <c r="I572" s="12" t="str">
        <f t="shared" si="72"/>
        <v/>
      </c>
      <c r="J572" s="12" t="str">
        <f>IF(Raw_Data!M575="","",Raw_Data!M575)</f>
        <v/>
      </c>
      <c r="K572" s="12">
        <f>IF(Raw_Data!AJ575&lt;&gt;"",Raw_Data!AJ575,Raw_Data!N575)</f>
        <v>0</v>
      </c>
      <c r="L572" s="12">
        <f t="shared" si="73"/>
        <v>1</v>
      </c>
      <c r="M572" s="12" t="str">
        <f>IF(Raw_Data!AK575="","",Raw_Data!AK575)</f>
        <v/>
      </c>
      <c r="N572" s="12" t="str">
        <f>IF(Raw_Data!T575="","",Raw_Data!T575)</f>
        <v/>
      </c>
      <c r="O572" s="12" t="str">
        <f>IF(Raw_Data!AB575&lt;&gt;"",Raw_Data!AB575,IF(N572="tres_insatisfait",1,IF(N572="insatisfait",2,IF(N572="neutre",3,IF(N572="satisfait",4,IF(N572="tres_satisfait",5,""))))))</f>
        <v/>
      </c>
      <c r="P572" s="12">
        <f>IF(Raw_Data!AL575&lt;&gt;"",Raw_Data!AL575,Raw_Data!R575)</f>
        <v>0</v>
      </c>
      <c r="Q572" s="12">
        <f t="shared" si="74"/>
        <v>0</v>
      </c>
      <c r="R572" s="12" t="str">
        <f>IF(Raw_Data!AM575="","",Raw_Data!AM575)</f>
        <v/>
      </c>
      <c r="S572" s="12" t="str">
        <f t="shared" si="75"/>
        <v/>
      </c>
      <c r="T572" s="12" t="str">
        <f>IF(Raw_Data!AN575="","",Raw_Data!AN575)</f>
        <v/>
      </c>
      <c r="U572" s="12" t="str">
        <f t="shared" si="76"/>
        <v/>
      </c>
      <c r="V572" s="12" t="str">
        <f>IF(Raw_Data!AP575="","",IF(Raw_Data!AP575="oui",1,0))</f>
        <v/>
      </c>
      <c r="W572" s="12" t="str">
        <f>IF(Raw_Data!AQ575="","",IF(Raw_Data!AQ575="oui",1,0))</f>
        <v/>
      </c>
      <c r="X572" s="12" t="str">
        <f>IF(Raw_Data!AR575="","",IF(Raw_Data!AR575="oui",1,0))</f>
        <v/>
      </c>
      <c r="Y572" s="12" t="str">
        <f>IF(Raw_Data!AS575="","",IF(Raw_Data!AS575="oui",1,0))</f>
        <v/>
      </c>
      <c r="Z572" s="12" t="str">
        <f>IF(Raw_Data!V575="","",IF(Raw_Data!V575="oui",1,0))</f>
        <v/>
      </c>
      <c r="AA572" s="12" t="str">
        <f>IF(Raw_Data!W575="","",IF(Raw_Data!W575="oui",1,0))</f>
        <v/>
      </c>
      <c r="AB572" s="12" t="str">
        <f>IF(Raw_Data!Q575="","",IF(Raw_Data!Q575="oui",1,0))</f>
        <v/>
      </c>
      <c r="AC572" s="12">
        <f>Raw_Data!AF575</f>
        <v>0</v>
      </c>
      <c r="AD572" s="12" t="str">
        <f t="shared" si="77"/>
        <v/>
      </c>
      <c r="AE572" s="12" t="str">
        <f t="shared" si="78"/>
        <v/>
      </c>
      <c r="AF572" s="12" t="str">
        <f t="shared" si="79"/>
        <v/>
      </c>
      <c r="AG572" s="12">
        <f t="shared" si="80"/>
        <v>0</v>
      </c>
    </row>
    <row r="573" spans="1:33" ht="15" customHeight="1" x14ac:dyDescent="0.25">
      <c r="A573" s="12" t="str">
        <f>IF(Raw_Data!B576="","",Raw_Data!B576)</f>
        <v/>
      </c>
      <c r="B573" s="12">
        <f>IF(Raw_Data!X576&lt;&gt;"",Raw_Data!X576,Raw_Data!C576)</f>
        <v>0</v>
      </c>
      <c r="C573" s="12" t="str">
        <f>IF(Raw_Data!G576="","",Raw_Data!G576)</f>
        <v/>
      </c>
      <c r="D573" s="12" t="str">
        <f>IF(Raw_Data!H576="","",Raw_Data!H576)</f>
        <v/>
      </c>
      <c r="E573" s="12" t="str">
        <f>IF(Raw_Data!I576="","",Raw_Data!I576)</f>
        <v/>
      </c>
      <c r="F573" s="12" t="str">
        <f>IF(Raw_Data!J576="","",Raw_Data!J576)</f>
        <v/>
      </c>
      <c r="G573" s="12" t="str">
        <f>IF(Raw_Data!AH576&lt;&gt;"",Raw_Data!AH576,IF(Raw_Data!K576&lt;&gt;"",Raw_Data!K576,""))</f>
        <v/>
      </c>
      <c r="H573" s="12" t="str">
        <f>IF(Raw_Data!AI576&lt;&gt;"",Raw_Data!AI576,IF(Raw_Data!L576&lt;&gt;"",Raw_Data!L576,""))</f>
        <v/>
      </c>
      <c r="I573" s="12" t="str">
        <f t="shared" si="72"/>
        <v/>
      </c>
      <c r="J573" s="12" t="str">
        <f>IF(Raw_Data!M576="","",Raw_Data!M576)</f>
        <v/>
      </c>
      <c r="K573" s="12">
        <f>IF(Raw_Data!AJ576&lt;&gt;"",Raw_Data!AJ576,Raw_Data!N576)</f>
        <v>0</v>
      </c>
      <c r="L573" s="12">
        <f t="shared" si="73"/>
        <v>1</v>
      </c>
      <c r="M573" s="12" t="str">
        <f>IF(Raw_Data!AK576="","",Raw_Data!AK576)</f>
        <v/>
      </c>
      <c r="N573" s="12" t="str">
        <f>IF(Raw_Data!T576="","",Raw_Data!T576)</f>
        <v/>
      </c>
      <c r="O573" s="12" t="str">
        <f>IF(Raw_Data!AB576&lt;&gt;"",Raw_Data!AB576,IF(N573="tres_insatisfait",1,IF(N573="insatisfait",2,IF(N573="neutre",3,IF(N573="satisfait",4,IF(N573="tres_satisfait",5,""))))))</f>
        <v/>
      </c>
      <c r="P573" s="12">
        <f>IF(Raw_Data!AL576&lt;&gt;"",Raw_Data!AL576,Raw_Data!R576)</f>
        <v>0</v>
      </c>
      <c r="Q573" s="12">
        <f t="shared" si="74"/>
        <v>0</v>
      </c>
      <c r="R573" s="12" t="str">
        <f>IF(Raw_Data!AM576="","",Raw_Data!AM576)</f>
        <v/>
      </c>
      <c r="S573" s="12" t="str">
        <f t="shared" si="75"/>
        <v/>
      </c>
      <c r="T573" s="12" t="str">
        <f>IF(Raw_Data!AN576="","",Raw_Data!AN576)</f>
        <v/>
      </c>
      <c r="U573" s="12" t="str">
        <f t="shared" si="76"/>
        <v/>
      </c>
      <c r="V573" s="12" t="str">
        <f>IF(Raw_Data!AP576="","",IF(Raw_Data!AP576="oui",1,0))</f>
        <v/>
      </c>
      <c r="W573" s="12" t="str">
        <f>IF(Raw_Data!AQ576="","",IF(Raw_Data!AQ576="oui",1,0))</f>
        <v/>
      </c>
      <c r="X573" s="12" t="str">
        <f>IF(Raw_Data!AR576="","",IF(Raw_Data!AR576="oui",1,0))</f>
        <v/>
      </c>
      <c r="Y573" s="12" t="str">
        <f>IF(Raw_Data!AS576="","",IF(Raw_Data!AS576="oui",1,0))</f>
        <v/>
      </c>
      <c r="Z573" s="12" t="str">
        <f>IF(Raw_Data!V576="","",IF(Raw_Data!V576="oui",1,0))</f>
        <v/>
      </c>
      <c r="AA573" s="12" t="str">
        <f>IF(Raw_Data!W576="","",IF(Raw_Data!W576="oui",1,0))</f>
        <v/>
      </c>
      <c r="AB573" s="12" t="str">
        <f>IF(Raw_Data!Q576="","",IF(Raw_Data!Q576="oui",1,0))</f>
        <v/>
      </c>
      <c r="AC573" s="12">
        <f>Raw_Data!AF576</f>
        <v>0</v>
      </c>
      <c r="AD573" s="12" t="str">
        <f t="shared" si="77"/>
        <v/>
      </c>
      <c r="AE573" s="12" t="str">
        <f t="shared" si="78"/>
        <v/>
      </c>
      <c r="AF573" s="12" t="str">
        <f t="shared" si="79"/>
        <v/>
      </c>
      <c r="AG573" s="12">
        <f t="shared" si="80"/>
        <v>0</v>
      </c>
    </row>
    <row r="574" spans="1:33" ht="15" customHeight="1" x14ac:dyDescent="0.25">
      <c r="A574" s="12" t="str">
        <f>IF(Raw_Data!B577="","",Raw_Data!B577)</f>
        <v/>
      </c>
      <c r="B574" s="12">
        <f>IF(Raw_Data!X577&lt;&gt;"",Raw_Data!X577,Raw_Data!C577)</f>
        <v>0</v>
      </c>
      <c r="C574" s="12" t="str">
        <f>IF(Raw_Data!G577="","",Raw_Data!G577)</f>
        <v/>
      </c>
      <c r="D574" s="12" t="str">
        <f>IF(Raw_Data!H577="","",Raw_Data!H577)</f>
        <v/>
      </c>
      <c r="E574" s="12" t="str">
        <f>IF(Raw_Data!I577="","",Raw_Data!I577)</f>
        <v/>
      </c>
      <c r="F574" s="12" t="str">
        <f>IF(Raw_Data!J577="","",Raw_Data!J577)</f>
        <v/>
      </c>
      <c r="G574" s="12" t="str">
        <f>IF(Raw_Data!AH577&lt;&gt;"",Raw_Data!AH577,IF(Raw_Data!K577&lt;&gt;"",Raw_Data!K577,""))</f>
        <v/>
      </c>
      <c r="H574" s="12" t="str">
        <f>IF(Raw_Data!AI577&lt;&gt;"",Raw_Data!AI577,IF(Raw_Data!L577&lt;&gt;"",Raw_Data!L577,""))</f>
        <v/>
      </c>
      <c r="I574" s="12" t="str">
        <f t="shared" si="72"/>
        <v/>
      </c>
      <c r="J574" s="12" t="str">
        <f>IF(Raw_Data!M577="","",Raw_Data!M577)</f>
        <v/>
      </c>
      <c r="K574" s="12">
        <f>IF(Raw_Data!AJ577&lt;&gt;"",Raw_Data!AJ577,Raw_Data!N577)</f>
        <v>0</v>
      </c>
      <c r="L574" s="12">
        <f t="shared" si="73"/>
        <v>1</v>
      </c>
      <c r="M574" s="12" t="str">
        <f>IF(Raw_Data!AK577="","",Raw_Data!AK577)</f>
        <v/>
      </c>
      <c r="N574" s="12" t="str">
        <f>IF(Raw_Data!T577="","",Raw_Data!T577)</f>
        <v/>
      </c>
      <c r="O574" s="12" t="str">
        <f>IF(Raw_Data!AB577&lt;&gt;"",Raw_Data!AB577,IF(N574="tres_insatisfait",1,IF(N574="insatisfait",2,IF(N574="neutre",3,IF(N574="satisfait",4,IF(N574="tres_satisfait",5,""))))))</f>
        <v/>
      </c>
      <c r="P574" s="12">
        <f>IF(Raw_Data!AL577&lt;&gt;"",Raw_Data!AL577,Raw_Data!R577)</f>
        <v>0</v>
      </c>
      <c r="Q574" s="12">
        <f t="shared" si="74"/>
        <v>0</v>
      </c>
      <c r="R574" s="12" t="str">
        <f>IF(Raw_Data!AM577="","",Raw_Data!AM577)</f>
        <v/>
      </c>
      <c r="S574" s="12" t="str">
        <f t="shared" si="75"/>
        <v/>
      </c>
      <c r="T574" s="12" t="str">
        <f>IF(Raw_Data!AN577="","",Raw_Data!AN577)</f>
        <v/>
      </c>
      <c r="U574" s="12" t="str">
        <f t="shared" si="76"/>
        <v/>
      </c>
      <c r="V574" s="12" t="str">
        <f>IF(Raw_Data!AP577="","",IF(Raw_Data!AP577="oui",1,0))</f>
        <v/>
      </c>
      <c r="W574" s="12" t="str">
        <f>IF(Raw_Data!AQ577="","",IF(Raw_Data!AQ577="oui",1,0))</f>
        <v/>
      </c>
      <c r="X574" s="12" t="str">
        <f>IF(Raw_Data!AR577="","",IF(Raw_Data!AR577="oui",1,0))</f>
        <v/>
      </c>
      <c r="Y574" s="12" t="str">
        <f>IF(Raw_Data!AS577="","",IF(Raw_Data!AS577="oui",1,0))</f>
        <v/>
      </c>
      <c r="Z574" s="12" t="str">
        <f>IF(Raw_Data!V577="","",IF(Raw_Data!V577="oui",1,0))</f>
        <v/>
      </c>
      <c r="AA574" s="12" t="str">
        <f>IF(Raw_Data!W577="","",IF(Raw_Data!W577="oui",1,0))</f>
        <v/>
      </c>
      <c r="AB574" s="12" t="str">
        <f>IF(Raw_Data!Q577="","",IF(Raw_Data!Q577="oui",1,0))</f>
        <v/>
      </c>
      <c r="AC574" s="12">
        <f>Raw_Data!AF577</f>
        <v>0</v>
      </c>
      <c r="AD574" s="12" t="str">
        <f t="shared" si="77"/>
        <v/>
      </c>
      <c r="AE574" s="12" t="str">
        <f t="shared" si="78"/>
        <v/>
      </c>
      <c r="AF574" s="12" t="str">
        <f t="shared" si="79"/>
        <v/>
      </c>
      <c r="AG574" s="12">
        <f t="shared" si="80"/>
        <v>0</v>
      </c>
    </row>
    <row r="575" spans="1:33" ht="15" customHeight="1" x14ac:dyDescent="0.25">
      <c r="A575" s="12" t="str">
        <f>IF(Raw_Data!B578="","",Raw_Data!B578)</f>
        <v/>
      </c>
      <c r="B575" s="12">
        <f>IF(Raw_Data!X578&lt;&gt;"",Raw_Data!X578,Raw_Data!C578)</f>
        <v>0</v>
      </c>
      <c r="C575" s="12" t="str">
        <f>IF(Raw_Data!G578="","",Raw_Data!G578)</f>
        <v/>
      </c>
      <c r="D575" s="12" t="str">
        <f>IF(Raw_Data!H578="","",Raw_Data!H578)</f>
        <v/>
      </c>
      <c r="E575" s="12" t="str">
        <f>IF(Raw_Data!I578="","",Raw_Data!I578)</f>
        <v/>
      </c>
      <c r="F575" s="12" t="str">
        <f>IF(Raw_Data!J578="","",Raw_Data!J578)</f>
        <v/>
      </c>
      <c r="G575" s="12" t="str">
        <f>IF(Raw_Data!AH578&lt;&gt;"",Raw_Data!AH578,IF(Raw_Data!K578&lt;&gt;"",Raw_Data!K578,""))</f>
        <v/>
      </c>
      <c r="H575" s="12" t="str">
        <f>IF(Raw_Data!AI578&lt;&gt;"",Raw_Data!AI578,IF(Raw_Data!L578&lt;&gt;"",Raw_Data!L578,""))</f>
        <v/>
      </c>
      <c r="I575" s="12" t="str">
        <f t="shared" si="72"/>
        <v/>
      </c>
      <c r="J575" s="12" t="str">
        <f>IF(Raw_Data!M578="","",Raw_Data!M578)</f>
        <v/>
      </c>
      <c r="K575" s="12">
        <f>IF(Raw_Data!AJ578&lt;&gt;"",Raw_Data!AJ578,Raw_Data!N578)</f>
        <v>0</v>
      </c>
      <c r="L575" s="12">
        <f t="shared" si="73"/>
        <v>1</v>
      </c>
      <c r="M575" s="12" t="str">
        <f>IF(Raw_Data!AK578="","",Raw_Data!AK578)</f>
        <v/>
      </c>
      <c r="N575" s="12" t="str">
        <f>IF(Raw_Data!T578="","",Raw_Data!T578)</f>
        <v/>
      </c>
      <c r="O575" s="12" t="str">
        <f>IF(Raw_Data!AB578&lt;&gt;"",Raw_Data!AB578,IF(N575="tres_insatisfait",1,IF(N575="insatisfait",2,IF(N575="neutre",3,IF(N575="satisfait",4,IF(N575="tres_satisfait",5,""))))))</f>
        <v/>
      </c>
      <c r="P575" s="12">
        <f>IF(Raw_Data!AL578&lt;&gt;"",Raw_Data!AL578,Raw_Data!R578)</f>
        <v>0</v>
      </c>
      <c r="Q575" s="12">
        <f t="shared" si="74"/>
        <v>0</v>
      </c>
      <c r="R575" s="12" t="str">
        <f>IF(Raw_Data!AM578="","",Raw_Data!AM578)</f>
        <v/>
      </c>
      <c r="S575" s="12" t="str">
        <f t="shared" si="75"/>
        <v/>
      </c>
      <c r="T575" s="12" t="str">
        <f>IF(Raw_Data!AN578="","",Raw_Data!AN578)</f>
        <v/>
      </c>
      <c r="U575" s="12" t="str">
        <f t="shared" si="76"/>
        <v/>
      </c>
      <c r="V575" s="12" t="str">
        <f>IF(Raw_Data!AP578="","",IF(Raw_Data!AP578="oui",1,0))</f>
        <v/>
      </c>
      <c r="W575" s="12" t="str">
        <f>IF(Raw_Data!AQ578="","",IF(Raw_Data!AQ578="oui",1,0))</f>
        <v/>
      </c>
      <c r="X575" s="12" t="str">
        <f>IF(Raw_Data!AR578="","",IF(Raw_Data!AR578="oui",1,0))</f>
        <v/>
      </c>
      <c r="Y575" s="12" t="str">
        <f>IF(Raw_Data!AS578="","",IF(Raw_Data!AS578="oui",1,0))</f>
        <v/>
      </c>
      <c r="Z575" s="12" t="str">
        <f>IF(Raw_Data!V578="","",IF(Raw_Data!V578="oui",1,0))</f>
        <v/>
      </c>
      <c r="AA575" s="12" t="str">
        <f>IF(Raw_Data!W578="","",IF(Raw_Data!W578="oui",1,0))</f>
        <v/>
      </c>
      <c r="AB575" s="12" t="str">
        <f>IF(Raw_Data!Q578="","",IF(Raw_Data!Q578="oui",1,0))</f>
        <v/>
      </c>
      <c r="AC575" s="12">
        <f>Raw_Data!AF578</f>
        <v>0</v>
      </c>
      <c r="AD575" s="12" t="str">
        <f t="shared" si="77"/>
        <v/>
      </c>
      <c r="AE575" s="12" t="str">
        <f t="shared" si="78"/>
        <v/>
      </c>
      <c r="AF575" s="12" t="str">
        <f t="shared" si="79"/>
        <v/>
      </c>
      <c r="AG575" s="12">
        <f t="shared" si="80"/>
        <v>0</v>
      </c>
    </row>
    <row r="576" spans="1:33" ht="15" customHeight="1" x14ac:dyDescent="0.25">
      <c r="A576" s="12" t="str">
        <f>IF(Raw_Data!B579="","",Raw_Data!B579)</f>
        <v/>
      </c>
      <c r="B576" s="12">
        <f>IF(Raw_Data!X579&lt;&gt;"",Raw_Data!X579,Raw_Data!C579)</f>
        <v>0</v>
      </c>
      <c r="C576" s="12" t="str">
        <f>IF(Raw_Data!G579="","",Raw_Data!G579)</f>
        <v/>
      </c>
      <c r="D576" s="12" t="str">
        <f>IF(Raw_Data!H579="","",Raw_Data!H579)</f>
        <v/>
      </c>
      <c r="E576" s="12" t="str">
        <f>IF(Raw_Data!I579="","",Raw_Data!I579)</f>
        <v/>
      </c>
      <c r="F576" s="12" t="str">
        <f>IF(Raw_Data!J579="","",Raw_Data!J579)</f>
        <v/>
      </c>
      <c r="G576" s="12" t="str">
        <f>IF(Raw_Data!AH579&lt;&gt;"",Raw_Data!AH579,IF(Raw_Data!K579&lt;&gt;"",Raw_Data!K579,""))</f>
        <v/>
      </c>
      <c r="H576" s="12" t="str">
        <f>IF(Raw_Data!AI579&lt;&gt;"",Raw_Data!AI579,IF(Raw_Data!L579&lt;&gt;"",Raw_Data!L579,""))</f>
        <v/>
      </c>
      <c r="I576" s="12" t="str">
        <f t="shared" si="72"/>
        <v/>
      </c>
      <c r="J576" s="12" t="str">
        <f>IF(Raw_Data!M579="","",Raw_Data!M579)</f>
        <v/>
      </c>
      <c r="K576" s="12">
        <f>IF(Raw_Data!AJ579&lt;&gt;"",Raw_Data!AJ579,Raw_Data!N579)</f>
        <v>0</v>
      </c>
      <c r="L576" s="12">
        <f t="shared" si="73"/>
        <v>1</v>
      </c>
      <c r="M576" s="12" t="str">
        <f>IF(Raw_Data!AK579="","",Raw_Data!AK579)</f>
        <v/>
      </c>
      <c r="N576" s="12" t="str">
        <f>IF(Raw_Data!T579="","",Raw_Data!T579)</f>
        <v/>
      </c>
      <c r="O576" s="12" t="str">
        <f>IF(Raw_Data!AB579&lt;&gt;"",Raw_Data!AB579,IF(N576="tres_insatisfait",1,IF(N576="insatisfait",2,IF(N576="neutre",3,IF(N576="satisfait",4,IF(N576="tres_satisfait",5,""))))))</f>
        <v/>
      </c>
      <c r="P576" s="12">
        <f>IF(Raw_Data!AL579&lt;&gt;"",Raw_Data!AL579,Raw_Data!R579)</f>
        <v>0</v>
      </c>
      <c r="Q576" s="12">
        <f t="shared" si="74"/>
        <v>0</v>
      </c>
      <c r="R576" s="12" t="str">
        <f>IF(Raw_Data!AM579="","",Raw_Data!AM579)</f>
        <v/>
      </c>
      <c r="S576" s="12" t="str">
        <f t="shared" si="75"/>
        <v/>
      </c>
      <c r="T576" s="12" t="str">
        <f>IF(Raw_Data!AN579="","",Raw_Data!AN579)</f>
        <v/>
      </c>
      <c r="U576" s="12" t="str">
        <f t="shared" si="76"/>
        <v/>
      </c>
      <c r="V576" s="12" t="str">
        <f>IF(Raw_Data!AP579="","",IF(Raw_Data!AP579="oui",1,0))</f>
        <v/>
      </c>
      <c r="W576" s="12" t="str">
        <f>IF(Raw_Data!AQ579="","",IF(Raw_Data!AQ579="oui",1,0))</f>
        <v/>
      </c>
      <c r="X576" s="12" t="str">
        <f>IF(Raw_Data!AR579="","",IF(Raw_Data!AR579="oui",1,0))</f>
        <v/>
      </c>
      <c r="Y576" s="12" t="str">
        <f>IF(Raw_Data!AS579="","",IF(Raw_Data!AS579="oui",1,0))</f>
        <v/>
      </c>
      <c r="Z576" s="12" t="str">
        <f>IF(Raw_Data!V579="","",IF(Raw_Data!V579="oui",1,0))</f>
        <v/>
      </c>
      <c r="AA576" s="12" t="str">
        <f>IF(Raw_Data!W579="","",IF(Raw_Data!W579="oui",1,0))</f>
        <v/>
      </c>
      <c r="AB576" s="12" t="str">
        <f>IF(Raw_Data!Q579="","",IF(Raw_Data!Q579="oui",1,0))</f>
        <v/>
      </c>
      <c r="AC576" s="12">
        <f>Raw_Data!AF579</f>
        <v>0</v>
      </c>
      <c r="AD576" s="12" t="str">
        <f t="shared" si="77"/>
        <v/>
      </c>
      <c r="AE576" s="12" t="str">
        <f t="shared" si="78"/>
        <v/>
      </c>
      <c r="AF576" s="12" t="str">
        <f t="shared" si="79"/>
        <v/>
      </c>
      <c r="AG576" s="12">
        <f t="shared" si="80"/>
        <v>0</v>
      </c>
    </row>
    <row r="577" spans="1:33" ht="15" customHeight="1" x14ac:dyDescent="0.25">
      <c r="A577" s="12" t="str">
        <f>IF(Raw_Data!B580="","",Raw_Data!B580)</f>
        <v/>
      </c>
      <c r="B577" s="12">
        <f>IF(Raw_Data!X580&lt;&gt;"",Raw_Data!X580,Raw_Data!C580)</f>
        <v>0</v>
      </c>
      <c r="C577" s="12" t="str">
        <f>IF(Raw_Data!G580="","",Raw_Data!G580)</f>
        <v/>
      </c>
      <c r="D577" s="12" t="str">
        <f>IF(Raw_Data!H580="","",Raw_Data!H580)</f>
        <v/>
      </c>
      <c r="E577" s="12" t="str">
        <f>IF(Raw_Data!I580="","",Raw_Data!I580)</f>
        <v/>
      </c>
      <c r="F577" s="12" t="str">
        <f>IF(Raw_Data!J580="","",Raw_Data!J580)</f>
        <v/>
      </c>
      <c r="G577" s="12" t="str">
        <f>IF(Raw_Data!AH580&lt;&gt;"",Raw_Data!AH580,IF(Raw_Data!K580&lt;&gt;"",Raw_Data!K580,""))</f>
        <v/>
      </c>
      <c r="H577" s="12" t="str">
        <f>IF(Raw_Data!AI580&lt;&gt;"",Raw_Data!AI580,IF(Raw_Data!L580&lt;&gt;"",Raw_Data!L580,""))</f>
        <v/>
      </c>
      <c r="I577" s="12" t="str">
        <f t="shared" si="72"/>
        <v/>
      </c>
      <c r="J577" s="12" t="str">
        <f>IF(Raw_Data!M580="","",Raw_Data!M580)</f>
        <v/>
      </c>
      <c r="K577" s="12">
        <f>IF(Raw_Data!AJ580&lt;&gt;"",Raw_Data!AJ580,Raw_Data!N580)</f>
        <v>0</v>
      </c>
      <c r="L577" s="12">
        <f t="shared" si="73"/>
        <v>1</v>
      </c>
      <c r="M577" s="12" t="str">
        <f>IF(Raw_Data!AK580="","",Raw_Data!AK580)</f>
        <v/>
      </c>
      <c r="N577" s="12" t="str">
        <f>IF(Raw_Data!T580="","",Raw_Data!T580)</f>
        <v/>
      </c>
      <c r="O577" s="12" t="str">
        <f>IF(Raw_Data!AB580&lt;&gt;"",Raw_Data!AB580,IF(N577="tres_insatisfait",1,IF(N577="insatisfait",2,IF(N577="neutre",3,IF(N577="satisfait",4,IF(N577="tres_satisfait",5,""))))))</f>
        <v/>
      </c>
      <c r="P577" s="12">
        <f>IF(Raw_Data!AL580&lt;&gt;"",Raw_Data!AL580,Raw_Data!R580)</f>
        <v>0</v>
      </c>
      <c r="Q577" s="12">
        <f t="shared" si="74"/>
        <v>0</v>
      </c>
      <c r="R577" s="12" t="str">
        <f>IF(Raw_Data!AM580="","",Raw_Data!AM580)</f>
        <v/>
      </c>
      <c r="S577" s="12" t="str">
        <f t="shared" si="75"/>
        <v/>
      </c>
      <c r="T577" s="12" t="str">
        <f>IF(Raw_Data!AN580="","",Raw_Data!AN580)</f>
        <v/>
      </c>
      <c r="U577" s="12" t="str">
        <f t="shared" si="76"/>
        <v/>
      </c>
      <c r="V577" s="12" t="str">
        <f>IF(Raw_Data!AP580="","",IF(Raw_Data!AP580="oui",1,0))</f>
        <v/>
      </c>
      <c r="W577" s="12" t="str">
        <f>IF(Raw_Data!AQ580="","",IF(Raw_Data!AQ580="oui",1,0))</f>
        <v/>
      </c>
      <c r="X577" s="12" t="str">
        <f>IF(Raw_Data!AR580="","",IF(Raw_Data!AR580="oui",1,0))</f>
        <v/>
      </c>
      <c r="Y577" s="12" t="str">
        <f>IF(Raw_Data!AS580="","",IF(Raw_Data!AS580="oui",1,0))</f>
        <v/>
      </c>
      <c r="Z577" s="12" t="str">
        <f>IF(Raw_Data!V580="","",IF(Raw_Data!V580="oui",1,0))</f>
        <v/>
      </c>
      <c r="AA577" s="12" t="str">
        <f>IF(Raw_Data!W580="","",IF(Raw_Data!W580="oui",1,0))</f>
        <v/>
      </c>
      <c r="AB577" s="12" t="str">
        <f>IF(Raw_Data!Q580="","",IF(Raw_Data!Q580="oui",1,0))</f>
        <v/>
      </c>
      <c r="AC577" s="12">
        <f>Raw_Data!AF580</f>
        <v>0</v>
      </c>
      <c r="AD577" s="12" t="str">
        <f t="shared" si="77"/>
        <v/>
      </c>
      <c r="AE577" s="12" t="str">
        <f t="shared" si="78"/>
        <v/>
      </c>
      <c r="AF577" s="12" t="str">
        <f t="shared" si="79"/>
        <v/>
      </c>
      <c r="AG577" s="12">
        <f t="shared" si="80"/>
        <v>0</v>
      </c>
    </row>
    <row r="578" spans="1:33" ht="15" customHeight="1" x14ac:dyDescent="0.25">
      <c r="A578" s="12" t="str">
        <f>IF(Raw_Data!B581="","",Raw_Data!B581)</f>
        <v/>
      </c>
      <c r="B578" s="12">
        <f>IF(Raw_Data!X581&lt;&gt;"",Raw_Data!X581,Raw_Data!C581)</f>
        <v>0</v>
      </c>
      <c r="C578" s="12" t="str">
        <f>IF(Raw_Data!G581="","",Raw_Data!G581)</f>
        <v/>
      </c>
      <c r="D578" s="12" t="str">
        <f>IF(Raw_Data!H581="","",Raw_Data!H581)</f>
        <v/>
      </c>
      <c r="E578" s="12" t="str">
        <f>IF(Raw_Data!I581="","",Raw_Data!I581)</f>
        <v/>
      </c>
      <c r="F578" s="12" t="str">
        <f>IF(Raw_Data!J581="","",Raw_Data!J581)</f>
        <v/>
      </c>
      <c r="G578" s="12" t="str">
        <f>IF(Raw_Data!AH581&lt;&gt;"",Raw_Data!AH581,IF(Raw_Data!K581&lt;&gt;"",Raw_Data!K581,""))</f>
        <v/>
      </c>
      <c r="H578" s="12" t="str">
        <f>IF(Raw_Data!AI581&lt;&gt;"",Raw_Data!AI581,IF(Raw_Data!L581&lt;&gt;"",Raw_Data!L581,""))</f>
        <v/>
      </c>
      <c r="I578" s="12" t="str">
        <f t="shared" ref="I578:I641" si="81">IF(H578="","",IF(H578&lt;18,"&lt;18 ans",IF(H578&lt;60,"18-59 ans","60 ans et +")))</f>
        <v/>
      </c>
      <c r="J578" s="12" t="str">
        <f>IF(Raw_Data!M581="","",Raw_Data!M581)</f>
        <v/>
      </c>
      <c r="K578" s="12">
        <f>IF(Raw_Data!AJ581&lt;&gt;"",Raw_Data!AJ581,Raw_Data!N581)</f>
        <v>0</v>
      </c>
      <c r="L578" s="12">
        <f t="shared" ref="L578:L641" si="82">IF(K578="",0,1)</f>
        <v>1</v>
      </c>
      <c r="M578" s="12" t="str">
        <f>IF(Raw_Data!AK581="","",Raw_Data!AK581)</f>
        <v/>
      </c>
      <c r="N578" s="12" t="str">
        <f>IF(Raw_Data!T581="","",Raw_Data!T581)</f>
        <v/>
      </c>
      <c r="O578" s="12" t="str">
        <f>IF(Raw_Data!AB581&lt;&gt;"",Raw_Data!AB581,IF(N578="tres_insatisfait",1,IF(N578="insatisfait",2,IF(N578="neutre",3,IF(N578="satisfait",4,IF(N578="tres_satisfait",5,""))))))</f>
        <v/>
      </c>
      <c r="P578" s="12">
        <f>IF(Raw_Data!AL581&lt;&gt;"",Raw_Data!AL581,Raw_Data!R581)</f>
        <v>0</v>
      </c>
      <c r="Q578" s="12">
        <f t="shared" ref="Q578:Q641" si="83">IF(P578="","",IF(P578="oui",1,0))</f>
        <v>0</v>
      </c>
      <c r="R578" s="12" t="str">
        <f>IF(Raw_Data!AM581="","",Raw_Data!AM581)</f>
        <v/>
      </c>
      <c r="S578" s="12" t="str">
        <f t="shared" ref="S578:S641" si="84">IF(R578="","",IF(R578="oui",1,0))</f>
        <v/>
      </c>
      <c r="T578" s="12" t="str">
        <f>IF(Raw_Data!AN581="","",Raw_Data!AN581)</f>
        <v/>
      </c>
      <c r="U578" s="12" t="str">
        <f t="shared" ref="U578:U641" si="85">IF(T578="","",IF(T578="oui",1,0))</f>
        <v/>
      </c>
      <c r="V578" s="12" t="str">
        <f>IF(Raw_Data!AP581="","",IF(Raw_Data!AP581="oui",1,0))</f>
        <v/>
      </c>
      <c r="W578" s="12" t="str">
        <f>IF(Raw_Data!AQ581="","",IF(Raw_Data!AQ581="oui",1,0))</f>
        <v/>
      </c>
      <c r="X578" s="12" t="str">
        <f>IF(Raw_Data!AR581="","",IF(Raw_Data!AR581="oui",1,0))</f>
        <v/>
      </c>
      <c r="Y578" s="12" t="str">
        <f>IF(Raw_Data!AS581="","",IF(Raw_Data!AS581="oui",1,0))</f>
        <v/>
      </c>
      <c r="Z578" s="12" t="str">
        <f>IF(Raw_Data!V581="","",IF(Raw_Data!V581="oui",1,0))</f>
        <v/>
      </c>
      <c r="AA578" s="12" t="str">
        <f>IF(Raw_Data!W581="","",IF(Raw_Data!W581="oui",1,0))</f>
        <v/>
      </c>
      <c r="AB578" s="12" t="str">
        <f>IF(Raw_Data!Q581="","",IF(Raw_Data!Q581="oui",1,0))</f>
        <v/>
      </c>
      <c r="AC578" s="12">
        <f>Raw_Data!AF581</f>
        <v>0</v>
      </c>
      <c r="AD578" s="12" t="str">
        <f t="shared" ref="AD578:AD641" si="86">IF(A578="","",F578&amp;"|"&amp;E578&amp;"|"&amp;TEXT(B578,"YYYY-MM-DD"))</f>
        <v/>
      </c>
      <c r="AE578" s="12" t="str">
        <f t="shared" ref="AE578:AE641" si="87">IF(AD578="","",IF(COUNTIF($AD$2:$AD$1000,AD578)&gt;1,1,0))</f>
        <v/>
      </c>
      <c r="AF578" s="12" t="str">
        <f t="shared" ref="AF578:AF641" si="88">IF(A578="","",IF(OR(C578="",D578="",G578="",H578="",N578=""),1,0))</f>
        <v/>
      </c>
      <c r="AG578" s="12">
        <f t="shared" ref="AG578:AG641" si="89">IF(A578="",0,1)</f>
        <v>0</v>
      </c>
    </row>
    <row r="579" spans="1:33" ht="15" customHeight="1" x14ac:dyDescent="0.25">
      <c r="A579" s="12" t="str">
        <f>IF(Raw_Data!B582="","",Raw_Data!B582)</f>
        <v/>
      </c>
      <c r="B579" s="12">
        <f>IF(Raw_Data!X582&lt;&gt;"",Raw_Data!X582,Raw_Data!C582)</f>
        <v>0</v>
      </c>
      <c r="C579" s="12" t="str">
        <f>IF(Raw_Data!G582="","",Raw_Data!G582)</f>
        <v/>
      </c>
      <c r="D579" s="12" t="str">
        <f>IF(Raw_Data!H582="","",Raw_Data!H582)</f>
        <v/>
      </c>
      <c r="E579" s="12" t="str">
        <f>IF(Raw_Data!I582="","",Raw_Data!I582)</f>
        <v/>
      </c>
      <c r="F579" s="12" t="str">
        <f>IF(Raw_Data!J582="","",Raw_Data!J582)</f>
        <v/>
      </c>
      <c r="G579" s="12" t="str">
        <f>IF(Raw_Data!AH582&lt;&gt;"",Raw_Data!AH582,IF(Raw_Data!K582&lt;&gt;"",Raw_Data!K582,""))</f>
        <v/>
      </c>
      <c r="H579" s="12" t="str">
        <f>IF(Raw_Data!AI582&lt;&gt;"",Raw_Data!AI582,IF(Raw_Data!L582&lt;&gt;"",Raw_Data!L582,""))</f>
        <v/>
      </c>
      <c r="I579" s="12" t="str">
        <f t="shared" si="81"/>
        <v/>
      </c>
      <c r="J579" s="12" t="str">
        <f>IF(Raw_Data!M582="","",Raw_Data!M582)</f>
        <v/>
      </c>
      <c r="K579" s="12">
        <f>IF(Raw_Data!AJ582&lt;&gt;"",Raw_Data!AJ582,Raw_Data!N582)</f>
        <v>0</v>
      </c>
      <c r="L579" s="12">
        <f t="shared" si="82"/>
        <v>1</v>
      </c>
      <c r="M579" s="12" t="str">
        <f>IF(Raw_Data!AK582="","",Raw_Data!AK582)</f>
        <v/>
      </c>
      <c r="N579" s="12" t="str">
        <f>IF(Raw_Data!T582="","",Raw_Data!T582)</f>
        <v/>
      </c>
      <c r="O579" s="12" t="str">
        <f>IF(Raw_Data!AB582&lt;&gt;"",Raw_Data!AB582,IF(N579="tres_insatisfait",1,IF(N579="insatisfait",2,IF(N579="neutre",3,IF(N579="satisfait",4,IF(N579="tres_satisfait",5,""))))))</f>
        <v/>
      </c>
      <c r="P579" s="12">
        <f>IF(Raw_Data!AL582&lt;&gt;"",Raw_Data!AL582,Raw_Data!R582)</f>
        <v>0</v>
      </c>
      <c r="Q579" s="12">
        <f t="shared" si="83"/>
        <v>0</v>
      </c>
      <c r="R579" s="12" t="str">
        <f>IF(Raw_Data!AM582="","",Raw_Data!AM582)</f>
        <v/>
      </c>
      <c r="S579" s="12" t="str">
        <f t="shared" si="84"/>
        <v/>
      </c>
      <c r="T579" s="12" t="str">
        <f>IF(Raw_Data!AN582="","",Raw_Data!AN582)</f>
        <v/>
      </c>
      <c r="U579" s="12" t="str">
        <f t="shared" si="85"/>
        <v/>
      </c>
      <c r="V579" s="12" t="str">
        <f>IF(Raw_Data!AP582="","",IF(Raw_Data!AP582="oui",1,0))</f>
        <v/>
      </c>
      <c r="W579" s="12" t="str">
        <f>IF(Raw_Data!AQ582="","",IF(Raw_Data!AQ582="oui",1,0))</f>
        <v/>
      </c>
      <c r="X579" s="12" t="str">
        <f>IF(Raw_Data!AR582="","",IF(Raw_Data!AR582="oui",1,0))</f>
        <v/>
      </c>
      <c r="Y579" s="12" t="str">
        <f>IF(Raw_Data!AS582="","",IF(Raw_Data!AS582="oui",1,0))</f>
        <v/>
      </c>
      <c r="Z579" s="12" t="str">
        <f>IF(Raw_Data!V582="","",IF(Raw_Data!V582="oui",1,0))</f>
        <v/>
      </c>
      <c r="AA579" s="12" t="str">
        <f>IF(Raw_Data!W582="","",IF(Raw_Data!W582="oui",1,0))</f>
        <v/>
      </c>
      <c r="AB579" s="12" t="str">
        <f>IF(Raw_Data!Q582="","",IF(Raw_Data!Q582="oui",1,0))</f>
        <v/>
      </c>
      <c r="AC579" s="12">
        <f>Raw_Data!AF582</f>
        <v>0</v>
      </c>
      <c r="AD579" s="12" t="str">
        <f t="shared" si="86"/>
        <v/>
      </c>
      <c r="AE579" s="12" t="str">
        <f t="shared" si="87"/>
        <v/>
      </c>
      <c r="AF579" s="12" t="str">
        <f t="shared" si="88"/>
        <v/>
      </c>
      <c r="AG579" s="12">
        <f t="shared" si="89"/>
        <v>0</v>
      </c>
    </row>
    <row r="580" spans="1:33" ht="15" customHeight="1" x14ac:dyDescent="0.25">
      <c r="A580" s="12" t="str">
        <f>IF(Raw_Data!B583="","",Raw_Data!B583)</f>
        <v/>
      </c>
      <c r="B580" s="12">
        <f>IF(Raw_Data!X583&lt;&gt;"",Raw_Data!X583,Raw_Data!C583)</f>
        <v>0</v>
      </c>
      <c r="C580" s="12" t="str">
        <f>IF(Raw_Data!G583="","",Raw_Data!G583)</f>
        <v/>
      </c>
      <c r="D580" s="12" t="str">
        <f>IF(Raw_Data!H583="","",Raw_Data!H583)</f>
        <v/>
      </c>
      <c r="E580" s="12" t="str">
        <f>IF(Raw_Data!I583="","",Raw_Data!I583)</f>
        <v/>
      </c>
      <c r="F580" s="12" t="str">
        <f>IF(Raw_Data!J583="","",Raw_Data!J583)</f>
        <v/>
      </c>
      <c r="G580" s="12" t="str">
        <f>IF(Raw_Data!AH583&lt;&gt;"",Raw_Data!AH583,IF(Raw_Data!K583&lt;&gt;"",Raw_Data!K583,""))</f>
        <v/>
      </c>
      <c r="H580" s="12" t="str">
        <f>IF(Raw_Data!AI583&lt;&gt;"",Raw_Data!AI583,IF(Raw_Data!L583&lt;&gt;"",Raw_Data!L583,""))</f>
        <v/>
      </c>
      <c r="I580" s="12" t="str">
        <f t="shared" si="81"/>
        <v/>
      </c>
      <c r="J580" s="12" t="str">
        <f>IF(Raw_Data!M583="","",Raw_Data!M583)</f>
        <v/>
      </c>
      <c r="K580" s="12">
        <f>IF(Raw_Data!AJ583&lt;&gt;"",Raw_Data!AJ583,Raw_Data!N583)</f>
        <v>0</v>
      </c>
      <c r="L580" s="12">
        <f t="shared" si="82"/>
        <v>1</v>
      </c>
      <c r="M580" s="12" t="str">
        <f>IF(Raw_Data!AK583="","",Raw_Data!AK583)</f>
        <v/>
      </c>
      <c r="N580" s="12" t="str">
        <f>IF(Raw_Data!T583="","",Raw_Data!T583)</f>
        <v/>
      </c>
      <c r="O580" s="12" t="str">
        <f>IF(Raw_Data!AB583&lt;&gt;"",Raw_Data!AB583,IF(N580="tres_insatisfait",1,IF(N580="insatisfait",2,IF(N580="neutre",3,IF(N580="satisfait",4,IF(N580="tres_satisfait",5,""))))))</f>
        <v/>
      </c>
      <c r="P580" s="12">
        <f>IF(Raw_Data!AL583&lt;&gt;"",Raw_Data!AL583,Raw_Data!R583)</f>
        <v>0</v>
      </c>
      <c r="Q580" s="12">
        <f t="shared" si="83"/>
        <v>0</v>
      </c>
      <c r="R580" s="12" t="str">
        <f>IF(Raw_Data!AM583="","",Raw_Data!AM583)</f>
        <v/>
      </c>
      <c r="S580" s="12" t="str">
        <f t="shared" si="84"/>
        <v/>
      </c>
      <c r="T580" s="12" t="str">
        <f>IF(Raw_Data!AN583="","",Raw_Data!AN583)</f>
        <v/>
      </c>
      <c r="U580" s="12" t="str">
        <f t="shared" si="85"/>
        <v/>
      </c>
      <c r="V580" s="12" t="str">
        <f>IF(Raw_Data!AP583="","",IF(Raw_Data!AP583="oui",1,0))</f>
        <v/>
      </c>
      <c r="W580" s="12" t="str">
        <f>IF(Raw_Data!AQ583="","",IF(Raw_Data!AQ583="oui",1,0))</f>
        <v/>
      </c>
      <c r="X580" s="12" t="str">
        <f>IF(Raw_Data!AR583="","",IF(Raw_Data!AR583="oui",1,0))</f>
        <v/>
      </c>
      <c r="Y580" s="12" t="str">
        <f>IF(Raw_Data!AS583="","",IF(Raw_Data!AS583="oui",1,0))</f>
        <v/>
      </c>
      <c r="Z580" s="12" t="str">
        <f>IF(Raw_Data!V583="","",IF(Raw_Data!V583="oui",1,0))</f>
        <v/>
      </c>
      <c r="AA580" s="12" t="str">
        <f>IF(Raw_Data!W583="","",IF(Raw_Data!W583="oui",1,0))</f>
        <v/>
      </c>
      <c r="AB580" s="12" t="str">
        <f>IF(Raw_Data!Q583="","",IF(Raw_Data!Q583="oui",1,0))</f>
        <v/>
      </c>
      <c r="AC580" s="12">
        <f>Raw_Data!AF583</f>
        <v>0</v>
      </c>
      <c r="AD580" s="12" t="str">
        <f t="shared" si="86"/>
        <v/>
      </c>
      <c r="AE580" s="12" t="str">
        <f t="shared" si="87"/>
        <v/>
      </c>
      <c r="AF580" s="12" t="str">
        <f t="shared" si="88"/>
        <v/>
      </c>
      <c r="AG580" s="12">
        <f t="shared" si="89"/>
        <v>0</v>
      </c>
    </row>
    <row r="581" spans="1:33" ht="15" customHeight="1" x14ac:dyDescent="0.25">
      <c r="A581" s="12" t="str">
        <f>IF(Raw_Data!B584="","",Raw_Data!B584)</f>
        <v/>
      </c>
      <c r="B581" s="12">
        <f>IF(Raw_Data!X584&lt;&gt;"",Raw_Data!X584,Raw_Data!C584)</f>
        <v>0</v>
      </c>
      <c r="C581" s="12" t="str">
        <f>IF(Raw_Data!G584="","",Raw_Data!G584)</f>
        <v/>
      </c>
      <c r="D581" s="12" t="str">
        <f>IF(Raw_Data!H584="","",Raw_Data!H584)</f>
        <v/>
      </c>
      <c r="E581" s="12" t="str">
        <f>IF(Raw_Data!I584="","",Raw_Data!I584)</f>
        <v/>
      </c>
      <c r="F581" s="12" t="str">
        <f>IF(Raw_Data!J584="","",Raw_Data!J584)</f>
        <v/>
      </c>
      <c r="G581" s="12" t="str">
        <f>IF(Raw_Data!AH584&lt;&gt;"",Raw_Data!AH584,IF(Raw_Data!K584&lt;&gt;"",Raw_Data!K584,""))</f>
        <v/>
      </c>
      <c r="H581" s="12" t="str">
        <f>IF(Raw_Data!AI584&lt;&gt;"",Raw_Data!AI584,IF(Raw_Data!L584&lt;&gt;"",Raw_Data!L584,""))</f>
        <v/>
      </c>
      <c r="I581" s="12" t="str">
        <f t="shared" si="81"/>
        <v/>
      </c>
      <c r="J581" s="12" t="str">
        <f>IF(Raw_Data!M584="","",Raw_Data!M584)</f>
        <v/>
      </c>
      <c r="K581" s="12">
        <f>IF(Raw_Data!AJ584&lt;&gt;"",Raw_Data!AJ584,Raw_Data!N584)</f>
        <v>0</v>
      </c>
      <c r="L581" s="12">
        <f t="shared" si="82"/>
        <v>1</v>
      </c>
      <c r="M581" s="12" t="str">
        <f>IF(Raw_Data!AK584="","",Raw_Data!AK584)</f>
        <v/>
      </c>
      <c r="N581" s="12" t="str">
        <f>IF(Raw_Data!T584="","",Raw_Data!T584)</f>
        <v/>
      </c>
      <c r="O581" s="12" t="str">
        <f>IF(Raw_Data!AB584&lt;&gt;"",Raw_Data!AB584,IF(N581="tres_insatisfait",1,IF(N581="insatisfait",2,IF(N581="neutre",3,IF(N581="satisfait",4,IF(N581="tres_satisfait",5,""))))))</f>
        <v/>
      </c>
      <c r="P581" s="12">
        <f>IF(Raw_Data!AL584&lt;&gt;"",Raw_Data!AL584,Raw_Data!R584)</f>
        <v>0</v>
      </c>
      <c r="Q581" s="12">
        <f t="shared" si="83"/>
        <v>0</v>
      </c>
      <c r="R581" s="12" t="str">
        <f>IF(Raw_Data!AM584="","",Raw_Data!AM584)</f>
        <v/>
      </c>
      <c r="S581" s="12" t="str">
        <f t="shared" si="84"/>
        <v/>
      </c>
      <c r="T581" s="12" t="str">
        <f>IF(Raw_Data!AN584="","",Raw_Data!AN584)</f>
        <v/>
      </c>
      <c r="U581" s="12" t="str">
        <f t="shared" si="85"/>
        <v/>
      </c>
      <c r="V581" s="12" t="str">
        <f>IF(Raw_Data!AP584="","",IF(Raw_Data!AP584="oui",1,0))</f>
        <v/>
      </c>
      <c r="W581" s="12" t="str">
        <f>IF(Raw_Data!AQ584="","",IF(Raw_Data!AQ584="oui",1,0))</f>
        <v/>
      </c>
      <c r="X581" s="12" t="str">
        <f>IF(Raw_Data!AR584="","",IF(Raw_Data!AR584="oui",1,0))</f>
        <v/>
      </c>
      <c r="Y581" s="12" t="str">
        <f>IF(Raw_Data!AS584="","",IF(Raw_Data!AS584="oui",1,0))</f>
        <v/>
      </c>
      <c r="Z581" s="12" t="str">
        <f>IF(Raw_Data!V584="","",IF(Raw_Data!V584="oui",1,0))</f>
        <v/>
      </c>
      <c r="AA581" s="12" t="str">
        <f>IF(Raw_Data!W584="","",IF(Raw_Data!W584="oui",1,0))</f>
        <v/>
      </c>
      <c r="AB581" s="12" t="str">
        <f>IF(Raw_Data!Q584="","",IF(Raw_Data!Q584="oui",1,0))</f>
        <v/>
      </c>
      <c r="AC581" s="12">
        <f>Raw_Data!AF584</f>
        <v>0</v>
      </c>
      <c r="AD581" s="12" t="str">
        <f t="shared" si="86"/>
        <v/>
      </c>
      <c r="AE581" s="12" t="str">
        <f t="shared" si="87"/>
        <v/>
      </c>
      <c r="AF581" s="12" t="str">
        <f t="shared" si="88"/>
        <v/>
      </c>
      <c r="AG581" s="12">
        <f t="shared" si="89"/>
        <v>0</v>
      </c>
    </row>
    <row r="582" spans="1:33" ht="15" customHeight="1" x14ac:dyDescent="0.25">
      <c r="A582" s="12" t="str">
        <f>IF(Raw_Data!B585="","",Raw_Data!B585)</f>
        <v/>
      </c>
      <c r="B582" s="12">
        <f>IF(Raw_Data!X585&lt;&gt;"",Raw_Data!X585,Raw_Data!C585)</f>
        <v>0</v>
      </c>
      <c r="C582" s="12" t="str">
        <f>IF(Raw_Data!G585="","",Raw_Data!G585)</f>
        <v/>
      </c>
      <c r="D582" s="12" t="str">
        <f>IF(Raw_Data!H585="","",Raw_Data!H585)</f>
        <v/>
      </c>
      <c r="E582" s="12" t="str">
        <f>IF(Raw_Data!I585="","",Raw_Data!I585)</f>
        <v/>
      </c>
      <c r="F582" s="12" t="str">
        <f>IF(Raw_Data!J585="","",Raw_Data!J585)</f>
        <v/>
      </c>
      <c r="G582" s="12" t="str">
        <f>IF(Raw_Data!AH585&lt;&gt;"",Raw_Data!AH585,IF(Raw_Data!K585&lt;&gt;"",Raw_Data!K585,""))</f>
        <v/>
      </c>
      <c r="H582" s="12" t="str">
        <f>IF(Raw_Data!AI585&lt;&gt;"",Raw_Data!AI585,IF(Raw_Data!L585&lt;&gt;"",Raw_Data!L585,""))</f>
        <v/>
      </c>
      <c r="I582" s="12" t="str">
        <f t="shared" si="81"/>
        <v/>
      </c>
      <c r="J582" s="12" t="str">
        <f>IF(Raw_Data!M585="","",Raw_Data!M585)</f>
        <v/>
      </c>
      <c r="K582" s="12">
        <f>IF(Raw_Data!AJ585&lt;&gt;"",Raw_Data!AJ585,Raw_Data!N585)</f>
        <v>0</v>
      </c>
      <c r="L582" s="12">
        <f t="shared" si="82"/>
        <v>1</v>
      </c>
      <c r="M582" s="12" t="str">
        <f>IF(Raw_Data!AK585="","",Raw_Data!AK585)</f>
        <v/>
      </c>
      <c r="N582" s="12" t="str">
        <f>IF(Raw_Data!T585="","",Raw_Data!T585)</f>
        <v/>
      </c>
      <c r="O582" s="12" t="str">
        <f>IF(Raw_Data!AB585&lt;&gt;"",Raw_Data!AB585,IF(N582="tres_insatisfait",1,IF(N582="insatisfait",2,IF(N582="neutre",3,IF(N582="satisfait",4,IF(N582="tres_satisfait",5,""))))))</f>
        <v/>
      </c>
      <c r="P582" s="12">
        <f>IF(Raw_Data!AL585&lt;&gt;"",Raw_Data!AL585,Raw_Data!R585)</f>
        <v>0</v>
      </c>
      <c r="Q582" s="12">
        <f t="shared" si="83"/>
        <v>0</v>
      </c>
      <c r="R582" s="12" t="str">
        <f>IF(Raw_Data!AM585="","",Raw_Data!AM585)</f>
        <v/>
      </c>
      <c r="S582" s="12" t="str">
        <f t="shared" si="84"/>
        <v/>
      </c>
      <c r="T582" s="12" t="str">
        <f>IF(Raw_Data!AN585="","",Raw_Data!AN585)</f>
        <v/>
      </c>
      <c r="U582" s="12" t="str">
        <f t="shared" si="85"/>
        <v/>
      </c>
      <c r="V582" s="12" t="str">
        <f>IF(Raw_Data!AP585="","",IF(Raw_Data!AP585="oui",1,0))</f>
        <v/>
      </c>
      <c r="W582" s="12" t="str">
        <f>IF(Raw_Data!AQ585="","",IF(Raw_Data!AQ585="oui",1,0))</f>
        <v/>
      </c>
      <c r="X582" s="12" t="str">
        <f>IF(Raw_Data!AR585="","",IF(Raw_Data!AR585="oui",1,0))</f>
        <v/>
      </c>
      <c r="Y582" s="12" t="str">
        <f>IF(Raw_Data!AS585="","",IF(Raw_Data!AS585="oui",1,0))</f>
        <v/>
      </c>
      <c r="Z582" s="12" t="str">
        <f>IF(Raw_Data!V585="","",IF(Raw_Data!V585="oui",1,0))</f>
        <v/>
      </c>
      <c r="AA582" s="12" t="str">
        <f>IF(Raw_Data!W585="","",IF(Raw_Data!W585="oui",1,0))</f>
        <v/>
      </c>
      <c r="AB582" s="12" t="str">
        <f>IF(Raw_Data!Q585="","",IF(Raw_Data!Q585="oui",1,0))</f>
        <v/>
      </c>
      <c r="AC582" s="12">
        <f>Raw_Data!AF585</f>
        <v>0</v>
      </c>
      <c r="AD582" s="12" t="str">
        <f t="shared" si="86"/>
        <v/>
      </c>
      <c r="AE582" s="12" t="str">
        <f t="shared" si="87"/>
        <v/>
      </c>
      <c r="AF582" s="12" t="str">
        <f t="shared" si="88"/>
        <v/>
      </c>
      <c r="AG582" s="12">
        <f t="shared" si="89"/>
        <v>0</v>
      </c>
    </row>
    <row r="583" spans="1:33" ht="15" customHeight="1" x14ac:dyDescent="0.25">
      <c r="A583" s="12" t="str">
        <f>IF(Raw_Data!B586="","",Raw_Data!B586)</f>
        <v/>
      </c>
      <c r="B583" s="12">
        <f>IF(Raw_Data!X586&lt;&gt;"",Raw_Data!X586,Raw_Data!C586)</f>
        <v>0</v>
      </c>
      <c r="C583" s="12" t="str">
        <f>IF(Raw_Data!G586="","",Raw_Data!G586)</f>
        <v/>
      </c>
      <c r="D583" s="12" t="str">
        <f>IF(Raw_Data!H586="","",Raw_Data!H586)</f>
        <v/>
      </c>
      <c r="E583" s="12" t="str">
        <f>IF(Raw_Data!I586="","",Raw_Data!I586)</f>
        <v/>
      </c>
      <c r="F583" s="12" t="str">
        <f>IF(Raw_Data!J586="","",Raw_Data!J586)</f>
        <v/>
      </c>
      <c r="G583" s="12" t="str">
        <f>IF(Raw_Data!AH586&lt;&gt;"",Raw_Data!AH586,IF(Raw_Data!K586&lt;&gt;"",Raw_Data!K586,""))</f>
        <v/>
      </c>
      <c r="H583" s="12" t="str">
        <f>IF(Raw_Data!AI586&lt;&gt;"",Raw_Data!AI586,IF(Raw_Data!L586&lt;&gt;"",Raw_Data!L586,""))</f>
        <v/>
      </c>
      <c r="I583" s="12" t="str">
        <f t="shared" si="81"/>
        <v/>
      </c>
      <c r="J583" s="12" t="str">
        <f>IF(Raw_Data!M586="","",Raw_Data!M586)</f>
        <v/>
      </c>
      <c r="K583" s="12">
        <f>IF(Raw_Data!AJ586&lt;&gt;"",Raw_Data!AJ586,Raw_Data!N586)</f>
        <v>0</v>
      </c>
      <c r="L583" s="12">
        <f t="shared" si="82"/>
        <v>1</v>
      </c>
      <c r="M583" s="12" t="str">
        <f>IF(Raw_Data!AK586="","",Raw_Data!AK586)</f>
        <v/>
      </c>
      <c r="N583" s="12" t="str">
        <f>IF(Raw_Data!T586="","",Raw_Data!T586)</f>
        <v/>
      </c>
      <c r="O583" s="12" t="str">
        <f>IF(Raw_Data!AB586&lt;&gt;"",Raw_Data!AB586,IF(N583="tres_insatisfait",1,IF(N583="insatisfait",2,IF(N583="neutre",3,IF(N583="satisfait",4,IF(N583="tres_satisfait",5,""))))))</f>
        <v/>
      </c>
      <c r="P583" s="12">
        <f>IF(Raw_Data!AL586&lt;&gt;"",Raw_Data!AL586,Raw_Data!R586)</f>
        <v>0</v>
      </c>
      <c r="Q583" s="12">
        <f t="shared" si="83"/>
        <v>0</v>
      </c>
      <c r="R583" s="12" t="str">
        <f>IF(Raw_Data!AM586="","",Raw_Data!AM586)</f>
        <v/>
      </c>
      <c r="S583" s="12" t="str">
        <f t="shared" si="84"/>
        <v/>
      </c>
      <c r="T583" s="12" t="str">
        <f>IF(Raw_Data!AN586="","",Raw_Data!AN586)</f>
        <v/>
      </c>
      <c r="U583" s="12" t="str">
        <f t="shared" si="85"/>
        <v/>
      </c>
      <c r="V583" s="12" t="str">
        <f>IF(Raw_Data!AP586="","",IF(Raw_Data!AP586="oui",1,0))</f>
        <v/>
      </c>
      <c r="W583" s="12" t="str">
        <f>IF(Raw_Data!AQ586="","",IF(Raw_Data!AQ586="oui",1,0))</f>
        <v/>
      </c>
      <c r="X583" s="12" t="str">
        <f>IF(Raw_Data!AR586="","",IF(Raw_Data!AR586="oui",1,0))</f>
        <v/>
      </c>
      <c r="Y583" s="12" t="str">
        <f>IF(Raw_Data!AS586="","",IF(Raw_Data!AS586="oui",1,0))</f>
        <v/>
      </c>
      <c r="Z583" s="12" t="str">
        <f>IF(Raw_Data!V586="","",IF(Raw_Data!V586="oui",1,0))</f>
        <v/>
      </c>
      <c r="AA583" s="12" t="str">
        <f>IF(Raw_Data!W586="","",IF(Raw_Data!W586="oui",1,0))</f>
        <v/>
      </c>
      <c r="AB583" s="12" t="str">
        <f>IF(Raw_Data!Q586="","",IF(Raw_Data!Q586="oui",1,0))</f>
        <v/>
      </c>
      <c r="AC583" s="12">
        <f>Raw_Data!AF586</f>
        <v>0</v>
      </c>
      <c r="AD583" s="12" t="str">
        <f t="shared" si="86"/>
        <v/>
      </c>
      <c r="AE583" s="12" t="str">
        <f t="shared" si="87"/>
        <v/>
      </c>
      <c r="AF583" s="12" t="str">
        <f t="shared" si="88"/>
        <v/>
      </c>
      <c r="AG583" s="12">
        <f t="shared" si="89"/>
        <v>0</v>
      </c>
    </row>
    <row r="584" spans="1:33" ht="15" customHeight="1" x14ac:dyDescent="0.25">
      <c r="A584" s="12" t="str">
        <f>IF(Raw_Data!B587="","",Raw_Data!B587)</f>
        <v/>
      </c>
      <c r="B584" s="12">
        <f>IF(Raw_Data!X587&lt;&gt;"",Raw_Data!X587,Raw_Data!C587)</f>
        <v>0</v>
      </c>
      <c r="C584" s="12" t="str">
        <f>IF(Raw_Data!G587="","",Raw_Data!G587)</f>
        <v/>
      </c>
      <c r="D584" s="12" t="str">
        <f>IF(Raw_Data!H587="","",Raw_Data!H587)</f>
        <v/>
      </c>
      <c r="E584" s="12" t="str">
        <f>IF(Raw_Data!I587="","",Raw_Data!I587)</f>
        <v/>
      </c>
      <c r="F584" s="12" t="str">
        <f>IF(Raw_Data!J587="","",Raw_Data!J587)</f>
        <v/>
      </c>
      <c r="G584" s="12" t="str">
        <f>IF(Raw_Data!AH587&lt;&gt;"",Raw_Data!AH587,IF(Raw_Data!K587&lt;&gt;"",Raw_Data!K587,""))</f>
        <v/>
      </c>
      <c r="H584" s="12" t="str">
        <f>IF(Raw_Data!AI587&lt;&gt;"",Raw_Data!AI587,IF(Raw_Data!L587&lt;&gt;"",Raw_Data!L587,""))</f>
        <v/>
      </c>
      <c r="I584" s="12" t="str">
        <f t="shared" si="81"/>
        <v/>
      </c>
      <c r="J584" s="12" t="str">
        <f>IF(Raw_Data!M587="","",Raw_Data!M587)</f>
        <v/>
      </c>
      <c r="K584" s="12">
        <f>IF(Raw_Data!AJ587&lt;&gt;"",Raw_Data!AJ587,Raw_Data!N587)</f>
        <v>0</v>
      </c>
      <c r="L584" s="12">
        <f t="shared" si="82"/>
        <v>1</v>
      </c>
      <c r="M584" s="12" t="str">
        <f>IF(Raw_Data!AK587="","",Raw_Data!AK587)</f>
        <v/>
      </c>
      <c r="N584" s="12" t="str">
        <f>IF(Raw_Data!T587="","",Raw_Data!T587)</f>
        <v/>
      </c>
      <c r="O584" s="12" t="str">
        <f>IF(Raw_Data!AB587&lt;&gt;"",Raw_Data!AB587,IF(N584="tres_insatisfait",1,IF(N584="insatisfait",2,IF(N584="neutre",3,IF(N584="satisfait",4,IF(N584="tres_satisfait",5,""))))))</f>
        <v/>
      </c>
      <c r="P584" s="12">
        <f>IF(Raw_Data!AL587&lt;&gt;"",Raw_Data!AL587,Raw_Data!R587)</f>
        <v>0</v>
      </c>
      <c r="Q584" s="12">
        <f t="shared" si="83"/>
        <v>0</v>
      </c>
      <c r="R584" s="12" t="str">
        <f>IF(Raw_Data!AM587="","",Raw_Data!AM587)</f>
        <v/>
      </c>
      <c r="S584" s="12" t="str">
        <f t="shared" si="84"/>
        <v/>
      </c>
      <c r="T584" s="12" t="str">
        <f>IF(Raw_Data!AN587="","",Raw_Data!AN587)</f>
        <v/>
      </c>
      <c r="U584" s="12" t="str">
        <f t="shared" si="85"/>
        <v/>
      </c>
      <c r="V584" s="12" t="str">
        <f>IF(Raw_Data!AP587="","",IF(Raw_Data!AP587="oui",1,0))</f>
        <v/>
      </c>
      <c r="W584" s="12" t="str">
        <f>IF(Raw_Data!AQ587="","",IF(Raw_Data!AQ587="oui",1,0))</f>
        <v/>
      </c>
      <c r="X584" s="12" t="str">
        <f>IF(Raw_Data!AR587="","",IF(Raw_Data!AR587="oui",1,0))</f>
        <v/>
      </c>
      <c r="Y584" s="12" t="str">
        <f>IF(Raw_Data!AS587="","",IF(Raw_Data!AS587="oui",1,0))</f>
        <v/>
      </c>
      <c r="Z584" s="12" t="str">
        <f>IF(Raw_Data!V587="","",IF(Raw_Data!V587="oui",1,0))</f>
        <v/>
      </c>
      <c r="AA584" s="12" t="str">
        <f>IF(Raw_Data!W587="","",IF(Raw_Data!W587="oui",1,0))</f>
        <v/>
      </c>
      <c r="AB584" s="12" t="str">
        <f>IF(Raw_Data!Q587="","",IF(Raw_Data!Q587="oui",1,0))</f>
        <v/>
      </c>
      <c r="AC584" s="12">
        <f>Raw_Data!AF587</f>
        <v>0</v>
      </c>
      <c r="AD584" s="12" t="str">
        <f t="shared" si="86"/>
        <v/>
      </c>
      <c r="AE584" s="12" t="str">
        <f t="shared" si="87"/>
        <v/>
      </c>
      <c r="AF584" s="12" t="str">
        <f t="shared" si="88"/>
        <v/>
      </c>
      <c r="AG584" s="12">
        <f t="shared" si="89"/>
        <v>0</v>
      </c>
    </row>
    <row r="585" spans="1:33" ht="15" customHeight="1" x14ac:dyDescent="0.25">
      <c r="A585" s="12" t="str">
        <f>IF(Raw_Data!B588="","",Raw_Data!B588)</f>
        <v/>
      </c>
      <c r="B585" s="12">
        <f>IF(Raw_Data!X588&lt;&gt;"",Raw_Data!X588,Raw_Data!C588)</f>
        <v>0</v>
      </c>
      <c r="C585" s="12" t="str">
        <f>IF(Raw_Data!G588="","",Raw_Data!G588)</f>
        <v/>
      </c>
      <c r="D585" s="12" t="str">
        <f>IF(Raw_Data!H588="","",Raw_Data!H588)</f>
        <v/>
      </c>
      <c r="E585" s="12" t="str">
        <f>IF(Raw_Data!I588="","",Raw_Data!I588)</f>
        <v/>
      </c>
      <c r="F585" s="12" t="str">
        <f>IF(Raw_Data!J588="","",Raw_Data!J588)</f>
        <v/>
      </c>
      <c r="G585" s="12" t="str">
        <f>IF(Raw_Data!AH588&lt;&gt;"",Raw_Data!AH588,IF(Raw_Data!K588&lt;&gt;"",Raw_Data!K588,""))</f>
        <v/>
      </c>
      <c r="H585" s="12" t="str">
        <f>IF(Raw_Data!AI588&lt;&gt;"",Raw_Data!AI588,IF(Raw_Data!L588&lt;&gt;"",Raw_Data!L588,""))</f>
        <v/>
      </c>
      <c r="I585" s="12" t="str">
        <f t="shared" si="81"/>
        <v/>
      </c>
      <c r="J585" s="12" t="str">
        <f>IF(Raw_Data!M588="","",Raw_Data!M588)</f>
        <v/>
      </c>
      <c r="K585" s="12">
        <f>IF(Raw_Data!AJ588&lt;&gt;"",Raw_Data!AJ588,Raw_Data!N588)</f>
        <v>0</v>
      </c>
      <c r="L585" s="12">
        <f t="shared" si="82"/>
        <v>1</v>
      </c>
      <c r="M585" s="12" t="str">
        <f>IF(Raw_Data!AK588="","",Raw_Data!AK588)</f>
        <v/>
      </c>
      <c r="N585" s="12" t="str">
        <f>IF(Raw_Data!T588="","",Raw_Data!T588)</f>
        <v/>
      </c>
      <c r="O585" s="12" t="str">
        <f>IF(Raw_Data!AB588&lt;&gt;"",Raw_Data!AB588,IF(N585="tres_insatisfait",1,IF(N585="insatisfait",2,IF(N585="neutre",3,IF(N585="satisfait",4,IF(N585="tres_satisfait",5,""))))))</f>
        <v/>
      </c>
      <c r="P585" s="12">
        <f>IF(Raw_Data!AL588&lt;&gt;"",Raw_Data!AL588,Raw_Data!R588)</f>
        <v>0</v>
      </c>
      <c r="Q585" s="12">
        <f t="shared" si="83"/>
        <v>0</v>
      </c>
      <c r="R585" s="12" t="str">
        <f>IF(Raw_Data!AM588="","",Raw_Data!AM588)</f>
        <v/>
      </c>
      <c r="S585" s="12" t="str">
        <f t="shared" si="84"/>
        <v/>
      </c>
      <c r="T585" s="12" t="str">
        <f>IF(Raw_Data!AN588="","",Raw_Data!AN588)</f>
        <v/>
      </c>
      <c r="U585" s="12" t="str">
        <f t="shared" si="85"/>
        <v/>
      </c>
      <c r="V585" s="12" t="str">
        <f>IF(Raw_Data!AP588="","",IF(Raw_Data!AP588="oui",1,0))</f>
        <v/>
      </c>
      <c r="W585" s="12" t="str">
        <f>IF(Raw_Data!AQ588="","",IF(Raw_Data!AQ588="oui",1,0))</f>
        <v/>
      </c>
      <c r="X585" s="12" t="str">
        <f>IF(Raw_Data!AR588="","",IF(Raw_Data!AR588="oui",1,0))</f>
        <v/>
      </c>
      <c r="Y585" s="12" t="str">
        <f>IF(Raw_Data!AS588="","",IF(Raw_Data!AS588="oui",1,0))</f>
        <v/>
      </c>
      <c r="Z585" s="12" t="str">
        <f>IF(Raw_Data!V588="","",IF(Raw_Data!V588="oui",1,0))</f>
        <v/>
      </c>
      <c r="AA585" s="12" t="str">
        <f>IF(Raw_Data!W588="","",IF(Raw_Data!W588="oui",1,0))</f>
        <v/>
      </c>
      <c r="AB585" s="12" t="str">
        <f>IF(Raw_Data!Q588="","",IF(Raw_Data!Q588="oui",1,0))</f>
        <v/>
      </c>
      <c r="AC585" s="12">
        <f>Raw_Data!AF588</f>
        <v>0</v>
      </c>
      <c r="AD585" s="12" t="str">
        <f t="shared" si="86"/>
        <v/>
      </c>
      <c r="AE585" s="12" t="str">
        <f t="shared" si="87"/>
        <v/>
      </c>
      <c r="AF585" s="12" t="str">
        <f t="shared" si="88"/>
        <v/>
      </c>
      <c r="AG585" s="12">
        <f t="shared" si="89"/>
        <v>0</v>
      </c>
    </row>
    <row r="586" spans="1:33" ht="15" customHeight="1" x14ac:dyDescent="0.25">
      <c r="A586" s="12" t="str">
        <f>IF(Raw_Data!B589="","",Raw_Data!B589)</f>
        <v/>
      </c>
      <c r="B586" s="12">
        <f>IF(Raw_Data!X589&lt;&gt;"",Raw_Data!X589,Raw_Data!C589)</f>
        <v>0</v>
      </c>
      <c r="C586" s="12" t="str">
        <f>IF(Raw_Data!G589="","",Raw_Data!G589)</f>
        <v/>
      </c>
      <c r="D586" s="12" t="str">
        <f>IF(Raw_Data!H589="","",Raw_Data!H589)</f>
        <v/>
      </c>
      <c r="E586" s="12" t="str">
        <f>IF(Raw_Data!I589="","",Raw_Data!I589)</f>
        <v/>
      </c>
      <c r="F586" s="12" t="str">
        <f>IF(Raw_Data!J589="","",Raw_Data!J589)</f>
        <v/>
      </c>
      <c r="G586" s="12" t="str">
        <f>IF(Raw_Data!AH589&lt;&gt;"",Raw_Data!AH589,IF(Raw_Data!K589&lt;&gt;"",Raw_Data!K589,""))</f>
        <v/>
      </c>
      <c r="H586" s="12" t="str">
        <f>IF(Raw_Data!AI589&lt;&gt;"",Raw_Data!AI589,IF(Raw_Data!L589&lt;&gt;"",Raw_Data!L589,""))</f>
        <v/>
      </c>
      <c r="I586" s="12" t="str">
        <f t="shared" si="81"/>
        <v/>
      </c>
      <c r="J586" s="12" t="str">
        <f>IF(Raw_Data!M589="","",Raw_Data!M589)</f>
        <v/>
      </c>
      <c r="K586" s="12">
        <f>IF(Raw_Data!AJ589&lt;&gt;"",Raw_Data!AJ589,Raw_Data!N589)</f>
        <v>0</v>
      </c>
      <c r="L586" s="12">
        <f t="shared" si="82"/>
        <v>1</v>
      </c>
      <c r="M586" s="12" t="str">
        <f>IF(Raw_Data!AK589="","",Raw_Data!AK589)</f>
        <v/>
      </c>
      <c r="N586" s="12" t="str">
        <f>IF(Raw_Data!T589="","",Raw_Data!T589)</f>
        <v/>
      </c>
      <c r="O586" s="12" t="str">
        <f>IF(Raw_Data!AB589&lt;&gt;"",Raw_Data!AB589,IF(N586="tres_insatisfait",1,IF(N586="insatisfait",2,IF(N586="neutre",3,IF(N586="satisfait",4,IF(N586="tres_satisfait",5,""))))))</f>
        <v/>
      </c>
      <c r="P586" s="12">
        <f>IF(Raw_Data!AL589&lt;&gt;"",Raw_Data!AL589,Raw_Data!R589)</f>
        <v>0</v>
      </c>
      <c r="Q586" s="12">
        <f t="shared" si="83"/>
        <v>0</v>
      </c>
      <c r="R586" s="12" t="str">
        <f>IF(Raw_Data!AM589="","",Raw_Data!AM589)</f>
        <v/>
      </c>
      <c r="S586" s="12" t="str">
        <f t="shared" si="84"/>
        <v/>
      </c>
      <c r="T586" s="12" t="str">
        <f>IF(Raw_Data!AN589="","",Raw_Data!AN589)</f>
        <v/>
      </c>
      <c r="U586" s="12" t="str">
        <f t="shared" si="85"/>
        <v/>
      </c>
      <c r="V586" s="12" t="str">
        <f>IF(Raw_Data!AP589="","",IF(Raw_Data!AP589="oui",1,0))</f>
        <v/>
      </c>
      <c r="W586" s="12" t="str">
        <f>IF(Raw_Data!AQ589="","",IF(Raw_Data!AQ589="oui",1,0))</f>
        <v/>
      </c>
      <c r="X586" s="12" t="str">
        <f>IF(Raw_Data!AR589="","",IF(Raw_Data!AR589="oui",1,0))</f>
        <v/>
      </c>
      <c r="Y586" s="12" t="str">
        <f>IF(Raw_Data!AS589="","",IF(Raw_Data!AS589="oui",1,0))</f>
        <v/>
      </c>
      <c r="Z586" s="12" t="str">
        <f>IF(Raw_Data!V589="","",IF(Raw_Data!V589="oui",1,0))</f>
        <v/>
      </c>
      <c r="AA586" s="12" t="str">
        <f>IF(Raw_Data!W589="","",IF(Raw_Data!W589="oui",1,0))</f>
        <v/>
      </c>
      <c r="AB586" s="12" t="str">
        <f>IF(Raw_Data!Q589="","",IF(Raw_Data!Q589="oui",1,0))</f>
        <v/>
      </c>
      <c r="AC586" s="12">
        <f>Raw_Data!AF589</f>
        <v>0</v>
      </c>
      <c r="AD586" s="12" t="str">
        <f t="shared" si="86"/>
        <v/>
      </c>
      <c r="AE586" s="12" t="str">
        <f t="shared" si="87"/>
        <v/>
      </c>
      <c r="AF586" s="12" t="str">
        <f t="shared" si="88"/>
        <v/>
      </c>
      <c r="AG586" s="12">
        <f t="shared" si="89"/>
        <v>0</v>
      </c>
    </row>
    <row r="587" spans="1:33" ht="15" customHeight="1" x14ac:dyDescent="0.25">
      <c r="A587" s="12" t="str">
        <f>IF(Raw_Data!B590="","",Raw_Data!B590)</f>
        <v/>
      </c>
      <c r="B587" s="12">
        <f>IF(Raw_Data!X590&lt;&gt;"",Raw_Data!X590,Raw_Data!C590)</f>
        <v>0</v>
      </c>
      <c r="C587" s="12" t="str">
        <f>IF(Raw_Data!G590="","",Raw_Data!G590)</f>
        <v/>
      </c>
      <c r="D587" s="12" t="str">
        <f>IF(Raw_Data!H590="","",Raw_Data!H590)</f>
        <v/>
      </c>
      <c r="E587" s="12" t="str">
        <f>IF(Raw_Data!I590="","",Raw_Data!I590)</f>
        <v/>
      </c>
      <c r="F587" s="12" t="str">
        <f>IF(Raw_Data!J590="","",Raw_Data!J590)</f>
        <v/>
      </c>
      <c r="G587" s="12" t="str">
        <f>IF(Raw_Data!AH590&lt;&gt;"",Raw_Data!AH590,IF(Raw_Data!K590&lt;&gt;"",Raw_Data!K590,""))</f>
        <v/>
      </c>
      <c r="H587" s="12" t="str">
        <f>IF(Raw_Data!AI590&lt;&gt;"",Raw_Data!AI590,IF(Raw_Data!L590&lt;&gt;"",Raw_Data!L590,""))</f>
        <v/>
      </c>
      <c r="I587" s="12" t="str">
        <f t="shared" si="81"/>
        <v/>
      </c>
      <c r="J587" s="12" t="str">
        <f>IF(Raw_Data!M590="","",Raw_Data!M590)</f>
        <v/>
      </c>
      <c r="K587" s="12">
        <f>IF(Raw_Data!AJ590&lt;&gt;"",Raw_Data!AJ590,Raw_Data!N590)</f>
        <v>0</v>
      </c>
      <c r="L587" s="12">
        <f t="shared" si="82"/>
        <v>1</v>
      </c>
      <c r="M587" s="12" t="str">
        <f>IF(Raw_Data!AK590="","",Raw_Data!AK590)</f>
        <v/>
      </c>
      <c r="N587" s="12" t="str">
        <f>IF(Raw_Data!T590="","",Raw_Data!T590)</f>
        <v/>
      </c>
      <c r="O587" s="12" t="str">
        <f>IF(Raw_Data!AB590&lt;&gt;"",Raw_Data!AB590,IF(N587="tres_insatisfait",1,IF(N587="insatisfait",2,IF(N587="neutre",3,IF(N587="satisfait",4,IF(N587="tres_satisfait",5,""))))))</f>
        <v/>
      </c>
      <c r="P587" s="12">
        <f>IF(Raw_Data!AL590&lt;&gt;"",Raw_Data!AL590,Raw_Data!R590)</f>
        <v>0</v>
      </c>
      <c r="Q587" s="12">
        <f t="shared" si="83"/>
        <v>0</v>
      </c>
      <c r="R587" s="12" t="str">
        <f>IF(Raw_Data!AM590="","",Raw_Data!AM590)</f>
        <v/>
      </c>
      <c r="S587" s="12" t="str">
        <f t="shared" si="84"/>
        <v/>
      </c>
      <c r="T587" s="12" t="str">
        <f>IF(Raw_Data!AN590="","",Raw_Data!AN590)</f>
        <v/>
      </c>
      <c r="U587" s="12" t="str">
        <f t="shared" si="85"/>
        <v/>
      </c>
      <c r="V587" s="12" t="str">
        <f>IF(Raw_Data!AP590="","",IF(Raw_Data!AP590="oui",1,0))</f>
        <v/>
      </c>
      <c r="W587" s="12" t="str">
        <f>IF(Raw_Data!AQ590="","",IF(Raw_Data!AQ590="oui",1,0))</f>
        <v/>
      </c>
      <c r="X587" s="12" t="str">
        <f>IF(Raw_Data!AR590="","",IF(Raw_Data!AR590="oui",1,0))</f>
        <v/>
      </c>
      <c r="Y587" s="12" t="str">
        <f>IF(Raw_Data!AS590="","",IF(Raw_Data!AS590="oui",1,0))</f>
        <v/>
      </c>
      <c r="Z587" s="12" t="str">
        <f>IF(Raw_Data!V590="","",IF(Raw_Data!V590="oui",1,0))</f>
        <v/>
      </c>
      <c r="AA587" s="12" t="str">
        <f>IF(Raw_Data!W590="","",IF(Raw_Data!W590="oui",1,0))</f>
        <v/>
      </c>
      <c r="AB587" s="12" t="str">
        <f>IF(Raw_Data!Q590="","",IF(Raw_Data!Q590="oui",1,0))</f>
        <v/>
      </c>
      <c r="AC587" s="12">
        <f>Raw_Data!AF590</f>
        <v>0</v>
      </c>
      <c r="AD587" s="12" t="str">
        <f t="shared" si="86"/>
        <v/>
      </c>
      <c r="AE587" s="12" t="str">
        <f t="shared" si="87"/>
        <v/>
      </c>
      <c r="AF587" s="12" t="str">
        <f t="shared" si="88"/>
        <v/>
      </c>
      <c r="AG587" s="12">
        <f t="shared" si="89"/>
        <v>0</v>
      </c>
    </row>
    <row r="588" spans="1:33" ht="15" customHeight="1" x14ac:dyDescent="0.25">
      <c r="A588" s="12" t="str">
        <f>IF(Raw_Data!B591="","",Raw_Data!B591)</f>
        <v/>
      </c>
      <c r="B588" s="12">
        <f>IF(Raw_Data!X591&lt;&gt;"",Raw_Data!X591,Raw_Data!C591)</f>
        <v>0</v>
      </c>
      <c r="C588" s="12" t="str">
        <f>IF(Raw_Data!G591="","",Raw_Data!G591)</f>
        <v/>
      </c>
      <c r="D588" s="12" t="str">
        <f>IF(Raw_Data!H591="","",Raw_Data!H591)</f>
        <v/>
      </c>
      <c r="E588" s="12" t="str">
        <f>IF(Raw_Data!I591="","",Raw_Data!I591)</f>
        <v/>
      </c>
      <c r="F588" s="12" t="str">
        <f>IF(Raw_Data!J591="","",Raw_Data!J591)</f>
        <v/>
      </c>
      <c r="G588" s="12" t="str">
        <f>IF(Raw_Data!AH591&lt;&gt;"",Raw_Data!AH591,IF(Raw_Data!K591&lt;&gt;"",Raw_Data!K591,""))</f>
        <v/>
      </c>
      <c r="H588" s="12" t="str">
        <f>IF(Raw_Data!AI591&lt;&gt;"",Raw_Data!AI591,IF(Raw_Data!L591&lt;&gt;"",Raw_Data!L591,""))</f>
        <v/>
      </c>
      <c r="I588" s="12" t="str">
        <f t="shared" si="81"/>
        <v/>
      </c>
      <c r="J588" s="12" t="str">
        <f>IF(Raw_Data!M591="","",Raw_Data!M591)</f>
        <v/>
      </c>
      <c r="K588" s="12">
        <f>IF(Raw_Data!AJ591&lt;&gt;"",Raw_Data!AJ591,Raw_Data!N591)</f>
        <v>0</v>
      </c>
      <c r="L588" s="12">
        <f t="shared" si="82"/>
        <v>1</v>
      </c>
      <c r="M588" s="12" t="str">
        <f>IF(Raw_Data!AK591="","",Raw_Data!AK591)</f>
        <v/>
      </c>
      <c r="N588" s="12" t="str">
        <f>IF(Raw_Data!T591="","",Raw_Data!T591)</f>
        <v/>
      </c>
      <c r="O588" s="12" t="str">
        <f>IF(Raw_Data!AB591&lt;&gt;"",Raw_Data!AB591,IF(N588="tres_insatisfait",1,IF(N588="insatisfait",2,IF(N588="neutre",3,IF(N588="satisfait",4,IF(N588="tres_satisfait",5,""))))))</f>
        <v/>
      </c>
      <c r="P588" s="12">
        <f>IF(Raw_Data!AL591&lt;&gt;"",Raw_Data!AL591,Raw_Data!R591)</f>
        <v>0</v>
      </c>
      <c r="Q588" s="12">
        <f t="shared" si="83"/>
        <v>0</v>
      </c>
      <c r="R588" s="12" t="str">
        <f>IF(Raw_Data!AM591="","",Raw_Data!AM591)</f>
        <v/>
      </c>
      <c r="S588" s="12" t="str">
        <f t="shared" si="84"/>
        <v/>
      </c>
      <c r="T588" s="12" t="str">
        <f>IF(Raw_Data!AN591="","",Raw_Data!AN591)</f>
        <v/>
      </c>
      <c r="U588" s="12" t="str">
        <f t="shared" si="85"/>
        <v/>
      </c>
      <c r="V588" s="12" t="str">
        <f>IF(Raw_Data!AP591="","",IF(Raw_Data!AP591="oui",1,0))</f>
        <v/>
      </c>
      <c r="W588" s="12" t="str">
        <f>IF(Raw_Data!AQ591="","",IF(Raw_Data!AQ591="oui",1,0))</f>
        <v/>
      </c>
      <c r="X588" s="12" t="str">
        <f>IF(Raw_Data!AR591="","",IF(Raw_Data!AR591="oui",1,0))</f>
        <v/>
      </c>
      <c r="Y588" s="12" t="str">
        <f>IF(Raw_Data!AS591="","",IF(Raw_Data!AS591="oui",1,0))</f>
        <v/>
      </c>
      <c r="Z588" s="12" t="str">
        <f>IF(Raw_Data!V591="","",IF(Raw_Data!V591="oui",1,0))</f>
        <v/>
      </c>
      <c r="AA588" s="12" t="str">
        <f>IF(Raw_Data!W591="","",IF(Raw_Data!W591="oui",1,0))</f>
        <v/>
      </c>
      <c r="AB588" s="12" t="str">
        <f>IF(Raw_Data!Q591="","",IF(Raw_Data!Q591="oui",1,0))</f>
        <v/>
      </c>
      <c r="AC588" s="12">
        <f>Raw_Data!AF591</f>
        <v>0</v>
      </c>
      <c r="AD588" s="12" t="str">
        <f t="shared" si="86"/>
        <v/>
      </c>
      <c r="AE588" s="12" t="str">
        <f t="shared" si="87"/>
        <v/>
      </c>
      <c r="AF588" s="12" t="str">
        <f t="shared" si="88"/>
        <v/>
      </c>
      <c r="AG588" s="12">
        <f t="shared" si="89"/>
        <v>0</v>
      </c>
    </row>
    <row r="589" spans="1:33" ht="15" customHeight="1" x14ac:dyDescent="0.25">
      <c r="A589" s="12" t="str">
        <f>IF(Raw_Data!B592="","",Raw_Data!B592)</f>
        <v/>
      </c>
      <c r="B589" s="12">
        <f>IF(Raw_Data!X592&lt;&gt;"",Raw_Data!X592,Raw_Data!C592)</f>
        <v>0</v>
      </c>
      <c r="C589" s="12" t="str">
        <f>IF(Raw_Data!G592="","",Raw_Data!G592)</f>
        <v/>
      </c>
      <c r="D589" s="12" t="str">
        <f>IF(Raw_Data!H592="","",Raw_Data!H592)</f>
        <v/>
      </c>
      <c r="E589" s="12" t="str">
        <f>IF(Raw_Data!I592="","",Raw_Data!I592)</f>
        <v/>
      </c>
      <c r="F589" s="12" t="str">
        <f>IF(Raw_Data!J592="","",Raw_Data!J592)</f>
        <v/>
      </c>
      <c r="G589" s="12" t="str">
        <f>IF(Raw_Data!AH592&lt;&gt;"",Raw_Data!AH592,IF(Raw_Data!K592&lt;&gt;"",Raw_Data!K592,""))</f>
        <v/>
      </c>
      <c r="H589" s="12" t="str">
        <f>IF(Raw_Data!AI592&lt;&gt;"",Raw_Data!AI592,IF(Raw_Data!L592&lt;&gt;"",Raw_Data!L592,""))</f>
        <v/>
      </c>
      <c r="I589" s="12" t="str">
        <f t="shared" si="81"/>
        <v/>
      </c>
      <c r="J589" s="12" t="str">
        <f>IF(Raw_Data!M592="","",Raw_Data!M592)</f>
        <v/>
      </c>
      <c r="K589" s="12">
        <f>IF(Raw_Data!AJ592&lt;&gt;"",Raw_Data!AJ592,Raw_Data!N592)</f>
        <v>0</v>
      </c>
      <c r="L589" s="12">
        <f t="shared" si="82"/>
        <v>1</v>
      </c>
      <c r="M589" s="12" t="str">
        <f>IF(Raw_Data!AK592="","",Raw_Data!AK592)</f>
        <v/>
      </c>
      <c r="N589" s="12" t="str">
        <f>IF(Raw_Data!T592="","",Raw_Data!T592)</f>
        <v/>
      </c>
      <c r="O589" s="12" t="str">
        <f>IF(Raw_Data!AB592&lt;&gt;"",Raw_Data!AB592,IF(N589="tres_insatisfait",1,IF(N589="insatisfait",2,IF(N589="neutre",3,IF(N589="satisfait",4,IF(N589="tres_satisfait",5,""))))))</f>
        <v/>
      </c>
      <c r="P589" s="12">
        <f>IF(Raw_Data!AL592&lt;&gt;"",Raw_Data!AL592,Raw_Data!R592)</f>
        <v>0</v>
      </c>
      <c r="Q589" s="12">
        <f t="shared" si="83"/>
        <v>0</v>
      </c>
      <c r="R589" s="12" t="str">
        <f>IF(Raw_Data!AM592="","",Raw_Data!AM592)</f>
        <v/>
      </c>
      <c r="S589" s="12" t="str">
        <f t="shared" si="84"/>
        <v/>
      </c>
      <c r="T589" s="12" t="str">
        <f>IF(Raw_Data!AN592="","",Raw_Data!AN592)</f>
        <v/>
      </c>
      <c r="U589" s="12" t="str">
        <f t="shared" si="85"/>
        <v/>
      </c>
      <c r="V589" s="12" t="str">
        <f>IF(Raw_Data!AP592="","",IF(Raw_Data!AP592="oui",1,0))</f>
        <v/>
      </c>
      <c r="W589" s="12" t="str">
        <f>IF(Raw_Data!AQ592="","",IF(Raw_Data!AQ592="oui",1,0))</f>
        <v/>
      </c>
      <c r="X589" s="12" t="str">
        <f>IF(Raw_Data!AR592="","",IF(Raw_Data!AR592="oui",1,0))</f>
        <v/>
      </c>
      <c r="Y589" s="12" t="str">
        <f>IF(Raw_Data!AS592="","",IF(Raw_Data!AS592="oui",1,0))</f>
        <v/>
      </c>
      <c r="Z589" s="12" t="str">
        <f>IF(Raw_Data!V592="","",IF(Raw_Data!V592="oui",1,0))</f>
        <v/>
      </c>
      <c r="AA589" s="12" t="str">
        <f>IF(Raw_Data!W592="","",IF(Raw_Data!W592="oui",1,0))</f>
        <v/>
      </c>
      <c r="AB589" s="12" t="str">
        <f>IF(Raw_Data!Q592="","",IF(Raw_Data!Q592="oui",1,0))</f>
        <v/>
      </c>
      <c r="AC589" s="12">
        <f>Raw_Data!AF592</f>
        <v>0</v>
      </c>
      <c r="AD589" s="12" t="str">
        <f t="shared" si="86"/>
        <v/>
      </c>
      <c r="AE589" s="12" t="str">
        <f t="shared" si="87"/>
        <v/>
      </c>
      <c r="AF589" s="12" t="str">
        <f t="shared" si="88"/>
        <v/>
      </c>
      <c r="AG589" s="12">
        <f t="shared" si="89"/>
        <v>0</v>
      </c>
    </row>
    <row r="590" spans="1:33" ht="15" customHeight="1" x14ac:dyDescent="0.25">
      <c r="A590" s="12" t="str">
        <f>IF(Raw_Data!B593="","",Raw_Data!B593)</f>
        <v/>
      </c>
      <c r="B590" s="12">
        <f>IF(Raw_Data!X593&lt;&gt;"",Raw_Data!X593,Raw_Data!C593)</f>
        <v>0</v>
      </c>
      <c r="C590" s="12" t="str">
        <f>IF(Raw_Data!G593="","",Raw_Data!G593)</f>
        <v/>
      </c>
      <c r="D590" s="12" t="str">
        <f>IF(Raw_Data!H593="","",Raw_Data!H593)</f>
        <v/>
      </c>
      <c r="E590" s="12" t="str">
        <f>IF(Raw_Data!I593="","",Raw_Data!I593)</f>
        <v/>
      </c>
      <c r="F590" s="12" t="str">
        <f>IF(Raw_Data!J593="","",Raw_Data!J593)</f>
        <v/>
      </c>
      <c r="G590" s="12" t="str">
        <f>IF(Raw_Data!AH593&lt;&gt;"",Raw_Data!AH593,IF(Raw_Data!K593&lt;&gt;"",Raw_Data!K593,""))</f>
        <v/>
      </c>
      <c r="H590" s="12" t="str">
        <f>IF(Raw_Data!AI593&lt;&gt;"",Raw_Data!AI593,IF(Raw_Data!L593&lt;&gt;"",Raw_Data!L593,""))</f>
        <v/>
      </c>
      <c r="I590" s="12" t="str">
        <f t="shared" si="81"/>
        <v/>
      </c>
      <c r="J590" s="12" t="str">
        <f>IF(Raw_Data!M593="","",Raw_Data!M593)</f>
        <v/>
      </c>
      <c r="K590" s="12">
        <f>IF(Raw_Data!AJ593&lt;&gt;"",Raw_Data!AJ593,Raw_Data!N593)</f>
        <v>0</v>
      </c>
      <c r="L590" s="12">
        <f t="shared" si="82"/>
        <v>1</v>
      </c>
      <c r="M590" s="12" t="str">
        <f>IF(Raw_Data!AK593="","",Raw_Data!AK593)</f>
        <v/>
      </c>
      <c r="N590" s="12" t="str">
        <f>IF(Raw_Data!T593="","",Raw_Data!T593)</f>
        <v/>
      </c>
      <c r="O590" s="12" t="str">
        <f>IF(Raw_Data!AB593&lt;&gt;"",Raw_Data!AB593,IF(N590="tres_insatisfait",1,IF(N590="insatisfait",2,IF(N590="neutre",3,IF(N590="satisfait",4,IF(N590="tres_satisfait",5,""))))))</f>
        <v/>
      </c>
      <c r="P590" s="12">
        <f>IF(Raw_Data!AL593&lt;&gt;"",Raw_Data!AL593,Raw_Data!R593)</f>
        <v>0</v>
      </c>
      <c r="Q590" s="12">
        <f t="shared" si="83"/>
        <v>0</v>
      </c>
      <c r="R590" s="12" t="str">
        <f>IF(Raw_Data!AM593="","",Raw_Data!AM593)</f>
        <v/>
      </c>
      <c r="S590" s="12" t="str">
        <f t="shared" si="84"/>
        <v/>
      </c>
      <c r="T590" s="12" t="str">
        <f>IF(Raw_Data!AN593="","",Raw_Data!AN593)</f>
        <v/>
      </c>
      <c r="U590" s="12" t="str">
        <f t="shared" si="85"/>
        <v/>
      </c>
      <c r="V590" s="12" t="str">
        <f>IF(Raw_Data!AP593="","",IF(Raw_Data!AP593="oui",1,0))</f>
        <v/>
      </c>
      <c r="W590" s="12" t="str">
        <f>IF(Raw_Data!AQ593="","",IF(Raw_Data!AQ593="oui",1,0))</f>
        <v/>
      </c>
      <c r="X590" s="12" t="str">
        <f>IF(Raw_Data!AR593="","",IF(Raw_Data!AR593="oui",1,0))</f>
        <v/>
      </c>
      <c r="Y590" s="12" t="str">
        <f>IF(Raw_Data!AS593="","",IF(Raw_Data!AS593="oui",1,0))</f>
        <v/>
      </c>
      <c r="Z590" s="12" t="str">
        <f>IF(Raw_Data!V593="","",IF(Raw_Data!V593="oui",1,0))</f>
        <v/>
      </c>
      <c r="AA590" s="12" t="str">
        <f>IF(Raw_Data!W593="","",IF(Raw_Data!W593="oui",1,0))</f>
        <v/>
      </c>
      <c r="AB590" s="12" t="str">
        <f>IF(Raw_Data!Q593="","",IF(Raw_Data!Q593="oui",1,0))</f>
        <v/>
      </c>
      <c r="AC590" s="12">
        <f>Raw_Data!AF593</f>
        <v>0</v>
      </c>
      <c r="AD590" s="12" t="str">
        <f t="shared" si="86"/>
        <v/>
      </c>
      <c r="AE590" s="12" t="str">
        <f t="shared" si="87"/>
        <v/>
      </c>
      <c r="AF590" s="12" t="str">
        <f t="shared" si="88"/>
        <v/>
      </c>
      <c r="AG590" s="12">
        <f t="shared" si="89"/>
        <v>0</v>
      </c>
    </row>
    <row r="591" spans="1:33" ht="15" customHeight="1" x14ac:dyDescent="0.25">
      <c r="A591" s="12" t="str">
        <f>IF(Raw_Data!B594="","",Raw_Data!B594)</f>
        <v/>
      </c>
      <c r="B591" s="12">
        <f>IF(Raw_Data!X594&lt;&gt;"",Raw_Data!X594,Raw_Data!C594)</f>
        <v>0</v>
      </c>
      <c r="C591" s="12" t="str">
        <f>IF(Raw_Data!G594="","",Raw_Data!G594)</f>
        <v/>
      </c>
      <c r="D591" s="12" t="str">
        <f>IF(Raw_Data!H594="","",Raw_Data!H594)</f>
        <v/>
      </c>
      <c r="E591" s="12" t="str">
        <f>IF(Raw_Data!I594="","",Raw_Data!I594)</f>
        <v/>
      </c>
      <c r="F591" s="12" t="str">
        <f>IF(Raw_Data!J594="","",Raw_Data!J594)</f>
        <v/>
      </c>
      <c r="G591" s="12" t="str">
        <f>IF(Raw_Data!AH594&lt;&gt;"",Raw_Data!AH594,IF(Raw_Data!K594&lt;&gt;"",Raw_Data!K594,""))</f>
        <v/>
      </c>
      <c r="H591" s="12" t="str">
        <f>IF(Raw_Data!AI594&lt;&gt;"",Raw_Data!AI594,IF(Raw_Data!L594&lt;&gt;"",Raw_Data!L594,""))</f>
        <v/>
      </c>
      <c r="I591" s="12" t="str">
        <f t="shared" si="81"/>
        <v/>
      </c>
      <c r="J591" s="12" t="str">
        <f>IF(Raw_Data!M594="","",Raw_Data!M594)</f>
        <v/>
      </c>
      <c r="K591" s="12">
        <f>IF(Raw_Data!AJ594&lt;&gt;"",Raw_Data!AJ594,Raw_Data!N594)</f>
        <v>0</v>
      </c>
      <c r="L591" s="12">
        <f t="shared" si="82"/>
        <v>1</v>
      </c>
      <c r="M591" s="12" t="str">
        <f>IF(Raw_Data!AK594="","",Raw_Data!AK594)</f>
        <v/>
      </c>
      <c r="N591" s="12" t="str">
        <f>IF(Raw_Data!T594="","",Raw_Data!T594)</f>
        <v/>
      </c>
      <c r="O591" s="12" t="str">
        <f>IF(Raw_Data!AB594&lt;&gt;"",Raw_Data!AB594,IF(N591="tres_insatisfait",1,IF(N591="insatisfait",2,IF(N591="neutre",3,IF(N591="satisfait",4,IF(N591="tres_satisfait",5,""))))))</f>
        <v/>
      </c>
      <c r="P591" s="12">
        <f>IF(Raw_Data!AL594&lt;&gt;"",Raw_Data!AL594,Raw_Data!R594)</f>
        <v>0</v>
      </c>
      <c r="Q591" s="12">
        <f t="shared" si="83"/>
        <v>0</v>
      </c>
      <c r="R591" s="12" t="str">
        <f>IF(Raw_Data!AM594="","",Raw_Data!AM594)</f>
        <v/>
      </c>
      <c r="S591" s="12" t="str">
        <f t="shared" si="84"/>
        <v/>
      </c>
      <c r="T591" s="12" t="str">
        <f>IF(Raw_Data!AN594="","",Raw_Data!AN594)</f>
        <v/>
      </c>
      <c r="U591" s="12" t="str">
        <f t="shared" si="85"/>
        <v/>
      </c>
      <c r="V591" s="12" t="str">
        <f>IF(Raw_Data!AP594="","",IF(Raw_Data!AP594="oui",1,0))</f>
        <v/>
      </c>
      <c r="W591" s="12" t="str">
        <f>IF(Raw_Data!AQ594="","",IF(Raw_Data!AQ594="oui",1,0))</f>
        <v/>
      </c>
      <c r="X591" s="12" t="str">
        <f>IF(Raw_Data!AR594="","",IF(Raw_Data!AR594="oui",1,0))</f>
        <v/>
      </c>
      <c r="Y591" s="12" t="str">
        <f>IF(Raw_Data!AS594="","",IF(Raw_Data!AS594="oui",1,0))</f>
        <v/>
      </c>
      <c r="Z591" s="12" t="str">
        <f>IF(Raw_Data!V594="","",IF(Raw_Data!V594="oui",1,0))</f>
        <v/>
      </c>
      <c r="AA591" s="12" t="str">
        <f>IF(Raw_Data!W594="","",IF(Raw_Data!W594="oui",1,0))</f>
        <v/>
      </c>
      <c r="AB591" s="12" t="str">
        <f>IF(Raw_Data!Q594="","",IF(Raw_Data!Q594="oui",1,0))</f>
        <v/>
      </c>
      <c r="AC591" s="12">
        <f>Raw_Data!AF594</f>
        <v>0</v>
      </c>
      <c r="AD591" s="12" t="str">
        <f t="shared" si="86"/>
        <v/>
      </c>
      <c r="AE591" s="12" t="str">
        <f t="shared" si="87"/>
        <v/>
      </c>
      <c r="AF591" s="12" t="str">
        <f t="shared" si="88"/>
        <v/>
      </c>
      <c r="AG591" s="12">
        <f t="shared" si="89"/>
        <v>0</v>
      </c>
    </row>
    <row r="592" spans="1:33" ht="15" customHeight="1" x14ac:dyDescent="0.25">
      <c r="A592" s="12" t="str">
        <f>IF(Raw_Data!B595="","",Raw_Data!B595)</f>
        <v/>
      </c>
      <c r="B592" s="12">
        <f>IF(Raw_Data!X595&lt;&gt;"",Raw_Data!X595,Raw_Data!C595)</f>
        <v>0</v>
      </c>
      <c r="C592" s="12" t="str">
        <f>IF(Raw_Data!G595="","",Raw_Data!G595)</f>
        <v/>
      </c>
      <c r="D592" s="12" t="str">
        <f>IF(Raw_Data!H595="","",Raw_Data!H595)</f>
        <v/>
      </c>
      <c r="E592" s="12" t="str">
        <f>IF(Raw_Data!I595="","",Raw_Data!I595)</f>
        <v/>
      </c>
      <c r="F592" s="12" t="str">
        <f>IF(Raw_Data!J595="","",Raw_Data!J595)</f>
        <v/>
      </c>
      <c r="G592" s="12" t="str">
        <f>IF(Raw_Data!AH595&lt;&gt;"",Raw_Data!AH595,IF(Raw_Data!K595&lt;&gt;"",Raw_Data!K595,""))</f>
        <v/>
      </c>
      <c r="H592" s="12" t="str">
        <f>IF(Raw_Data!AI595&lt;&gt;"",Raw_Data!AI595,IF(Raw_Data!L595&lt;&gt;"",Raw_Data!L595,""))</f>
        <v/>
      </c>
      <c r="I592" s="12" t="str">
        <f t="shared" si="81"/>
        <v/>
      </c>
      <c r="J592" s="12" t="str">
        <f>IF(Raw_Data!M595="","",Raw_Data!M595)</f>
        <v/>
      </c>
      <c r="K592" s="12">
        <f>IF(Raw_Data!AJ595&lt;&gt;"",Raw_Data!AJ595,Raw_Data!N595)</f>
        <v>0</v>
      </c>
      <c r="L592" s="12">
        <f t="shared" si="82"/>
        <v>1</v>
      </c>
      <c r="M592" s="12" t="str">
        <f>IF(Raw_Data!AK595="","",Raw_Data!AK595)</f>
        <v/>
      </c>
      <c r="N592" s="12" t="str">
        <f>IF(Raw_Data!T595="","",Raw_Data!T595)</f>
        <v/>
      </c>
      <c r="O592" s="12" t="str">
        <f>IF(Raw_Data!AB595&lt;&gt;"",Raw_Data!AB595,IF(N592="tres_insatisfait",1,IF(N592="insatisfait",2,IF(N592="neutre",3,IF(N592="satisfait",4,IF(N592="tres_satisfait",5,""))))))</f>
        <v/>
      </c>
      <c r="P592" s="12">
        <f>IF(Raw_Data!AL595&lt;&gt;"",Raw_Data!AL595,Raw_Data!R595)</f>
        <v>0</v>
      </c>
      <c r="Q592" s="12">
        <f t="shared" si="83"/>
        <v>0</v>
      </c>
      <c r="R592" s="12" t="str">
        <f>IF(Raw_Data!AM595="","",Raw_Data!AM595)</f>
        <v/>
      </c>
      <c r="S592" s="12" t="str">
        <f t="shared" si="84"/>
        <v/>
      </c>
      <c r="T592" s="12" t="str">
        <f>IF(Raw_Data!AN595="","",Raw_Data!AN595)</f>
        <v/>
      </c>
      <c r="U592" s="12" t="str">
        <f t="shared" si="85"/>
        <v/>
      </c>
      <c r="V592" s="12" t="str">
        <f>IF(Raw_Data!AP595="","",IF(Raw_Data!AP595="oui",1,0))</f>
        <v/>
      </c>
      <c r="W592" s="12" t="str">
        <f>IF(Raw_Data!AQ595="","",IF(Raw_Data!AQ595="oui",1,0))</f>
        <v/>
      </c>
      <c r="X592" s="12" t="str">
        <f>IF(Raw_Data!AR595="","",IF(Raw_Data!AR595="oui",1,0))</f>
        <v/>
      </c>
      <c r="Y592" s="12" t="str">
        <f>IF(Raw_Data!AS595="","",IF(Raw_Data!AS595="oui",1,0))</f>
        <v/>
      </c>
      <c r="Z592" s="12" t="str">
        <f>IF(Raw_Data!V595="","",IF(Raw_Data!V595="oui",1,0))</f>
        <v/>
      </c>
      <c r="AA592" s="12" t="str">
        <f>IF(Raw_Data!W595="","",IF(Raw_Data!W595="oui",1,0))</f>
        <v/>
      </c>
      <c r="AB592" s="12" t="str">
        <f>IF(Raw_Data!Q595="","",IF(Raw_Data!Q595="oui",1,0))</f>
        <v/>
      </c>
      <c r="AC592" s="12">
        <f>Raw_Data!AF595</f>
        <v>0</v>
      </c>
      <c r="AD592" s="12" t="str">
        <f t="shared" si="86"/>
        <v/>
      </c>
      <c r="AE592" s="12" t="str">
        <f t="shared" si="87"/>
        <v/>
      </c>
      <c r="AF592" s="12" t="str">
        <f t="shared" si="88"/>
        <v/>
      </c>
      <c r="AG592" s="12">
        <f t="shared" si="89"/>
        <v>0</v>
      </c>
    </row>
    <row r="593" spans="1:33" ht="15" customHeight="1" x14ac:dyDescent="0.25">
      <c r="A593" s="12" t="str">
        <f>IF(Raw_Data!B596="","",Raw_Data!B596)</f>
        <v/>
      </c>
      <c r="B593" s="12">
        <f>IF(Raw_Data!X596&lt;&gt;"",Raw_Data!X596,Raw_Data!C596)</f>
        <v>0</v>
      </c>
      <c r="C593" s="12" t="str">
        <f>IF(Raw_Data!G596="","",Raw_Data!G596)</f>
        <v/>
      </c>
      <c r="D593" s="12" t="str">
        <f>IF(Raw_Data!H596="","",Raw_Data!H596)</f>
        <v/>
      </c>
      <c r="E593" s="12" t="str">
        <f>IF(Raw_Data!I596="","",Raw_Data!I596)</f>
        <v/>
      </c>
      <c r="F593" s="12" t="str">
        <f>IF(Raw_Data!J596="","",Raw_Data!J596)</f>
        <v/>
      </c>
      <c r="G593" s="12" t="str">
        <f>IF(Raw_Data!AH596&lt;&gt;"",Raw_Data!AH596,IF(Raw_Data!K596&lt;&gt;"",Raw_Data!K596,""))</f>
        <v/>
      </c>
      <c r="H593" s="12" t="str">
        <f>IF(Raw_Data!AI596&lt;&gt;"",Raw_Data!AI596,IF(Raw_Data!L596&lt;&gt;"",Raw_Data!L596,""))</f>
        <v/>
      </c>
      <c r="I593" s="12" t="str">
        <f t="shared" si="81"/>
        <v/>
      </c>
      <c r="J593" s="12" t="str">
        <f>IF(Raw_Data!M596="","",Raw_Data!M596)</f>
        <v/>
      </c>
      <c r="K593" s="12">
        <f>IF(Raw_Data!AJ596&lt;&gt;"",Raw_Data!AJ596,Raw_Data!N596)</f>
        <v>0</v>
      </c>
      <c r="L593" s="12">
        <f t="shared" si="82"/>
        <v>1</v>
      </c>
      <c r="M593" s="12" t="str">
        <f>IF(Raw_Data!AK596="","",Raw_Data!AK596)</f>
        <v/>
      </c>
      <c r="N593" s="12" t="str">
        <f>IF(Raw_Data!T596="","",Raw_Data!T596)</f>
        <v/>
      </c>
      <c r="O593" s="12" t="str">
        <f>IF(Raw_Data!AB596&lt;&gt;"",Raw_Data!AB596,IF(N593="tres_insatisfait",1,IF(N593="insatisfait",2,IF(N593="neutre",3,IF(N593="satisfait",4,IF(N593="tres_satisfait",5,""))))))</f>
        <v/>
      </c>
      <c r="P593" s="12">
        <f>IF(Raw_Data!AL596&lt;&gt;"",Raw_Data!AL596,Raw_Data!R596)</f>
        <v>0</v>
      </c>
      <c r="Q593" s="12">
        <f t="shared" si="83"/>
        <v>0</v>
      </c>
      <c r="R593" s="12" t="str">
        <f>IF(Raw_Data!AM596="","",Raw_Data!AM596)</f>
        <v/>
      </c>
      <c r="S593" s="12" t="str">
        <f t="shared" si="84"/>
        <v/>
      </c>
      <c r="T593" s="12" t="str">
        <f>IF(Raw_Data!AN596="","",Raw_Data!AN596)</f>
        <v/>
      </c>
      <c r="U593" s="12" t="str">
        <f t="shared" si="85"/>
        <v/>
      </c>
      <c r="V593" s="12" t="str">
        <f>IF(Raw_Data!AP596="","",IF(Raw_Data!AP596="oui",1,0))</f>
        <v/>
      </c>
      <c r="W593" s="12" t="str">
        <f>IF(Raw_Data!AQ596="","",IF(Raw_Data!AQ596="oui",1,0))</f>
        <v/>
      </c>
      <c r="X593" s="12" t="str">
        <f>IF(Raw_Data!AR596="","",IF(Raw_Data!AR596="oui",1,0))</f>
        <v/>
      </c>
      <c r="Y593" s="12" t="str">
        <f>IF(Raw_Data!AS596="","",IF(Raw_Data!AS596="oui",1,0))</f>
        <v/>
      </c>
      <c r="Z593" s="12" t="str">
        <f>IF(Raw_Data!V596="","",IF(Raw_Data!V596="oui",1,0))</f>
        <v/>
      </c>
      <c r="AA593" s="12" t="str">
        <f>IF(Raw_Data!W596="","",IF(Raw_Data!W596="oui",1,0))</f>
        <v/>
      </c>
      <c r="AB593" s="12" t="str">
        <f>IF(Raw_Data!Q596="","",IF(Raw_Data!Q596="oui",1,0))</f>
        <v/>
      </c>
      <c r="AC593" s="12">
        <f>Raw_Data!AF596</f>
        <v>0</v>
      </c>
      <c r="AD593" s="12" t="str">
        <f t="shared" si="86"/>
        <v/>
      </c>
      <c r="AE593" s="12" t="str">
        <f t="shared" si="87"/>
        <v/>
      </c>
      <c r="AF593" s="12" t="str">
        <f t="shared" si="88"/>
        <v/>
      </c>
      <c r="AG593" s="12">
        <f t="shared" si="89"/>
        <v>0</v>
      </c>
    </row>
    <row r="594" spans="1:33" ht="15" customHeight="1" x14ac:dyDescent="0.25">
      <c r="A594" s="12" t="str">
        <f>IF(Raw_Data!B597="","",Raw_Data!B597)</f>
        <v/>
      </c>
      <c r="B594" s="12">
        <f>IF(Raw_Data!X597&lt;&gt;"",Raw_Data!X597,Raw_Data!C597)</f>
        <v>0</v>
      </c>
      <c r="C594" s="12" t="str">
        <f>IF(Raw_Data!G597="","",Raw_Data!G597)</f>
        <v/>
      </c>
      <c r="D594" s="12" t="str">
        <f>IF(Raw_Data!H597="","",Raw_Data!H597)</f>
        <v/>
      </c>
      <c r="E594" s="12" t="str">
        <f>IF(Raw_Data!I597="","",Raw_Data!I597)</f>
        <v/>
      </c>
      <c r="F594" s="12" t="str">
        <f>IF(Raw_Data!J597="","",Raw_Data!J597)</f>
        <v/>
      </c>
      <c r="G594" s="12" t="str">
        <f>IF(Raw_Data!AH597&lt;&gt;"",Raw_Data!AH597,IF(Raw_Data!K597&lt;&gt;"",Raw_Data!K597,""))</f>
        <v/>
      </c>
      <c r="H594" s="12" t="str">
        <f>IF(Raw_Data!AI597&lt;&gt;"",Raw_Data!AI597,IF(Raw_Data!L597&lt;&gt;"",Raw_Data!L597,""))</f>
        <v/>
      </c>
      <c r="I594" s="12" t="str">
        <f t="shared" si="81"/>
        <v/>
      </c>
      <c r="J594" s="12" t="str">
        <f>IF(Raw_Data!M597="","",Raw_Data!M597)</f>
        <v/>
      </c>
      <c r="K594" s="12">
        <f>IF(Raw_Data!AJ597&lt;&gt;"",Raw_Data!AJ597,Raw_Data!N597)</f>
        <v>0</v>
      </c>
      <c r="L594" s="12">
        <f t="shared" si="82"/>
        <v>1</v>
      </c>
      <c r="M594" s="12" t="str">
        <f>IF(Raw_Data!AK597="","",Raw_Data!AK597)</f>
        <v/>
      </c>
      <c r="N594" s="12" t="str">
        <f>IF(Raw_Data!T597="","",Raw_Data!T597)</f>
        <v/>
      </c>
      <c r="O594" s="12" t="str">
        <f>IF(Raw_Data!AB597&lt;&gt;"",Raw_Data!AB597,IF(N594="tres_insatisfait",1,IF(N594="insatisfait",2,IF(N594="neutre",3,IF(N594="satisfait",4,IF(N594="tres_satisfait",5,""))))))</f>
        <v/>
      </c>
      <c r="P594" s="12">
        <f>IF(Raw_Data!AL597&lt;&gt;"",Raw_Data!AL597,Raw_Data!R597)</f>
        <v>0</v>
      </c>
      <c r="Q594" s="12">
        <f t="shared" si="83"/>
        <v>0</v>
      </c>
      <c r="R594" s="12" t="str">
        <f>IF(Raw_Data!AM597="","",Raw_Data!AM597)</f>
        <v/>
      </c>
      <c r="S594" s="12" t="str">
        <f t="shared" si="84"/>
        <v/>
      </c>
      <c r="T594" s="12" t="str">
        <f>IF(Raw_Data!AN597="","",Raw_Data!AN597)</f>
        <v/>
      </c>
      <c r="U594" s="12" t="str">
        <f t="shared" si="85"/>
        <v/>
      </c>
      <c r="V594" s="12" t="str">
        <f>IF(Raw_Data!AP597="","",IF(Raw_Data!AP597="oui",1,0))</f>
        <v/>
      </c>
      <c r="W594" s="12" t="str">
        <f>IF(Raw_Data!AQ597="","",IF(Raw_Data!AQ597="oui",1,0))</f>
        <v/>
      </c>
      <c r="X594" s="12" t="str">
        <f>IF(Raw_Data!AR597="","",IF(Raw_Data!AR597="oui",1,0))</f>
        <v/>
      </c>
      <c r="Y594" s="12" t="str">
        <f>IF(Raw_Data!AS597="","",IF(Raw_Data!AS597="oui",1,0))</f>
        <v/>
      </c>
      <c r="Z594" s="12" t="str">
        <f>IF(Raw_Data!V597="","",IF(Raw_Data!V597="oui",1,0))</f>
        <v/>
      </c>
      <c r="AA594" s="12" t="str">
        <f>IF(Raw_Data!W597="","",IF(Raw_Data!W597="oui",1,0))</f>
        <v/>
      </c>
      <c r="AB594" s="12" t="str">
        <f>IF(Raw_Data!Q597="","",IF(Raw_Data!Q597="oui",1,0))</f>
        <v/>
      </c>
      <c r="AC594" s="12">
        <f>Raw_Data!AF597</f>
        <v>0</v>
      </c>
      <c r="AD594" s="12" t="str">
        <f t="shared" si="86"/>
        <v/>
      </c>
      <c r="AE594" s="12" t="str">
        <f t="shared" si="87"/>
        <v/>
      </c>
      <c r="AF594" s="12" t="str">
        <f t="shared" si="88"/>
        <v/>
      </c>
      <c r="AG594" s="12">
        <f t="shared" si="89"/>
        <v>0</v>
      </c>
    </row>
    <row r="595" spans="1:33" ht="15" customHeight="1" x14ac:dyDescent="0.25">
      <c r="A595" s="12" t="str">
        <f>IF(Raw_Data!B598="","",Raw_Data!B598)</f>
        <v/>
      </c>
      <c r="B595" s="12">
        <f>IF(Raw_Data!X598&lt;&gt;"",Raw_Data!X598,Raw_Data!C598)</f>
        <v>0</v>
      </c>
      <c r="C595" s="12" t="str">
        <f>IF(Raw_Data!G598="","",Raw_Data!G598)</f>
        <v/>
      </c>
      <c r="D595" s="12" t="str">
        <f>IF(Raw_Data!H598="","",Raw_Data!H598)</f>
        <v/>
      </c>
      <c r="E595" s="12" t="str">
        <f>IF(Raw_Data!I598="","",Raw_Data!I598)</f>
        <v/>
      </c>
      <c r="F595" s="12" t="str">
        <f>IF(Raw_Data!J598="","",Raw_Data!J598)</f>
        <v/>
      </c>
      <c r="G595" s="12" t="str">
        <f>IF(Raw_Data!AH598&lt;&gt;"",Raw_Data!AH598,IF(Raw_Data!K598&lt;&gt;"",Raw_Data!K598,""))</f>
        <v/>
      </c>
      <c r="H595" s="12" t="str">
        <f>IF(Raw_Data!AI598&lt;&gt;"",Raw_Data!AI598,IF(Raw_Data!L598&lt;&gt;"",Raw_Data!L598,""))</f>
        <v/>
      </c>
      <c r="I595" s="12" t="str">
        <f t="shared" si="81"/>
        <v/>
      </c>
      <c r="J595" s="12" t="str">
        <f>IF(Raw_Data!M598="","",Raw_Data!M598)</f>
        <v/>
      </c>
      <c r="K595" s="12">
        <f>IF(Raw_Data!AJ598&lt;&gt;"",Raw_Data!AJ598,Raw_Data!N598)</f>
        <v>0</v>
      </c>
      <c r="L595" s="12">
        <f t="shared" si="82"/>
        <v>1</v>
      </c>
      <c r="M595" s="12" t="str">
        <f>IF(Raw_Data!AK598="","",Raw_Data!AK598)</f>
        <v/>
      </c>
      <c r="N595" s="12" t="str">
        <f>IF(Raw_Data!T598="","",Raw_Data!T598)</f>
        <v/>
      </c>
      <c r="O595" s="12" t="str">
        <f>IF(Raw_Data!AB598&lt;&gt;"",Raw_Data!AB598,IF(N595="tres_insatisfait",1,IF(N595="insatisfait",2,IF(N595="neutre",3,IF(N595="satisfait",4,IF(N595="tres_satisfait",5,""))))))</f>
        <v/>
      </c>
      <c r="P595" s="12">
        <f>IF(Raw_Data!AL598&lt;&gt;"",Raw_Data!AL598,Raw_Data!R598)</f>
        <v>0</v>
      </c>
      <c r="Q595" s="12">
        <f t="shared" si="83"/>
        <v>0</v>
      </c>
      <c r="R595" s="12" t="str">
        <f>IF(Raw_Data!AM598="","",Raw_Data!AM598)</f>
        <v/>
      </c>
      <c r="S595" s="12" t="str">
        <f t="shared" si="84"/>
        <v/>
      </c>
      <c r="T595" s="12" t="str">
        <f>IF(Raw_Data!AN598="","",Raw_Data!AN598)</f>
        <v/>
      </c>
      <c r="U595" s="12" t="str">
        <f t="shared" si="85"/>
        <v/>
      </c>
      <c r="V595" s="12" t="str">
        <f>IF(Raw_Data!AP598="","",IF(Raw_Data!AP598="oui",1,0))</f>
        <v/>
      </c>
      <c r="W595" s="12" t="str">
        <f>IF(Raw_Data!AQ598="","",IF(Raw_Data!AQ598="oui",1,0))</f>
        <v/>
      </c>
      <c r="X595" s="12" t="str">
        <f>IF(Raw_Data!AR598="","",IF(Raw_Data!AR598="oui",1,0))</f>
        <v/>
      </c>
      <c r="Y595" s="12" t="str">
        <f>IF(Raw_Data!AS598="","",IF(Raw_Data!AS598="oui",1,0))</f>
        <v/>
      </c>
      <c r="Z595" s="12" t="str">
        <f>IF(Raw_Data!V598="","",IF(Raw_Data!V598="oui",1,0))</f>
        <v/>
      </c>
      <c r="AA595" s="12" t="str">
        <f>IF(Raw_Data!W598="","",IF(Raw_Data!W598="oui",1,0))</f>
        <v/>
      </c>
      <c r="AB595" s="12" t="str">
        <f>IF(Raw_Data!Q598="","",IF(Raw_Data!Q598="oui",1,0))</f>
        <v/>
      </c>
      <c r="AC595" s="12">
        <f>Raw_Data!AF598</f>
        <v>0</v>
      </c>
      <c r="AD595" s="12" t="str">
        <f t="shared" si="86"/>
        <v/>
      </c>
      <c r="AE595" s="12" t="str">
        <f t="shared" si="87"/>
        <v/>
      </c>
      <c r="AF595" s="12" t="str">
        <f t="shared" si="88"/>
        <v/>
      </c>
      <c r="AG595" s="12">
        <f t="shared" si="89"/>
        <v>0</v>
      </c>
    </row>
    <row r="596" spans="1:33" ht="15" customHeight="1" x14ac:dyDescent="0.25">
      <c r="A596" s="12" t="str">
        <f>IF(Raw_Data!B599="","",Raw_Data!B599)</f>
        <v/>
      </c>
      <c r="B596" s="12">
        <f>IF(Raw_Data!X599&lt;&gt;"",Raw_Data!X599,Raw_Data!C599)</f>
        <v>0</v>
      </c>
      <c r="C596" s="12" t="str">
        <f>IF(Raw_Data!G599="","",Raw_Data!G599)</f>
        <v/>
      </c>
      <c r="D596" s="12" t="str">
        <f>IF(Raw_Data!H599="","",Raw_Data!H599)</f>
        <v/>
      </c>
      <c r="E596" s="12" t="str">
        <f>IF(Raw_Data!I599="","",Raw_Data!I599)</f>
        <v/>
      </c>
      <c r="F596" s="12" t="str">
        <f>IF(Raw_Data!J599="","",Raw_Data!J599)</f>
        <v/>
      </c>
      <c r="G596" s="12" t="str">
        <f>IF(Raw_Data!AH599&lt;&gt;"",Raw_Data!AH599,IF(Raw_Data!K599&lt;&gt;"",Raw_Data!K599,""))</f>
        <v/>
      </c>
      <c r="H596" s="12" t="str">
        <f>IF(Raw_Data!AI599&lt;&gt;"",Raw_Data!AI599,IF(Raw_Data!L599&lt;&gt;"",Raw_Data!L599,""))</f>
        <v/>
      </c>
      <c r="I596" s="12" t="str">
        <f t="shared" si="81"/>
        <v/>
      </c>
      <c r="J596" s="12" t="str">
        <f>IF(Raw_Data!M599="","",Raw_Data!M599)</f>
        <v/>
      </c>
      <c r="K596" s="12">
        <f>IF(Raw_Data!AJ599&lt;&gt;"",Raw_Data!AJ599,Raw_Data!N599)</f>
        <v>0</v>
      </c>
      <c r="L596" s="12">
        <f t="shared" si="82"/>
        <v>1</v>
      </c>
      <c r="M596" s="12" t="str">
        <f>IF(Raw_Data!AK599="","",Raw_Data!AK599)</f>
        <v/>
      </c>
      <c r="N596" s="12" t="str">
        <f>IF(Raw_Data!T599="","",Raw_Data!T599)</f>
        <v/>
      </c>
      <c r="O596" s="12" t="str">
        <f>IF(Raw_Data!AB599&lt;&gt;"",Raw_Data!AB599,IF(N596="tres_insatisfait",1,IF(N596="insatisfait",2,IF(N596="neutre",3,IF(N596="satisfait",4,IF(N596="tres_satisfait",5,""))))))</f>
        <v/>
      </c>
      <c r="P596" s="12">
        <f>IF(Raw_Data!AL599&lt;&gt;"",Raw_Data!AL599,Raw_Data!R599)</f>
        <v>0</v>
      </c>
      <c r="Q596" s="12">
        <f t="shared" si="83"/>
        <v>0</v>
      </c>
      <c r="R596" s="12" t="str">
        <f>IF(Raw_Data!AM599="","",Raw_Data!AM599)</f>
        <v/>
      </c>
      <c r="S596" s="12" t="str">
        <f t="shared" si="84"/>
        <v/>
      </c>
      <c r="T596" s="12" t="str">
        <f>IF(Raw_Data!AN599="","",Raw_Data!AN599)</f>
        <v/>
      </c>
      <c r="U596" s="12" t="str">
        <f t="shared" si="85"/>
        <v/>
      </c>
      <c r="V596" s="12" t="str">
        <f>IF(Raw_Data!AP599="","",IF(Raw_Data!AP599="oui",1,0))</f>
        <v/>
      </c>
      <c r="W596" s="12" t="str">
        <f>IF(Raw_Data!AQ599="","",IF(Raw_Data!AQ599="oui",1,0))</f>
        <v/>
      </c>
      <c r="X596" s="12" t="str">
        <f>IF(Raw_Data!AR599="","",IF(Raw_Data!AR599="oui",1,0))</f>
        <v/>
      </c>
      <c r="Y596" s="12" t="str">
        <f>IF(Raw_Data!AS599="","",IF(Raw_Data!AS599="oui",1,0))</f>
        <v/>
      </c>
      <c r="Z596" s="12" t="str">
        <f>IF(Raw_Data!V599="","",IF(Raw_Data!V599="oui",1,0))</f>
        <v/>
      </c>
      <c r="AA596" s="12" t="str">
        <f>IF(Raw_Data!W599="","",IF(Raw_Data!W599="oui",1,0))</f>
        <v/>
      </c>
      <c r="AB596" s="12" t="str">
        <f>IF(Raw_Data!Q599="","",IF(Raw_Data!Q599="oui",1,0))</f>
        <v/>
      </c>
      <c r="AC596" s="12">
        <f>Raw_Data!AF599</f>
        <v>0</v>
      </c>
      <c r="AD596" s="12" t="str">
        <f t="shared" si="86"/>
        <v/>
      </c>
      <c r="AE596" s="12" t="str">
        <f t="shared" si="87"/>
        <v/>
      </c>
      <c r="AF596" s="12" t="str">
        <f t="shared" si="88"/>
        <v/>
      </c>
      <c r="AG596" s="12">
        <f t="shared" si="89"/>
        <v>0</v>
      </c>
    </row>
    <row r="597" spans="1:33" ht="15" customHeight="1" x14ac:dyDescent="0.25">
      <c r="A597" s="12" t="str">
        <f>IF(Raw_Data!B600="","",Raw_Data!B600)</f>
        <v/>
      </c>
      <c r="B597" s="12">
        <f>IF(Raw_Data!X600&lt;&gt;"",Raw_Data!X600,Raw_Data!C600)</f>
        <v>0</v>
      </c>
      <c r="C597" s="12" t="str">
        <f>IF(Raw_Data!G600="","",Raw_Data!G600)</f>
        <v/>
      </c>
      <c r="D597" s="12" t="str">
        <f>IF(Raw_Data!H600="","",Raw_Data!H600)</f>
        <v/>
      </c>
      <c r="E597" s="12" t="str">
        <f>IF(Raw_Data!I600="","",Raw_Data!I600)</f>
        <v/>
      </c>
      <c r="F597" s="12" t="str">
        <f>IF(Raw_Data!J600="","",Raw_Data!J600)</f>
        <v/>
      </c>
      <c r="G597" s="12" t="str">
        <f>IF(Raw_Data!AH600&lt;&gt;"",Raw_Data!AH600,IF(Raw_Data!K600&lt;&gt;"",Raw_Data!K600,""))</f>
        <v/>
      </c>
      <c r="H597" s="12" t="str">
        <f>IF(Raw_Data!AI600&lt;&gt;"",Raw_Data!AI600,IF(Raw_Data!L600&lt;&gt;"",Raw_Data!L600,""))</f>
        <v/>
      </c>
      <c r="I597" s="12" t="str">
        <f t="shared" si="81"/>
        <v/>
      </c>
      <c r="J597" s="12" t="str">
        <f>IF(Raw_Data!M600="","",Raw_Data!M600)</f>
        <v/>
      </c>
      <c r="K597" s="12">
        <f>IF(Raw_Data!AJ600&lt;&gt;"",Raw_Data!AJ600,Raw_Data!N600)</f>
        <v>0</v>
      </c>
      <c r="L597" s="12">
        <f t="shared" si="82"/>
        <v>1</v>
      </c>
      <c r="M597" s="12" t="str">
        <f>IF(Raw_Data!AK600="","",Raw_Data!AK600)</f>
        <v/>
      </c>
      <c r="N597" s="12" t="str">
        <f>IF(Raw_Data!T600="","",Raw_Data!T600)</f>
        <v/>
      </c>
      <c r="O597" s="12" t="str">
        <f>IF(Raw_Data!AB600&lt;&gt;"",Raw_Data!AB600,IF(N597="tres_insatisfait",1,IF(N597="insatisfait",2,IF(N597="neutre",3,IF(N597="satisfait",4,IF(N597="tres_satisfait",5,""))))))</f>
        <v/>
      </c>
      <c r="P597" s="12">
        <f>IF(Raw_Data!AL600&lt;&gt;"",Raw_Data!AL600,Raw_Data!R600)</f>
        <v>0</v>
      </c>
      <c r="Q597" s="12">
        <f t="shared" si="83"/>
        <v>0</v>
      </c>
      <c r="R597" s="12" t="str">
        <f>IF(Raw_Data!AM600="","",Raw_Data!AM600)</f>
        <v/>
      </c>
      <c r="S597" s="12" t="str">
        <f t="shared" si="84"/>
        <v/>
      </c>
      <c r="T597" s="12" t="str">
        <f>IF(Raw_Data!AN600="","",Raw_Data!AN600)</f>
        <v/>
      </c>
      <c r="U597" s="12" t="str">
        <f t="shared" si="85"/>
        <v/>
      </c>
      <c r="V597" s="12" t="str">
        <f>IF(Raw_Data!AP600="","",IF(Raw_Data!AP600="oui",1,0))</f>
        <v/>
      </c>
      <c r="W597" s="12" t="str">
        <f>IF(Raw_Data!AQ600="","",IF(Raw_Data!AQ600="oui",1,0))</f>
        <v/>
      </c>
      <c r="X597" s="12" t="str">
        <f>IF(Raw_Data!AR600="","",IF(Raw_Data!AR600="oui",1,0))</f>
        <v/>
      </c>
      <c r="Y597" s="12" t="str">
        <f>IF(Raw_Data!AS600="","",IF(Raw_Data!AS600="oui",1,0))</f>
        <v/>
      </c>
      <c r="Z597" s="12" t="str">
        <f>IF(Raw_Data!V600="","",IF(Raw_Data!V600="oui",1,0))</f>
        <v/>
      </c>
      <c r="AA597" s="12" t="str">
        <f>IF(Raw_Data!W600="","",IF(Raw_Data!W600="oui",1,0))</f>
        <v/>
      </c>
      <c r="AB597" s="12" t="str">
        <f>IF(Raw_Data!Q600="","",IF(Raw_Data!Q600="oui",1,0))</f>
        <v/>
      </c>
      <c r="AC597" s="12">
        <f>Raw_Data!AF600</f>
        <v>0</v>
      </c>
      <c r="AD597" s="12" t="str">
        <f t="shared" si="86"/>
        <v/>
      </c>
      <c r="AE597" s="12" t="str">
        <f t="shared" si="87"/>
        <v/>
      </c>
      <c r="AF597" s="12" t="str">
        <f t="shared" si="88"/>
        <v/>
      </c>
      <c r="AG597" s="12">
        <f t="shared" si="89"/>
        <v>0</v>
      </c>
    </row>
    <row r="598" spans="1:33" ht="15" customHeight="1" x14ac:dyDescent="0.25">
      <c r="A598" s="12" t="str">
        <f>IF(Raw_Data!B601="","",Raw_Data!B601)</f>
        <v/>
      </c>
      <c r="B598" s="12">
        <f>IF(Raw_Data!X601&lt;&gt;"",Raw_Data!X601,Raw_Data!C601)</f>
        <v>0</v>
      </c>
      <c r="C598" s="12" t="str">
        <f>IF(Raw_Data!G601="","",Raw_Data!G601)</f>
        <v/>
      </c>
      <c r="D598" s="12" t="str">
        <f>IF(Raw_Data!H601="","",Raw_Data!H601)</f>
        <v/>
      </c>
      <c r="E598" s="12" t="str">
        <f>IF(Raw_Data!I601="","",Raw_Data!I601)</f>
        <v/>
      </c>
      <c r="F598" s="12" t="str">
        <f>IF(Raw_Data!J601="","",Raw_Data!J601)</f>
        <v/>
      </c>
      <c r="G598" s="12" t="str">
        <f>IF(Raw_Data!AH601&lt;&gt;"",Raw_Data!AH601,IF(Raw_Data!K601&lt;&gt;"",Raw_Data!K601,""))</f>
        <v/>
      </c>
      <c r="H598" s="12" t="str">
        <f>IF(Raw_Data!AI601&lt;&gt;"",Raw_Data!AI601,IF(Raw_Data!L601&lt;&gt;"",Raw_Data!L601,""))</f>
        <v/>
      </c>
      <c r="I598" s="12" t="str">
        <f t="shared" si="81"/>
        <v/>
      </c>
      <c r="J598" s="12" t="str">
        <f>IF(Raw_Data!M601="","",Raw_Data!M601)</f>
        <v/>
      </c>
      <c r="K598" s="12">
        <f>IF(Raw_Data!AJ601&lt;&gt;"",Raw_Data!AJ601,Raw_Data!N601)</f>
        <v>0</v>
      </c>
      <c r="L598" s="12">
        <f t="shared" si="82"/>
        <v>1</v>
      </c>
      <c r="M598" s="12" t="str">
        <f>IF(Raw_Data!AK601="","",Raw_Data!AK601)</f>
        <v/>
      </c>
      <c r="N598" s="12" t="str">
        <f>IF(Raw_Data!T601="","",Raw_Data!T601)</f>
        <v/>
      </c>
      <c r="O598" s="12" t="str">
        <f>IF(Raw_Data!AB601&lt;&gt;"",Raw_Data!AB601,IF(N598="tres_insatisfait",1,IF(N598="insatisfait",2,IF(N598="neutre",3,IF(N598="satisfait",4,IF(N598="tres_satisfait",5,""))))))</f>
        <v/>
      </c>
      <c r="P598" s="12">
        <f>IF(Raw_Data!AL601&lt;&gt;"",Raw_Data!AL601,Raw_Data!R601)</f>
        <v>0</v>
      </c>
      <c r="Q598" s="12">
        <f t="shared" si="83"/>
        <v>0</v>
      </c>
      <c r="R598" s="12" t="str">
        <f>IF(Raw_Data!AM601="","",Raw_Data!AM601)</f>
        <v/>
      </c>
      <c r="S598" s="12" t="str">
        <f t="shared" si="84"/>
        <v/>
      </c>
      <c r="T598" s="12" t="str">
        <f>IF(Raw_Data!AN601="","",Raw_Data!AN601)</f>
        <v/>
      </c>
      <c r="U598" s="12" t="str">
        <f t="shared" si="85"/>
        <v/>
      </c>
      <c r="V598" s="12" t="str">
        <f>IF(Raw_Data!AP601="","",IF(Raw_Data!AP601="oui",1,0))</f>
        <v/>
      </c>
      <c r="W598" s="12" t="str">
        <f>IF(Raw_Data!AQ601="","",IF(Raw_Data!AQ601="oui",1,0))</f>
        <v/>
      </c>
      <c r="X598" s="12" t="str">
        <f>IF(Raw_Data!AR601="","",IF(Raw_Data!AR601="oui",1,0))</f>
        <v/>
      </c>
      <c r="Y598" s="12" t="str">
        <f>IF(Raw_Data!AS601="","",IF(Raw_Data!AS601="oui",1,0))</f>
        <v/>
      </c>
      <c r="Z598" s="12" t="str">
        <f>IF(Raw_Data!V601="","",IF(Raw_Data!V601="oui",1,0))</f>
        <v/>
      </c>
      <c r="AA598" s="12" t="str">
        <f>IF(Raw_Data!W601="","",IF(Raw_Data!W601="oui",1,0))</f>
        <v/>
      </c>
      <c r="AB598" s="12" t="str">
        <f>IF(Raw_Data!Q601="","",IF(Raw_Data!Q601="oui",1,0))</f>
        <v/>
      </c>
      <c r="AC598" s="12">
        <f>Raw_Data!AF601</f>
        <v>0</v>
      </c>
      <c r="AD598" s="12" t="str">
        <f t="shared" si="86"/>
        <v/>
      </c>
      <c r="AE598" s="12" t="str">
        <f t="shared" si="87"/>
        <v/>
      </c>
      <c r="AF598" s="12" t="str">
        <f t="shared" si="88"/>
        <v/>
      </c>
      <c r="AG598" s="12">
        <f t="shared" si="89"/>
        <v>0</v>
      </c>
    </row>
    <row r="599" spans="1:33" ht="15" customHeight="1" x14ac:dyDescent="0.25">
      <c r="A599" s="12" t="str">
        <f>IF(Raw_Data!B602="","",Raw_Data!B602)</f>
        <v/>
      </c>
      <c r="B599" s="12">
        <f>IF(Raw_Data!X602&lt;&gt;"",Raw_Data!X602,Raw_Data!C602)</f>
        <v>0</v>
      </c>
      <c r="C599" s="12" t="str">
        <f>IF(Raw_Data!G602="","",Raw_Data!G602)</f>
        <v/>
      </c>
      <c r="D599" s="12" t="str">
        <f>IF(Raw_Data!H602="","",Raw_Data!H602)</f>
        <v/>
      </c>
      <c r="E599" s="12" t="str">
        <f>IF(Raw_Data!I602="","",Raw_Data!I602)</f>
        <v/>
      </c>
      <c r="F599" s="12" t="str">
        <f>IF(Raw_Data!J602="","",Raw_Data!J602)</f>
        <v/>
      </c>
      <c r="G599" s="12" t="str">
        <f>IF(Raw_Data!AH602&lt;&gt;"",Raw_Data!AH602,IF(Raw_Data!K602&lt;&gt;"",Raw_Data!K602,""))</f>
        <v/>
      </c>
      <c r="H599" s="12" t="str">
        <f>IF(Raw_Data!AI602&lt;&gt;"",Raw_Data!AI602,IF(Raw_Data!L602&lt;&gt;"",Raw_Data!L602,""))</f>
        <v/>
      </c>
      <c r="I599" s="12" t="str">
        <f t="shared" si="81"/>
        <v/>
      </c>
      <c r="J599" s="12" t="str">
        <f>IF(Raw_Data!M602="","",Raw_Data!M602)</f>
        <v/>
      </c>
      <c r="K599" s="12">
        <f>IF(Raw_Data!AJ602&lt;&gt;"",Raw_Data!AJ602,Raw_Data!N602)</f>
        <v>0</v>
      </c>
      <c r="L599" s="12">
        <f t="shared" si="82"/>
        <v>1</v>
      </c>
      <c r="M599" s="12" t="str">
        <f>IF(Raw_Data!AK602="","",Raw_Data!AK602)</f>
        <v/>
      </c>
      <c r="N599" s="12" t="str">
        <f>IF(Raw_Data!T602="","",Raw_Data!T602)</f>
        <v/>
      </c>
      <c r="O599" s="12" t="str">
        <f>IF(Raw_Data!AB602&lt;&gt;"",Raw_Data!AB602,IF(N599="tres_insatisfait",1,IF(N599="insatisfait",2,IF(N599="neutre",3,IF(N599="satisfait",4,IF(N599="tres_satisfait",5,""))))))</f>
        <v/>
      </c>
      <c r="P599" s="12">
        <f>IF(Raw_Data!AL602&lt;&gt;"",Raw_Data!AL602,Raw_Data!R602)</f>
        <v>0</v>
      </c>
      <c r="Q599" s="12">
        <f t="shared" si="83"/>
        <v>0</v>
      </c>
      <c r="R599" s="12" t="str">
        <f>IF(Raw_Data!AM602="","",Raw_Data!AM602)</f>
        <v/>
      </c>
      <c r="S599" s="12" t="str">
        <f t="shared" si="84"/>
        <v/>
      </c>
      <c r="T599" s="12" t="str">
        <f>IF(Raw_Data!AN602="","",Raw_Data!AN602)</f>
        <v/>
      </c>
      <c r="U599" s="12" t="str">
        <f t="shared" si="85"/>
        <v/>
      </c>
      <c r="V599" s="12" t="str">
        <f>IF(Raw_Data!AP602="","",IF(Raw_Data!AP602="oui",1,0))</f>
        <v/>
      </c>
      <c r="W599" s="12" t="str">
        <f>IF(Raw_Data!AQ602="","",IF(Raw_Data!AQ602="oui",1,0))</f>
        <v/>
      </c>
      <c r="X599" s="12" t="str">
        <f>IF(Raw_Data!AR602="","",IF(Raw_Data!AR602="oui",1,0))</f>
        <v/>
      </c>
      <c r="Y599" s="12" t="str">
        <f>IF(Raw_Data!AS602="","",IF(Raw_Data!AS602="oui",1,0))</f>
        <v/>
      </c>
      <c r="Z599" s="12" t="str">
        <f>IF(Raw_Data!V602="","",IF(Raw_Data!V602="oui",1,0))</f>
        <v/>
      </c>
      <c r="AA599" s="12" t="str">
        <f>IF(Raw_Data!W602="","",IF(Raw_Data!W602="oui",1,0))</f>
        <v/>
      </c>
      <c r="AB599" s="12" t="str">
        <f>IF(Raw_Data!Q602="","",IF(Raw_Data!Q602="oui",1,0))</f>
        <v/>
      </c>
      <c r="AC599" s="12">
        <f>Raw_Data!AF602</f>
        <v>0</v>
      </c>
      <c r="AD599" s="12" t="str">
        <f t="shared" si="86"/>
        <v/>
      </c>
      <c r="AE599" s="12" t="str">
        <f t="shared" si="87"/>
        <v/>
      </c>
      <c r="AF599" s="12" t="str">
        <f t="shared" si="88"/>
        <v/>
      </c>
      <c r="AG599" s="12">
        <f t="shared" si="89"/>
        <v>0</v>
      </c>
    </row>
    <row r="600" spans="1:33" ht="15" customHeight="1" x14ac:dyDescent="0.25">
      <c r="A600" s="12" t="str">
        <f>IF(Raw_Data!B603="","",Raw_Data!B603)</f>
        <v/>
      </c>
      <c r="B600" s="12">
        <f>IF(Raw_Data!X603&lt;&gt;"",Raw_Data!X603,Raw_Data!C603)</f>
        <v>0</v>
      </c>
      <c r="C600" s="12" t="str">
        <f>IF(Raw_Data!G603="","",Raw_Data!G603)</f>
        <v/>
      </c>
      <c r="D600" s="12" t="str">
        <f>IF(Raw_Data!H603="","",Raw_Data!H603)</f>
        <v/>
      </c>
      <c r="E600" s="12" t="str">
        <f>IF(Raw_Data!I603="","",Raw_Data!I603)</f>
        <v/>
      </c>
      <c r="F600" s="12" t="str">
        <f>IF(Raw_Data!J603="","",Raw_Data!J603)</f>
        <v/>
      </c>
      <c r="G600" s="12" t="str">
        <f>IF(Raw_Data!AH603&lt;&gt;"",Raw_Data!AH603,IF(Raw_Data!K603&lt;&gt;"",Raw_Data!K603,""))</f>
        <v/>
      </c>
      <c r="H600" s="12" t="str">
        <f>IF(Raw_Data!AI603&lt;&gt;"",Raw_Data!AI603,IF(Raw_Data!L603&lt;&gt;"",Raw_Data!L603,""))</f>
        <v/>
      </c>
      <c r="I600" s="12" t="str">
        <f t="shared" si="81"/>
        <v/>
      </c>
      <c r="J600" s="12" t="str">
        <f>IF(Raw_Data!M603="","",Raw_Data!M603)</f>
        <v/>
      </c>
      <c r="K600" s="12">
        <f>IF(Raw_Data!AJ603&lt;&gt;"",Raw_Data!AJ603,Raw_Data!N603)</f>
        <v>0</v>
      </c>
      <c r="L600" s="12">
        <f t="shared" si="82"/>
        <v>1</v>
      </c>
      <c r="M600" s="12" t="str">
        <f>IF(Raw_Data!AK603="","",Raw_Data!AK603)</f>
        <v/>
      </c>
      <c r="N600" s="12" t="str">
        <f>IF(Raw_Data!T603="","",Raw_Data!T603)</f>
        <v/>
      </c>
      <c r="O600" s="12" t="str">
        <f>IF(Raw_Data!AB603&lt;&gt;"",Raw_Data!AB603,IF(N600="tres_insatisfait",1,IF(N600="insatisfait",2,IF(N600="neutre",3,IF(N600="satisfait",4,IF(N600="tres_satisfait",5,""))))))</f>
        <v/>
      </c>
      <c r="P600" s="12">
        <f>IF(Raw_Data!AL603&lt;&gt;"",Raw_Data!AL603,Raw_Data!R603)</f>
        <v>0</v>
      </c>
      <c r="Q600" s="12">
        <f t="shared" si="83"/>
        <v>0</v>
      </c>
      <c r="R600" s="12" t="str">
        <f>IF(Raw_Data!AM603="","",Raw_Data!AM603)</f>
        <v/>
      </c>
      <c r="S600" s="12" t="str">
        <f t="shared" si="84"/>
        <v/>
      </c>
      <c r="T600" s="12" t="str">
        <f>IF(Raw_Data!AN603="","",Raw_Data!AN603)</f>
        <v/>
      </c>
      <c r="U600" s="12" t="str">
        <f t="shared" si="85"/>
        <v/>
      </c>
      <c r="V600" s="12" t="str">
        <f>IF(Raw_Data!AP603="","",IF(Raw_Data!AP603="oui",1,0))</f>
        <v/>
      </c>
      <c r="W600" s="12" t="str">
        <f>IF(Raw_Data!AQ603="","",IF(Raw_Data!AQ603="oui",1,0))</f>
        <v/>
      </c>
      <c r="X600" s="12" t="str">
        <f>IF(Raw_Data!AR603="","",IF(Raw_Data!AR603="oui",1,0))</f>
        <v/>
      </c>
      <c r="Y600" s="12" t="str">
        <f>IF(Raw_Data!AS603="","",IF(Raw_Data!AS603="oui",1,0))</f>
        <v/>
      </c>
      <c r="Z600" s="12" t="str">
        <f>IF(Raw_Data!V603="","",IF(Raw_Data!V603="oui",1,0))</f>
        <v/>
      </c>
      <c r="AA600" s="12" t="str">
        <f>IF(Raw_Data!W603="","",IF(Raw_Data!W603="oui",1,0))</f>
        <v/>
      </c>
      <c r="AB600" s="12" t="str">
        <f>IF(Raw_Data!Q603="","",IF(Raw_Data!Q603="oui",1,0))</f>
        <v/>
      </c>
      <c r="AC600" s="12">
        <f>Raw_Data!AF603</f>
        <v>0</v>
      </c>
      <c r="AD600" s="12" t="str">
        <f t="shared" si="86"/>
        <v/>
      </c>
      <c r="AE600" s="12" t="str">
        <f t="shared" si="87"/>
        <v/>
      </c>
      <c r="AF600" s="12" t="str">
        <f t="shared" si="88"/>
        <v/>
      </c>
      <c r="AG600" s="12">
        <f t="shared" si="89"/>
        <v>0</v>
      </c>
    </row>
    <row r="601" spans="1:33" ht="15" customHeight="1" x14ac:dyDescent="0.25">
      <c r="A601" s="12" t="str">
        <f>IF(Raw_Data!B604="","",Raw_Data!B604)</f>
        <v/>
      </c>
      <c r="B601" s="12">
        <f>IF(Raw_Data!X604&lt;&gt;"",Raw_Data!X604,Raw_Data!C604)</f>
        <v>0</v>
      </c>
      <c r="C601" s="12" t="str">
        <f>IF(Raw_Data!G604="","",Raw_Data!G604)</f>
        <v/>
      </c>
      <c r="D601" s="12" t="str">
        <f>IF(Raw_Data!H604="","",Raw_Data!H604)</f>
        <v/>
      </c>
      <c r="E601" s="12" t="str">
        <f>IF(Raw_Data!I604="","",Raw_Data!I604)</f>
        <v/>
      </c>
      <c r="F601" s="12" t="str">
        <f>IF(Raw_Data!J604="","",Raw_Data!J604)</f>
        <v/>
      </c>
      <c r="G601" s="12" t="str">
        <f>IF(Raw_Data!AH604&lt;&gt;"",Raw_Data!AH604,IF(Raw_Data!K604&lt;&gt;"",Raw_Data!K604,""))</f>
        <v/>
      </c>
      <c r="H601" s="12" t="str">
        <f>IF(Raw_Data!AI604&lt;&gt;"",Raw_Data!AI604,IF(Raw_Data!L604&lt;&gt;"",Raw_Data!L604,""))</f>
        <v/>
      </c>
      <c r="I601" s="12" t="str">
        <f t="shared" si="81"/>
        <v/>
      </c>
      <c r="J601" s="12" t="str">
        <f>IF(Raw_Data!M604="","",Raw_Data!M604)</f>
        <v/>
      </c>
      <c r="K601" s="12">
        <f>IF(Raw_Data!AJ604&lt;&gt;"",Raw_Data!AJ604,Raw_Data!N604)</f>
        <v>0</v>
      </c>
      <c r="L601" s="12">
        <f t="shared" si="82"/>
        <v>1</v>
      </c>
      <c r="M601" s="12" t="str">
        <f>IF(Raw_Data!AK604="","",Raw_Data!AK604)</f>
        <v/>
      </c>
      <c r="N601" s="12" t="str">
        <f>IF(Raw_Data!T604="","",Raw_Data!T604)</f>
        <v/>
      </c>
      <c r="O601" s="12" t="str">
        <f>IF(Raw_Data!AB604&lt;&gt;"",Raw_Data!AB604,IF(N601="tres_insatisfait",1,IF(N601="insatisfait",2,IF(N601="neutre",3,IF(N601="satisfait",4,IF(N601="tres_satisfait",5,""))))))</f>
        <v/>
      </c>
      <c r="P601" s="12">
        <f>IF(Raw_Data!AL604&lt;&gt;"",Raw_Data!AL604,Raw_Data!R604)</f>
        <v>0</v>
      </c>
      <c r="Q601" s="12">
        <f t="shared" si="83"/>
        <v>0</v>
      </c>
      <c r="R601" s="12" t="str">
        <f>IF(Raw_Data!AM604="","",Raw_Data!AM604)</f>
        <v/>
      </c>
      <c r="S601" s="12" t="str">
        <f t="shared" si="84"/>
        <v/>
      </c>
      <c r="T601" s="12" t="str">
        <f>IF(Raw_Data!AN604="","",Raw_Data!AN604)</f>
        <v/>
      </c>
      <c r="U601" s="12" t="str">
        <f t="shared" si="85"/>
        <v/>
      </c>
      <c r="V601" s="12" t="str">
        <f>IF(Raw_Data!AP604="","",IF(Raw_Data!AP604="oui",1,0))</f>
        <v/>
      </c>
      <c r="W601" s="12" t="str">
        <f>IF(Raw_Data!AQ604="","",IF(Raw_Data!AQ604="oui",1,0))</f>
        <v/>
      </c>
      <c r="X601" s="12" t="str">
        <f>IF(Raw_Data!AR604="","",IF(Raw_Data!AR604="oui",1,0))</f>
        <v/>
      </c>
      <c r="Y601" s="12" t="str">
        <f>IF(Raw_Data!AS604="","",IF(Raw_Data!AS604="oui",1,0))</f>
        <v/>
      </c>
      <c r="Z601" s="12" t="str">
        <f>IF(Raw_Data!V604="","",IF(Raw_Data!V604="oui",1,0))</f>
        <v/>
      </c>
      <c r="AA601" s="12" t="str">
        <f>IF(Raw_Data!W604="","",IF(Raw_Data!W604="oui",1,0))</f>
        <v/>
      </c>
      <c r="AB601" s="12" t="str">
        <f>IF(Raw_Data!Q604="","",IF(Raw_Data!Q604="oui",1,0))</f>
        <v/>
      </c>
      <c r="AC601" s="12">
        <f>Raw_Data!AF604</f>
        <v>0</v>
      </c>
      <c r="AD601" s="12" t="str">
        <f t="shared" si="86"/>
        <v/>
      </c>
      <c r="AE601" s="12" t="str">
        <f t="shared" si="87"/>
        <v/>
      </c>
      <c r="AF601" s="12" t="str">
        <f t="shared" si="88"/>
        <v/>
      </c>
      <c r="AG601" s="12">
        <f t="shared" si="89"/>
        <v>0</v>
      </c>
    </row>
    <row r="602" spans="1:33" ht="15" customHeight="1" x14ac:dyDescent="0.25">
      <c r="A602" s="12" t="str">
        <f>IF(Raw_Data!B605="","",Raw_Data!B605)</f>
        <v/>
      </c>
      <c r="B602" s="12">
        <f>IF(Raw_Data!X605&lt;&gt;"",Raw_Data!X605,Raw_Data!C605)</f>
        <v>0</v>
      </c>
      <c r="C602" s="12" t="str">
        <f>IF(Raw_Data!G605="","",Raw_Data!G605)</f>
        <v/>
      </c>
      <c r="D602" s="12" t="str">
        <f>IF(Raw_Data!H605="","",Raw_Data!H605)</f>
        <v/>
      </c>
      <c r="E602" s="12" t="str">
        <f>IF(Raw_Data!I605="","",Raw_Data!I605)</f>
        <v/>
      </c>
      <c r="F602" s="12" t="str">
        <f>IF(Raw_Data!J605="","",Raw_Data!J605)</f>
        <v/>
      </c>
      <c r="G602" s="12" t="str">
        <f>IF(Raw_Data!AH605&lt;&gt;"",Raw_Data!AH605,IF(Raw_Data!K605&lt;&gt;"",Raw_Data!K605,""))</f>
        <v/>
      </c>
      <c r="H602" s="12" t="str">
        <f>IF(Raw_Data!AI605&lt;&gt;"",Raw_Data!AI605,IF(Raw_Data!L605&lt;&gt;"",Raw_Data!L605,""))</f>
        <v/>
      </c>
      <c r="I602" s="12" t="str">
        <f t="shared" si="81"/>
        <v/>
      </c>
      <c r="J602" s="12" t="str">
        <f>IF(Raw_Data!M605="","",Raw_Data!M605)</f>
        <v/>
      </c>
      <c r="K602" s="12">
        <f>IF(Raw_Data!AJ605&lt;&gt;"",Raw_Data!AJ605,Raw_Data!N605)</f>
        <v>0</v>
      </c>
      <c r="L602" s="12">
        <f t="shared" si="82"/>
        <v>1</v>
      </c>
      <c r="M602" s="12" t="str">
        <f>IF(Raw_Data!AK605="","",Raw_Data!AK605)</f>
        <v/>
      </c>
      <c r="N602" s="12" t="str">
        <f>IF(Raw_Data!T605="","",Raw_Data!T605)</f>
        <v/>
      </c>
      <c r="O602" s="12" t="str">
        <f>IF(Raw_Data!AB605&lt;&gt;"",Raw_Data!AB605,IF(N602="tres_insatisfait",1,IF(N602="insatisfait",2,IF(N602="neutre",3,IF(N602="satisfait",4,IF(N602="tres_satisfait",5,""))))))</f>
        <v/>
      </c>
      <c r="P602" s="12">
        <f>IF(Raw_Data!AL605&lt;&gt;"",Raw_Data!AL605,Raw_Data!R605)</f>
        <v>0</v>
      </c>
      <c r="Q602" s="12">
        <f t="shared" si="83"/>
        <v>0</v>
      </c>
      <c r="R602" s="12" t="str">
        <f>IF(Raw_Data!AM605="","",Raw_Data!AM605)</f>
        <v/>
      </c>
      <c r="S602" s="12" t="str">
        <f t="shared" si="84"/>
        <v/>
      </c>
      <c r="T602" s="12" t="str">
        <f>IF(Raw_Data!AN605="","",Raw_Data!AN605)</f>
        <v/>
      </c>
      <c r="U602" s="12" t="str">
        <f t="shared" si="85"/>
        <v/>
      </c>
      <c r="V602" s="12" t="str">
        <f>IF(Raw_Data!AP605="","",IF(Raw_Data!AP605="oui",1,0))</f>
        <v/>
      </c>
      <c r="W602" s="12" t="str">
        <f>IF(Raw_Data!AQ605="","",IF(Raw_Data!AQ605="oui",1,0))</f>
        <v/>
      </c>
      <c r="X602" s="12" t="str">
        <f>IF(Raw_Data!AR605="","",IF(Raw_Data!AR605="oui",1,0))</f>
        <v/>
      </c>
      <c r="Y602" s="12" t="str">
        <f>IF(Raw_Data!AS605="","",IF(Raw_Data!AS605="oui",1,0))</f>
        <v/>
      </c>
      <c r="Z602" s="12" t="str">
        <f>IF(Raw_Data!V605="","",IF(Raw_Data!V605="oui",1,0))</f>
        <v/>
      </c>
      <c r="AA602" s="12" t="str">
        <f>IF(Raw_Data!W605="","",IF(Raw_Data!W605="oui",1,0))</f>
        <v/>
      </c>
      <c r="AB602" s="12" t="str">
        <f>IF(Raw_Data!Q605="","",IF(Raw_Data!Q605="oui",1,0))</f>
        <v/>
      </c>
      <c r="AC602" s="12">
        <f>Raw_Data!AF605</f>
        <v>0</v>
      </c>
      <c r="AD602" s="12" t="str">
        <f t="shared" si="86"/>
        <v/>
      </c>
      <c r="AE602" s="12" t="str">
        <f t="shared" si="87"/>
        <v/>
      </c>
      <c r="AF602" s="12" t="str">
        <f t="shared" si="88"/>
        <v/>
      </c>
      <c r="AG602" s="12">
        <f t="shared" si="89"/>
        <v>0</v>
      </c>
    </row>
    <row r="603" spans="1:33" ht="15" customHeight="1" x14ac:dyDescent="0.25">
      <c r="A603" s="12" t="str">
        <f>IF(Raw_Data!B606="","",Raw_Data!B606)</f>
        <v/>
      </c>
      <c r="B603" s="12">
        <f>IF(Raw_Data!X606&lt;&gt;"",Raw_Data!X606,Raw_Data!C606)</f>
        <v>0</v>
      </c>
      <c r="C603" s="12" t="str">
        <f>IF(Raw_Data!G606="","",Raw_Data!G606)</f>
        <v/>
      </c>
      <c r="D603" s="12" t="str">
        <f>IF(Raw_Data!H606="","",Raw_Data!H606)</f>
        <v/>
      </c>
      <c r="E603" s="12" t="str">
        <f>IF(Raw_Data!I606="","",Raw_Data!I606)</f>
        <v/>
      </c>
      <c r="F603" s="12" t="str">
        <f>IF(Raw_Data!J606="","",Raw_Data!J606)</f>
        <v/>
      </c>
      <c r="G603" s="12" t="str">
        <f>IF(Raw_Data!AH606&lt;&gt;"",Raw_Data!AH606,IF(Raw_Data!K606&lt;&gt;"",Raw_Data!K606,""))</f>
        <v/>
      </c>
      <c r="H603" s="12" t="str">
        <f>IF(Raw_Data!AI606&lt;&gt;"",Raw_Data!AI606,IF(Raw_Data!L606&lt;&gt;"",Raw_Data!L606,""))</f>
        <v/>
      </c>
      <c r="I603" s="12" t="str">
        <f t="shared" si="81"/>
        <v/>
      </c>
      <c r="J603" s="12" t="str">
        <f>IF(Raw_Data!M606="","",Raw_Data!M606)</f>
        <v/>
      </c>
      <c r="K603" s="12">
        <f>IF(Raw_Data!AJ606&lt;&gt;"",Raw_Data!AJ606,Raw_Data!N606)</f>
        <v>0</v>
      </c>
      <c r="L603" s="12">
        <f t="shared" si="82"/>
        <v>1</v>
      </c>
      <c r="M603" s="12" t="str">
        <f>IF(Raw_Data!AK606="","",Raw_Data!AK606)</f>
        <v/>
      </c>
      <c r="N603" s="12" t="str">
        <f>IF(Raw_Data!T606="","",Raw_Data!T606)</f>
        <v/>
      </c>
      <c r="O603" s="12" t="str">
        <f>IF(Raw_Data!AB606&lt;&gt;"",Raw_Data!AB606,IF(N603="tres_insatisfait",1,IF(N603="insatisfait",2,IF(N603="neutre",3,IF(N603="satisfait",4,IF(N603="tres_satisfait",5,""))))))</f>
        <v/>
      </c>
      <c r="P603" s="12">
        <f>IF(Raw_Data!AL606&lt;&gt;"",Raw_Data!AL606,Raw_Data!R606)</f>
        <v>0</v>
      </c>
      <c r="Q603" s="12">
        <f t="shared" si="83"/>
        <v>0</v>
      </c>
      <c r="R603" s="12" t="str">
        <f>IF(Raw_Data!AM606="","",Raw_Data!AM606)</f>
        <v/>
      </c>
      <c r="S603" s="12" t="str">
        <f t="shared" si="84"/>
        <v/>
      </c>
      <c r="T603" s="12" t="str">
        <f>IF(Raw_Data!AN606="","",Raw_Data!AN606)</f>
        <v/>
      </c>
      <c r="U603" s="12" t="str">
        <f t="shared" si="85"/>
        <v/>
      </c>
      <c r="V603" s="12" t="str">
        <f>IF(Raw_Data!AP606="","",IF(Raw_Data!AP606="oui",1,0))</f>
        <v/>
      </c>
      <c r="W603" s="12" t="str">
        <f>IF(Raw_Data!AQ606="","",IF(Raw_Data!AQ606="oui",1,0))</f>
        <v/>
      </c>
      <c r="X603" s="12" t="str">
        <f>IF(Raw_Data!AR606="","",IF(Raw_Data!AR606="oui",1,0))</f>
        <v/>
      </c>
      <c r="Y603" s="12" t="str">
        <f>IF(Raw_Data!AS606="","",IF(Raw_Data!AS606="oui",1,0))</f>
        <v/>
      </c>
      <c r="Z603" s="12" t="str">
        <f>IF(Raw_Data!V606="","",IF(Raw_Data!V606="oui",1,0))</f>
        <v/>
      </c>
      <c r="AA603" s="12" t="str">
        <f>IF(Raw_Data!W606="","",IF(Raw_Data!W606="oui",1,0))</f>
        <v/>
      </c>
      <c r="AB603" s="12" t="str">
        <f>IF(Raw_Data!Q606="","",IF(Raw_Data!Q606="oui",1,0))</f>
        <v/>
      </c>
      <c r="AC603" s="12">
        <f>Raw_Data!AF606</f>
        <v>0</v>
      </c>
      <c r="AD603" s="12" t="str">
        <f t="shared" si="86"/>
        <v/>
      </c>
      <c r="AE603" s="12" t="str">
        <f t="shared" si="87"/>
        <v/>
      </c>
      <c r="AF603" s="12" t="str">
        <f t="shared" si="88"/>
        <v/>
      </c>
      <c r="AG603" s="12">
        <f t="shared" si="89"/>
        <v>0</v>
      </c>
    </row>
    <row r="604" spans="1:33" ht="15" customHeight="1" x14ac:dyDescent="0.25">
      <c r="A604" s="12" t="str">
        <f>IF(Raw_Data!B607="","",Raw_Data!B607)</f>
        <v/>
      </c>
      <c r="B604" s="12">
        <f>IF(Raw_Data!X607&lt;&gt;"",Raw_Data!X607,Raw_Data!C607)</f>
        <v>0</v>
      </c>
      <c r="C604" s="12" t="str">
        <f>IF(Raw_Data!G607="","",Raw_Data!G607)</f>
        <v/>
      </c>
      <c r="D604" s="12" t="str">
        <f>IF(Raw_Data!H607="","",Raw_Data!H607)</f>
        <v/>
      </c>
      <c r="E604" s="12" t="str">
        <f>IF(Raw_Data!I607="","",Raw_Data!I607)</f>
        <v/>
      </c>
      <c r="F604" s="12" t="str">
        <f>IF(Raw_Data!J607="","",Raw_Data!J607)</f>
        <v/>
      </c>
      <c r="G604" s="12" t="str">
        <f>IF(Raw_Data!AH607&lt;&gt;"",Raw_Data!AH607,IF(Raw_Data!K607&lt;&gt;"",Raw_Data!K607,""))</f>
        <v/>
      </c>
      <c r="H604" s="12" t="str">
        <f>IF(Raw_Data!AI607&lt;&gt;"",Raw_Data!AI607,IF(Raw_Data!L607&lt;&gt;"",Raw_Data!L607,""))</f>
        <v/>
      </c>
      <c r="I604" s="12" t="str">
        <f t="shared" si="81"/>
        <v/>
      </c>
      <c r="J604" s="12" t="str">
        <f>IF(Raw_Data!M607="","",Raw_Data!M607)</f>
        <v/>
      </c>
      <c r="K604" s="12">
        <f>IF(Raw_Data!AJ607&lt;&gt;"",Raw_Data!AJ607,Raw_Data!N607)</f>
        <v>0</v>
      </c>
      <c r="L604" s="12">
        <f t="shared" si="82"/>
        <v>1</v>
      </c>
      <c r="M604" s="12" t="str">
        <f>IF(Raw_Data!AK607="","",Raw_Data!AK607)</f>
        <v/>
      </c>
      <c r="N604" s="12" t="str">
        <f>IF(Raw_Data!T607="","",Raw_Data!T607)</f>
        <v/>
      </c>
      <c r="O604" s="12" t="str">
        <f>IF(Raw_Data!AB607&lt;&gt;"",Raw_Data!AB607,IF(N604="tres_insatisfait",1,IF(N604="insatisfait",2,IF(N604="neutre",3,IF(N604="satisfait",4,IF(N604="tres_satisfait",5,""))))))</f>
        <v/>
      </c>
      <c r="P604" s="12">
        <f>IF(Raw_Data!AL607&lt;&gt;"",Raw_Data!AL607,Raw_Data!R607)</f>
        <v>0</v>
      </c>
      <c r="Q604" s="12">
        <f t="shared" si="83"/>
        <v>0</v>
      </c>
      <c r="R604" s="12" t="str">
        <f>IF(Raw_Data!AM607="","",Raw_Data!AM607)</f>
        <v/>
      </c>
      <c r="S604" s="12" t="str">
        <f t="shared" si="84"/>
        <v/>
      </c>
      <c r="T604" s="12" t="str">
        <f>IF(Raw_Data!AN607="","",Raw_Data!AN607)</f>
        <v/>
      </c>
      <c r="U604" s="12" t="str">
        <f t="shared" si="85"/>
        <v/>
      </c>
      <c r="V604" s="12" t="str">
        <f>IF(Raw_Data!AP607="","",IF(Raw_Data!AP607="oui",1,0))</f>
        <v/>
      </c>
      <c r="W604" s="12" t="str">
        <f>IF(Raw_Data!AQ607="","",IF(Raw_Data!AQ607="oui",1,0))</f>
        <v/>
      </c>
      <c r="X604" s="12" t="str">
        <f>IF(Raw_Data!AR607="","",IF(Raw_Data!AR607="oui",1,0))</f>
        <v/>
      </c>
      <c r="Y604" s="12" t="str">
        <f>IF(Raw_Data!AS607="","",IF(Raw_Data!AS607="oui",1,0))</f>
        <v/>
      </c>
      <c r="Z604" s="12" t="str">
        <f>IF(Raw_Data!V607="","",IF(Raw_Data!V607="oui",1,0))</f>
        <v/>
      </c>
      <c r="AA604" s="12" t="str">
        <f>IF(Raw_Data!W607="","",IF(Raw_Data!W607="oui",1,0))</f>
        <v/>
      </c>
      <c r="AB604" s="12" t="str">
        <f>IF(Raw_Data!Q607="","",IF(Raw_Data!Q607="oui",1,0))</f>
        <v/>
      </c>
      <c r="AC604" s="12">
        <f>Raw_Data!AF607</f>
        <v>0</v>
      </c>
      <c r="AD604" s="12" t="str">
        <f t="shared" si="86"/>
        <v/>
      </c>
      <c r="AE604" s="12" t="str">
        <f t="shared" si="87"/>
        <v/>
      </c>
      <c r="AF604" s="12" t="str">
        <f t="shared" si="88"/>
        <v/>
      </c>
      <c r="AG604" s="12">
        <f t="shared" si="89"/>
        <v>0</v>
      </c>
    </row>
    <row r="605" spans="1:33" ht="15" customHeight="1" x14ac:dyDescent="0.25">
      <c r="A605" s="12" t="str">
        <f>IF(Raw_Data!B608="","",Raw_Data!B608)</f>
        <v/>
      </c>
      <c r="B605" s="12">
        <f>IF(Raw_Data!X608&lt;&gt;"",Raw_Data!X608,Raw_Data!C608)</f>
        <v>0</v>
      </c>
      <c r="C605" s="12" t="str">
        <f>IF(Raw_Data!G608="","",Raw_Data!G608)</f>
        <v/>
      </c>
      <c r="D605" s="12" t="str">
        <f>IF(Raw_Data!H608="","",Raw_Data!H608)</f>
        <v/>
      </c>
      <c r="E605" s="12" t="str">
        <f>IF(Raw_Data!I608="","",Raw_Data!I608)</f>
        <v/>
      </c>
      <c r="F605" s="12" t="str">
        <f>IF(Raw_Data!J608="","",Raw_Data!J608)</f>
        <v/>
      </c>
      <c r="G605" s="12" t="str">
        <f>IF(Raw_Data!AH608&lt;&gt;"",Raw_Data!AH608,IF(Raw_Data!K608&lt;&gt;"",Raw_Data!K608,""))</f>
        <v/>
      </c>
      <c r="H605" s="12" t="str">
        <f>IF(Raw_Data!AI608&lt;&gt;"",Raw_Data!AI608,IF(Raw_Data!L608&lt;&gt;"",Raw_Data!L608,""))</f>
        <v/>
      </c>
      <c r="I605" s="12" t="str">
        <f t="shared" si="81"/>
        <v/>
      </c>
      <c r="J605" s="12" t="str">
        <f>IF(Raw_Data!M608="","",Raw_Data!M608)</f>
        <v/>
      </c>
      <c r="K605" s="12">
        <f>IF(Raw_Data!AJ608&lt;&gt;"",Raw_Data!AJ608,Raw_Data!N608)</f>
        <v>0</v>
      </c>
      <c r="L605" s="12">
        <f t="shared" si="82"/>
        <v>1</v>
      </c>
      <c r="M605" s="12" t="str">
        <f>IF(Raw_Data!AK608="","",Raw_Data!AK608)</f>
        <v/>
      </c>
      <c r="N605" s="12" t="str">
        <f>IF(Raw_Data!T608="","",Raw_Data!T608)</f>
        <v/>
      </c>
      <c r="O605" s="12" t="str">
        <f>IF(Raw_Data!AB608&lt;&gt;"",Raw_Data!AB608,IF(N605="tres_insatisfait",1,IF(N605="insatisfait",2,IF(N605="neutre",3,IF(N605="satisfait",4,IF(N605="tres_satisfait",5,""))))))</f>
        <v/>
      </c>
      <c r="P605" s="12">
        <f>IF(Raw_Data!AL608&lt;&gt;"",Raw_Data!AL608,Raw_Data!R608)</f>
        <v>0</v>
      </c>
      <c r="Q605" s="12">
        <f t="shared" si="83"/>
        <v>0</v>
      </c>
      <c r="R605" s="12" t="str">
        <f>IF(Raw_Data!AM608="","",Raw_Data!AM608)</f>
        <v/>
      </c>
      <c r="S605" s="12" t="str">
        <f t="shared" si="84"/>
        <v/>
      </c>
      <c r="T605" s="12" t="str">
        <f>IF(Raw_Data!AN608="","",Raw_Data!AN608)</f>
        <v/>
      </c>
      <c r="U605" s="12" t="str">
        <f t="shared" si="85"/>
        <v/>
      </c>
      <c r="V605" s="12" t="str">
        <f>IF(Raw_Data!AP608="","",IF(Raw_Data!AP608="oui",1,0))</f>
        <v/>
      </c>
      <c r="W605" s="12" t="str">
        <f>IF(Raw_Data!AQ608="","",IF(Raw_Data!AQ608="oui",1,0))</f>
        <v/>
      </c>
      <c r="X605" s="12" t="str">
        <f>IF(Raw_Data!AR608="","",IF(Raw_Data!AR608="oui",1,0))</f>
        <v/>
      </c>
      <c r="Y605" s="12" t="str">
        <f>IF(Raw_Data!AS608="","",IF(Raw_Data!AS608="oui",1,0))</f>
        <v/>
      </c>
      <c r="Z605" s="12" t="str">
        <f>IF(Raw_Data!V608="","",IF(Raw_Data!V608="oui",1,0))</f>
        <v/>
      </c>
      <c r="AA605" s="12" t="str">
        <f>IF(Raw_Data!W608="","",IF(Raw_Data!W608="oui",1,0))</f>
        <v/>
      </c>
      <c r="AB605" s="12" t="str">
        <f>IF(Raw_Data!Q608="","",IF(Raw_Data!Q608="oui",1,0))</f>
        <v/>
      </c>
      <c r="AC605" s="12">
        <f>Raw_Data!AF608</f>
        <v>0</v>
      </c>
      <c r="AD605" s="12" t="str">
        <f t="shared" si="86"/>
        <v/>
      </c>
      <c r="AE605" s="12" t="str">
        <f t="shared" si="87"/>
        <v/>
      </c>
      <c r="AF605" s="12" t="str">
        <f t="shared" si="88"/>
        <v/>
      </c>
      <c r="AG605" s="12">
        <f t="shared" si="89"/>
        <v>0</v>
      </c>
    </row>
    <row r="606" spans="1:33" ht="15" customHeight="1" x14ac:dyDescent="0.25">
      <c r="A606" s="12" t="str">
        <f>IF(Raw_Data!B609="","",Raw_Data!B609)</f>
        <v/>
      </c>
      <c r="B606" s="12">
        <f>IF(Raw_Data!X609&lt;&gt;"",Raw_Data!X609,Raw_Data!C609)</f>
        <v>0</v>
      </c>
      <c r="C606" s="12" t="str">
        <f>IF(Raw_Data!G609="","",Raw_Data!G609)</f>
        <v/>
      </c>
      <c r="D606" s="12" t="str">
        <f>IF(Raw_Data!H609="","",Raw_Data!H609)</f>
        <v/>
      </c>
      <c r="E606" s="12" t="str">
        <f>IF(Raw_Data!I609="","",Raw_Data!I609)</f>
        <v/>
      </c>
      <c r="F606" s="12" t="str">
        <f>IF(Raw_Data!J609="","",Raw_Data!J609)</f>
        <v/>
      </c>
      <c r="G606" s="12" t="str">
        <f>IF(Raw_Data!AH609&lt;&gt;"",Raw_Data!AH609,IF(Raw_Data!K609&lt;&gt;"",Raw_Data!K609,""))</f>
        <v/>
      </c>
      <c r="H606" s="12" t="str">
        <f>IF(Raw_Data!AI609&lt;&gt;"",Raw_Data!AI609,IF(Raw_Data!L609&lt;&gt;"",Raw_Data!L609,""))</f>
        <v/>
      </c>
      <c r="I606" s="12" t="str">
        <f t="shared" si="81"/>
        <v/>
      </c>
      <c r="J606" s="12" t="str">
        <f>IF(Raw_Data!M609="","",Raw_Data!M609)</f>
        <v/>
      </c>
      <c r="K606" s="12">
        <f>IF(Raw_Data!AJ609&lt;&gt;"",Raw_Data!AJ609,Raw_Data!N609)</f>
        <v>0</v>
      </c>
      <c r="L606" s="12">
        <f t="shared" si="82"/>
        <v>1</v>
      </c>
      <c r="M606" s="12" t="str">
        <f>IF(Raw_Data!AK609="","",Raw_Data!AK609)</f>
        <v/>
      </c>
      <c r="N606" s="12" t="str">
        <f>IF(Raw_Data!T609="","",Raw_Data!T609)</f>
        <v/>
      </c>
      <c r="O606" s="12" t="str">
        <f>IF(Raw_Data!AB609&lt;&gt;"",Raw_Data!AB609,IF(N606="tres_insatisfait",1,IF(N606="insatisfait",2,IF(N606="neutre",3,IF(N606="satisfait",4,IF(N606="tres_satisfait",5,""))))))</f>
        <v/>
      </c>
      <c r="P606" s="12">
        <f>IF(Raw_Data!AL609&lt;&gt;"",Raw_Data!AL609,Raw_Data!R609)</f>
        <v>0</v>
      </c>
      <c r="Q606" s="12">
        <f t="shared" si="83"/>
        <v>0</v>
      </c>
      <c r="R606" s="12" t="str">
        <f>IF(Raw_Data!AM609="","",Raw_Data!AM609)</f>
        <v/>
      </c>
      <c r="S606" s="12" t="str">
        <f t="shared" si="84"/>
        <v/>
      </c>
      <c r="T606" s="12" t="str">
        <f>IF(Raw_Data!AN609="","",Raw_Data!AN609)</f>
        <v/>
      </c>
      <c r="U606" s="12" t="str">
        <f t="shared" si="85"/>
        <v/>
      </c>
      <c r="V606" s="12" t="str">
        <f>IF(Raw_Data!AP609="","",IF(Raw_Data!AP609="oui",1,0))</f>
        <v/>
      </c>
      <c r="W606" s="12" t="str">
        <f>IF(Raw_Data!AQ609="","",IF(Raw_Data!AQ609="oui",1,0))</f>
        <v/>
      </c>
      <c r="X606" s="12" t="str">
        <f>IF(Raw_Data!AR609="","",IF(Raw_Data!AR609="oui",1,0))</f>
        <v/>
      </c>
      <c r="Y606" s="12" t="str">
        <f>IF(Raw_Data!AS609="","",IF(Raw_Data!AS609="oui",1,0))</f>
        <v/>
      </c>
      <c r="Z606" s="12" t="str">
        <f>IF(Raw_Data!V609="","",IF(Raw_Data!V609="oui",1,0))</f>
        <v/>
      </c>
      <c r="AA606" s="12" t="str">
        <f>IF(Raw_Data!W609="","",IF(Raw_Data!W609="oui",1,0))</f>
        <v/>
      </c>
      <c r="AB606" s="12" t="str">
        <f>IF(Raw_Data!Q609="","",IF(Raw_Data!Q609="oui",1,0))</f>
        <v/>
      </c>
      <c r="AC606" s="12">
        <f>Raw_Data!AF609</f>
        <v>0</v>
      </c>
      <c r="AD606" s="12" t="str">
        <f t="shared" si="86"/>
        <v/>
      </c>
      <c r="AE606" s="12" t="str">
        <f t="shared" si="87"/>
        <v/>
      </c>
      <c r="AF606" s="12" t="str">
        <f t="shared" si="88"/>
        <v/>
      </c>
      <c r="AG606" s="12">
        <f t="shared" si="89"/>
        <v>0</v>
      </c>
    </row>
    <row r="607" spans="1:33" ht="15" customHeight="1" x14ac:dyDescent="0.25">
      <c r="A607" s="12" t="str">
        <f>IF(Raw_Data!B610="","",Raw_Data!B610)</f>
        <v/>
      </c>
      <c r="B607" s="12">
        <f>IF(Raw_Data!X610&lt;&gt;"",Raw_Data!X610,Raw_Data!C610)</f>
        <v>0</v>
      </c>
      <c r="C607" s="12" t="str">
        <f>IF(Raw_Data!G610="","",Raw_Data!G610)</f>
        <v/>
      </c>
      <c r="D607" s="12" t="str">
        <f>IF(Raw_Data!H610="","",Raw_Data!H610)</f>
        <v/>
      </c>
      <c r="E607" s="12" t="str">
        <f>IF(Raw_Data!I610="","",Raw_Data!I610)</f>
        <v/>
      </c>
      <c r="F607" s="12" t="str">
        <f>IF(Raw_Data!J610="","",Raw_Data!J610)</f>
        <v/>
      </c>
      <c r="G607" s="12" t="str">
        <f>IF(Raw_Data!AH610&lt;&gt;"",Raw_Data!AH610,IF(Raw_Data!K610&lt;&gt;"",Raw_Data!K610,""))</f>
        <v/>
      </c>
      <c r="H607" s="12" t="str">
        <f>IF(Raw_Data!AI610&lt;&gt;"",Raw_Data!AI610,IF(Raw_Data!L610&lt;&gt;"",Raw_Data!L610,""))</f>
        <v/>
      </c>
      <c r="I607" s="12" t="str">
        <f t="shared" si="81"/>
        <v/>
      </c>
      <c r="J607" s="12" t="str">
        <f>IF(Raw_Data!M610="","",Raw_Data!M610)</f>
        <v/>
      </c>
      <c r="K607" s="12">
        <f>IF(Raw_Data!AJ610&lt;&gt;"",Raw_Data!AJ610,Raw_Data!N610)</f>
        <v>0</v>
      </c>
      <c r="L607" s="12">
        <f t="shared" si="82"/>
        <v>1</v>
      </c>
      <c r="M607" s="12" t="str">
        <f>IF(Raw_Data!AK610="","",Raw_Data!AK610)</f>
        <v/>
      </c>
      <c r="N607" s="12" t="str">
        <f>IF(Raw_Data!T610="","",Raw_Data!T610)</f>
        <v/>
      </c>
      <c r="O607" s="12" t="str">
        <f>IF(Raw_Data!AB610&lt;&gt;"",Raw_Data!AB610,IF(N607="tres_insatisfait",1,IF(N607="insatisfait",2,IF(N607="neutre",3,IF(N607="satisfait",4,IF(N607="tres_satisfait",5,""))))))</f>
        <v/>
      </c>
      <c r="P607" s="12">
        <f>IF(Raw_Data!AL610&lt;&gt;"",Raw_Data!AL610,Raw_Data!R610)</f>
        <v>0</v>
      </c>
      <c r="Q607" s="12">
        <f t="shared" si="83"/>
        <v>0</v>
      </c>
      <c r="R607" s="12" t="str">
        <f>IF(Raw_Data!AM610="","",Raw_Data!AM610)</f>
        <v/>
      </c>
      <c r="S607" s="12" t="str">
        <f t="shared" si="84"/>
        <v/>
      </c>
      <c r="T607" s="12" t="str">
        <f>IF(Raw_Data!AN610="","",Raw_Data!AN610)</f>
        <v/>
      </c>
      <c r="U607" s="12" t="str">
        <f t="shared" si="85"/>
        <v/>
      </c>
      <c r="V607" s="12" t="str">
        <f>IF(Raw_Data!AP610="","",IF(Raw_Data!AP610="oui",1,0))</f>
        <v/>
      </c>
      <c r="W607" s="12" t="str">
        <f>IF(Raw_Data!AQ610="","",IF(Raw_Data!AQ610="oui",1,0))</f>
        <v/>
      </c>
      <c r="X607" s="12" t="str">
        <f>IF(Raw_Data!AR610="","",IF(Raw_Data!AR610="oui",1,0))</f>
        <v/>
      </c>
      <c r="Y607" s="12" t="str">
        <f>IF(Raw_Data!AS610="","",IF(Raw_Data!AS610="oui",1,0))</f>
        <v/>
      </c>
      <c r="Z607" s="12" t="str">
        <f>IF(Raw_Data!V610="","",IF(Raw_Data!V610="oui",1,0))</f>
        <v/>
      </c>
      <c r="AA607" s="12" t="str">
        <f>IF(Raw_Data!W610="","",IF(Raw_Data!W610="oui",1,0))</f>
        <v/>
      </c>
      <c r="AB607" s="12" t="str">
        <f>IF(Raw_Data!Q610="","",IF(Raw_Data!Q610="oui",1,0))</f>
        <v/>
      </c>
      <c r="AC607" s="12">
        <f>Raw_Data!AF610</f>
        <v>0</v>
      </c>
      <c r="AD607" s="12" t="str">
        <f t="shared" si="86"/>
        <v/>
      </c>
      <c r="AE607" s="12" t="str">
        <f t="shared" si="87"/>
        <v/>
      </c>
      <c r="AF607" s="12" t="str">
        <f t="shared" si="88"/>
        <v/>
      </c>
      <c r="AG607" s="12">
        <f t="shared" si="89"/>
        <v>0</v>
      </c>
    </row>
    <row r="608" spans="1:33" ht="15" customHeight="1" x14ac:dyDescent="0.25">
      <c r="A608" s="12" t="str">
        <f>IF(Raw_Data!B611="","",Raw_Data!B611)</f>
        <v/>
      </c>
      <c r="B608" s="12">
        <f>IF(Raw_Data!X611&lt;&gt;"",Raw_Data!X611,Raw_Data!C611)</f>
        <v>0</v>
      </c>
      <c r="C608" s="12" t="str">
        <f>IF(Raw_Data!G611="","",Raw_Data!G611)</f>
        <v/>
      </c>
      <c r="D608" s="12" t="str">
        <f>IF(Raw_Data!H611="","",Raw_Data!H611)</f>
        <v/>
      </c>
      <c r="E608" s="12" t="str">
        <f>IF(Raw_Data!I611="","",Raw_Data!I611)</f>
        <v/>
      </c>
      <c r="F608" s="12" t="str">
        <f>IF(Raw_Data!J611="","",Raw_Data!J611)</f>
        <v/>
      </c>
      <c r="G608" s="12" t="str">
        <f>IF(Raw_Data!AH611&lt;&gt;"",Raw_Data!AH611,IF(Raw_Data!K611&lt;&gt;"",Raw_Data!K611,""))</f>
        <v/>
      </c>
      <c r="H608" s="12" t="str">
        <f>IF(Raw_Data!AI611&lt;&gt;"",Raw_Data!AI611,IF(Raw_Data!L611&lt;&gt;"",Raw_Data!L611,""))</f>
        <v/>
      </c>
      <c r="I608" s="12" t="str">
        <f t="shared" si="81"/>
        <v/>
      </c>
      <c r="J608" s="12" t="str">
        <f>IF(Raw_Data!M611="","",Raw_Data!M611)</f>
        <v/>
      </c>
      <c r="K608" s="12">
        <f>IF(Raw_Data!AJ611&lt;&gt;"",Raw_Data!AJ611,Raw_Data!N611)</f>
        <v>0</v>
      </c>
      <c r="L608" s="12">
        <f t="shared" si="82"/>
        <v>1</v>
      </c>
      <c r="M608" s="12" t="str">
        <f>IF(Raw_Data!AK611="","",Raw_Data!AK611)</f>
        <v/>
      </c>
      <c r="N608" s="12" t="str">
        <f>IF(Raw_Data!T611="","",Raw_Data!T611)</f>
        <v/>
      </c>
      <c r="O608" s="12" t="str">
        <f>IF(Raw_Data!AB611&lt;&gt;"",Raw_Data!AB611,IF(N608="tres_insatisfait",1,IF(N608="insatisfait",2,IF(N608="neutre",3,IF(N608="satisfait",4,IF(N608="tres_satisfait",5,""))))))</f>
        <v/>
      </c>
      <c r="P608" s="12">
        <f>IF(Raw_Data!AL611&lt;&gt;"",Raw_Data!AL611,Raw_Data!R611)</f>
        <v>0</v>
      </c>
      <c r="Q608" s="12">
        <f t="shared" si="83"/>
        <v>0</v>
      </c>
      <c r="R608" s="12" t="str">
        <f>IF(Raw_Data!AM611="","",Raw_Data!AM611)</f>
        <v/>
      </c>
      <c r="S608" s="12" t="str">
        <f t="shared" si="84"/>
        <v/>
      </c>
      <c r="T608" s="12" t="str">
        <f>IF(Raw_Data!AN611="","",Raw_Data!AN611)</f>
        <v/>
      </c>
      <c r="U608" s="12" t="str">
        <f t="shared" si="85"/>
        <v/>
      </c>
      <c r="V608" s="12" t="str">
        <f>IF(Raw_Data!AP611="","",IF(Raw_Data!AP611="oui",1,0))</f>
        <v/>
      </c>
      <c r="W608" s="12" t="str">
        <f>IF(Raw_Data!AQ611="","",IF(Raw_Data!AQ611="oui",1,0))</f>
        <v/>
      </c>
      <c r="X608" s="12" t="str">
        <f>IF(Raw_Data!AR611="","",IF(Raw_Data!AR611="oui",1,0))</f>
        <v/>
      </c>
      <c r="Y608" s="12" t="str">
        <f>IF(Raw_Data!AS611="","",IF(Raw_Data!AS611="oui",1,0))</f>
        <v/>
      </c>
      <c r="Z608" s="12" t="str">
        <f>IF(Raw_Data!V611="","",IF(Raw_Data!V611="oui",1,0))</f>
        <v/>
      </c>
      <c r="AA608" s="12" t="str">
        <f>IF(Raw_Data!W611="","",IF(Raw_Data!W611="oui",1,0))</f>
        <v/>
      </c>
      <c r="AB608" s="12" t="str">
        <f>IF(Raw_Data!Q611="","",IF(Raw_Data!Q611="oui",1,0))</f>
        <v/>
      </c>
      <c r="AC608" s="12">
        <f>Raw_Data!AF611</f>
        <v>0</v>
      </c>
      <c r="AD608" s="12" t="str">
        <f t="shared" si="86"/>
        <v/>
      </c>
      <c r="AE608" s="12" t="str">
        <f t="shared" si="87"/>
        <v/>
      </c>
      <c r="AF608" s="12" t="str">
        <f t="shared" si="88"/>
        <v/>
      </c>
      <c r="AG608" s="12">
        <f t="shared" si="89"/>
        <v>0</v>
      </c>
    </row>
    <row r="609" spans="1:33" ht="15" customHeight="1" x14ac:dyDescent="0.25">
      <c r="A609" s="12" t="str">
        <f>IF(Raw_Data!B612="","",Raw_Data!B612)</f>
        <v/>
      </c>
      <c r="B609" s="12">
        <f>IF(Raw_Data!X612&lt;&gt;"",Raw_Data!X612,Raw_Data!C612)</f>
        <v>0</v>
      </c>
      <c r="C609" s="12" t="str">
        <f>IF(Raw_Data!G612="","",Raw_Data!G612)</f>
        <v/>
      </c>
      <c r="D609" s="12" t="str">
        <f>IF(Raw_Data!H612="","",Raw_Data!H612)</f>
        <v/>
      </c>
      <c r="E609" s="12" t="str">
        <f>IF(Raw_Data!I612="","",Raw_Data!I612)</f>
        <v/>
      </c>
      <c r="F609" s="12" t="str">
        <f>IF(Raw_Data!J612="","",Raw_Data!J612)</f>
        <v/>
      </c>
      <c r="G609" s="12" t="str">
        <f>IF(Raw_Data!AH612&lt;&gt;"",Raw_Data!AH612,IF(Raw_Data!K612&lt;&gt;"",Raw_Data!K612,""))</f>
        <v/>
      </c>
      <c r="H609" s="12" t="str">
        <f>IF(Raw_Data!AI612&lt;&gt;"",Raw_Data!AI612,IF(Raw_Data!L612&lt;&gt;"",Raw_Data!L612,""))</f>
        <v/>
      </c>
      <c r="I609" s="12" t="str">
        <f t="shared" si="81"/>
        <v/>
      </c>
      <c r="J609" s="12" t="str">
        <f>IF(Raw_Data!M612="","",Raw_Data!M612)</f>
        <v/>
      </c>
      <c r="K609" s="12">
        <f>IF(Raw_Data!AJ612&lt;&gt;"",Raw_Data!AJ612,Raw_Data!N612)</f>
        <v>0</v>
      </c>
      <c r="L609" s="12">
        <f t="shared" si="82"/>
        <v>1</v>
      </c>
      <c r="M609" s="12" t="str">
        <f>IF(Raw_Data!AK612="","",Raw_Data!AK612)</f>
        <v/>
      </c>
      <c r="N609" s="12" t="str">
        <f>IF(Raw_Data!T612="","",Raw_Data!T612)</f>
        <v/>
      </c>
      <c r="O609" s="12" t="str">
        <f>IF(Raw_Data!AB612&lt;&gt;"",Raw_Data!AB612,IF(N609="tres_insatisfait",1,IF(N609="insatisfait",2,IF(N609="neutre",3,IF(N609="satisfait",4,IF(N609="tres_satisfait",5,""))))))</f>
        <v/>
      </c>
      <c r="P609" s="12">
        <f>IF(Raw_Data!AL612&lt;&gt;"",Raw_Data!AL612,Raw_Data!R612)</f>
        <v>0</v>
      </c>
      <c r="Q609" s="12">
        <f t="shared" si="83"/>
        <v>0</v>
      </c>
      <c r="R609" s="12" t="str">
        <f>IF(Raw_Data!AM612="","",Raw_Data!AM612)</f>
        <v/>
      </c>
      <c r="S609" s="12" t="str">
        <f t="shared" si="84"/>
        <v/>
      </c>
      <c r="T609" s="12" t="str">
        <f>IF(Raw_Data!AN612="","",Raw_Data!AN612)</f>
        <v/>
      </c>
      <c r="U609" s="12" t="str">
        <f t="shared" si="85"/>
        <v/>
      </c>
      <c r="V609" s="12" t="str">
        <f>IF(Raw_Data!AP612="","",IF(Raw_Data!AP612="oui",1,0))</f>
        <v/>
      </c>
      <c r="W609" s="12" t="str">
        <f>IF(Raw_Data!AQ612="","",IF(Raw_Data!AQ612="oui",1,0))</f>
        <v/>
      </c>
      <c r="X609" s="12" t="str">
        <f>IF(Raw_Data!AR612="","",IF(Raw_Data!AR612="oui",1,0))</f>
        <v/>
      </c>
      <c r="Y609" s="12" t="str">
        <f>IF(Raw_Data!AS612="","",IF(Raw_Data!AS612="oui",1,0))</f>
        <v/>
      </c>
      <c r="Z609" s="12" t="str">
        <f>IF(Raw_Data!V612="","",IF(Raw_Data!V612="oui",1,0))</f>
        <v/>
      </c>
      <c r="AA609" s="12" t="str">
        <f>IF(Raw_Data!W612="","",IF(Raw_Data!W612="oui",1,0))</f>
        <v/>
      </c>
      <c r="AB609" s="12" t="str">
        <f>IF(Raw_Data!Q612="","",IF(Raw_Data!Q612="oui",1,0))</f>
        <v/>
      </c>
      <c r="AC609" s="12">
        <f>Raw_Data!AF612</f>
        <v>0</v>
      </c>
      <c r="AD609" s="12" t="str">
        <f t="shared" si="86"/>
        <v/>
      </c>
      <c r="AE609" s="12" t="str">
        <f t="shared" si="87"/>
        <v/>
      </c>
      <c r="AF609" s="12" t="str">
        <f t="shared" si="88"/>
        <v/>
      </c>
      <c r="AG609" s="12">
        <f t="shared" si="89"/>
        <v>0</v>
      </c>
    </row>
    <row r="610" spans="1:33" ht="15" customHeight="1" x14ac:dyDescent="0.25">
      <c r="A610" s="12" t="str">
        <f>IF(Raw_Data!B613="","",Raw_Data!B613)</f>
        <v/>
      </c>
      <c r="B610" s="12">
        <f>IF(Raw_Data!X613&lt;&gt;"",Raw_Data!X613,Raw_Data!C613)</f>
        <v>0</v>
      </c>
      <c r="C610" s="12" t="str">
        <f>IF(Raw_Data!G613="","",Raw_Data!G613)</f>
        <v/>
      </c>
      <c r="D610" s="12" t="str">
        <f>IF(Raw_Data!H613="","",Raw_Data!H613)</f>
        <v/>
      </c>
      <c r="E610" s="12" t="str">
        <f>IF(Raw_Data!I613="","",Raw_Data!I613)</f>
        <v/>
      </c>
      <c r="F610" s="12" t="str">
        <f>IF(Raw_Data!J613="","",Raw_Data!J613)</f>
        <v/>
      </c>
      <c r="G610" s="12" t="str">
        <f>IF(Raw_Data!AH613&lt;&gt;"",Raw_Data!AH613,IF(Raw_Data!K613&lt;&gt;"",Raw_Data!K613,""))</f>
        <v/>
      </c>
      <c r="H610" s="12" t="str">
        <f>IF(Raw_Data!AI613&lt;&gt;"",Raw_Data!AI613,IF(Raw_Data!L613&lt;&gt;"",Raw_Data!L613,""))</f>
        <v/>
      </c>
      <c r="I610" s="12" t="str">
        <f t="shared" si="81"/>
        <v/>
      </c>
      <c r="J610" s="12" t="str">
        <f>IF(Raw_Data!M613="","",Raw_Data!M613)</f>
        <v/>
      </c>
      <c r="K610" s="12">
        <f>IF(Raw_Data!AJ613&lt;&gt;"",Raw_Data!AJ613,Raw_Data!N613)</f>
        <v>0</v>
      </c>
      <c r="L610" s="12">
        <f t="shared" si="82"/>
        <v>1</v>
      </c>
      <c r="M610" s="12" t="str">
        <f>IF(Raw_Data!AK613="","",Raw_Data!AK613)</f>
        <v/>
      </c>
      <c r="N610" s="12" t="str">
        <f>IF(Raw_Data!T613="","",Raw_Data!T613)</f>
        <v/>
      </c>
      <c r="O610" s="12" t="str">
        <f>IF(Raw_Data!AB613&lt;&gt;"",Raw_Data!AB613,IF(N610="tres_insatisfait",1,IF(N610="insatisfait",2,IF(N610="neutre",3,IF(N610="satisfait",4,IF(N610="tres_satisfait",5,""))))))</f>
        <v/>
      </c>
      <c r="P610" s="12">
        <f>IF(Raw_Data!AL613&lt;&gt;"",Raw_Data!AL613,Raw_Data!R613)</f>
        <v>0</v>
      </c>
      <c r="Q610" s="12">
        <f t="shared" si="83"/>
        <v>0</v>
      </c>
      <c r="R610" s="12" t="str">
        <f>IF(Raw_Data!AM613="","",Raw_Data!AM613)</f>
        <v/>
      </c>
      <c r="S610" s="12" t="str">
        <f t="shared" si="84"/>
        <v/>
      </c>
      <c r="T610" s="12" t="str">
        <f>IF(Raw_Data!AN613="","",Raw_Data!AN613)</f>
        <v/>
      </c>
      <c r="U610" s="12" t="str">
        <f t="shared" si="85"/>
        <v/>
      </c>
      <c r="V610" s="12" t="str">
        <f>IF(Raw_Data!AP613="","",IF(Raw_Data!AP613="oui",1,0))</f>
        <v/>
      </c>
      <c r="W610" s="12" t="str">
        <f>IF(Raw_Data!AQ613="","",IF(Raw_Data!AQ613="oui",1,0))</f>
        <v/>
      </c>
      <c r="X610" s="12" t="str">
        <f>IF(Raw_Data!AR613="","",IF(Raw_Data!AR613="oui",1,0))</f>
        <v/>
      </c>
      <c r="Y610" s="12" t="str">
        <f>IF(Raw_Data!AS613="","",IF(Raw_Data!AS613="oui",1,0))</f>
        <v/>
      </c>
      <c r="Z610" s="12" t="str">
        <f>IF(Raw_Data!V613="","",IF(Raw_Data!V613="oui",1,0))</f>
        <v/>
      </c>
      <c r="AA610" s="12" t="str">
        <f>IF(Raw_Data!W613="","",IF(Raw_Data!W613="oui",1,0))</f>
        <v/>
      </c>
      <c r="AB610" s="12" t="str">
        <f>IF(Raw_Data!Q613="","",IF(Raw_Data!Q613="oui",1,0))</f>
        <v/>
      </c>
      <c r="AC610" s="12">
        <f>Raw_Data!AF613</f>
        <v>0</v>
      </c>
      <c r="AD610" s="12" t="str">
        <f t="shared" si="86"/>
        <v/>
      </c>
      <c r="AE610" s="12" t="str">
        <f t="shared" si="87"/>
        <v/>
      </c>
      <c r="AF610" s="12" t="str">
        <f t="shared" si="88"/>
        <v/>
      </c>
      <c r="AG610" s="12">
        <f t="shared" si="89"/>
        <v>0</v>
      </c>
    </row>
    <row r="611" spans="1:33" ht="15" customHeight="1" x14ac:dyDescent="0.25">
      <c r="A611" s="12" t="str">
        <f>IF(Raw_Data!B614="","",Raw_Data!B614)</f>
        <v/>
      </c>
      <c r="B611" s="12">
        <f>IF(Raw_Data!X614&lt;&gt;"",Raw_Data!X614,Raw_Data!C614)</f>
        <v>0</v>
      </c>
      <c r="C611" s="12" t="str">
        <f>IF(Raw_Data!G614="","",Raw_Data!G614)</f>
        <v/>
      </c>
      <c r="D611" s="12" t="str">
        <f>IF(Raw_Data!H614="","",Raw_Data!H614)</f>
        <v/>
      </c>
      <c r="E611" s="12" t="str">
        <f>IF(Raw_Data!I614="","",Raw_Data!I614)</f>
        <v/>
      </c>
      <c r="F611" s="12" t="str">
        <f>IF(Raw_Data!J614="","",Raw_Data!J614)</f>
        <v/>
      </c>
      <c r="G611" s="12" t="str">
        <f>IF(Raw_Data!AH614&lt;&gt;"",Raw_Data!AH614,IF(Raw_Data!K614&lt;&gt;"",Raw_Data!K614,""))</f>
        <v/>
      </c>
      <c r="H611" s="12" t="str">
        <f>IF(Raw_Data!AI614&lt;&gt;"",Raw_Data!AI614,IF(Raw_Data!L614&lt;&gt;"",Raw_Data!L614,""))</f>
        <v/>
      </c>
      <c r="I611" s="12" t="str">
        <f t="shared" si="81"/>
        <v/>
      </c>
      <c r="J611" s="12" t="str">
        <f>IF(Raw_Data!M614="","",Raw_Data!M614)</f>
        <v/>
      </c>
      <c r="K611" s="12">
        <f>IF(Raw_Data!AJ614&lt;&gt;"",Raw_Data!AJ614,Raw_Data!N614)</f>
        <v>0</v>
      </c>
      <c r="L611" s="12">
        <f t="shared" si="82"/>
        <v>1</v>
      </c>
      <c r="M611" s="12" t="str">
        <f>IF(Raw_Data!AK614="","",Raw_Data!AK614)</f>
        <v/>
      </c>
      <c r="N611" s="12" t="str">
        <f>IF(Raw_Data!T614="","",Raw_Data!T614)</f>
        <v/>
      </c>
      <c r="O611" s="12" t="str">
        <f>IF(Raw_Data!AB614&lt;&gt;"",Raw_Data!AB614,IF(N611="tres_insatisfait",1,IF(N611="insatisfait",2,IF(N611="neutre",3,IF(N611="satisfait",4,IF(N611="tres_satisfait",5,""))))))</f>
        <v/>
      </c>
      <c r="P611" s="12">
        <f>IF(Raw_Data!AL614&lt;&gt;"",Raw_Data!AL614,Raw_Data!R614)</f>
        <v>0</v>
      </c>
      <c r="Q611" s="12">
        <f t="shared" si="83"/>
        <v>0</v>
      </c>
      <c r="R611" s="12" t="str">
        <f>IF(Raw_Data!AM614="","",Raw_Data!AM614)</f>
        <v/>
      </c>
      <c r="S611" s="12" t="str">
        <f t="shared" si="84"/>
        <v/>
      </c>
      <c r="T611" s="12" t="str">
        <f>IF(Raw_Data!AN614="","",Raw_Data!AN614)</f>
        <v/>
      </c>
      <c r="U611" s="12" t="str">
        <f t="shared" si="85"/>
        <v/>
      </c>
      <c r="V611" s="12" t="str">
        <f>IF(Raw_Data!AP614="","",IF(Raw_Data!AP614="oui",1,0))</f>
        <v/>
      </c>
      <c r="W611" s="12" t="str">
        <f>IF(Raw_Data!AQ614="","",IF(Raw_Data!AQ614="oui",1,0))</f>
        <v/>
      </c>
      <c r="X611" s="12" t="str">
        <f>IF(Raw_Data!AR614="","",IF(Raw_Data!AR614="oui",1,0))</f>
        <v/>
      </c>
      <c r="Y611" s="12" t="str">
        <f>IF(Raw_Data!AS614="","",IF(Raw_Data!AS614="oui",1,0))</f>
        <v/>
      </c>
      <c r="Z611" s="12" t="str">
        <f>IF(Raw_Data!V614="","",IF(Raw_Data!V614="oui",1,0))</f>
        <v/>
      </c>
      <c r="AA611" s="12" t="str">
        <f>IF(Raw_Data!W614="","",IF(Raw_Data!W614="oui",1,0))</f>
        <v/>
      </c>
      <c r="AB611" s="12" t="str">
        <f>IF(Raw_Data!Q614="","",IF(Raw_Data!Q614="oui",1,0))</f>
        <v/>
      </c>
      <c r="AC611" s="12">
        <f>Raw_Data!AF614</f>
        <v>0</v>
      </c>
      <c r="AD611" s="12" t="str">
        <f t="shared" si="86"/>
        <v/>
      </c>
      <c r="AE611" s="12" t="str">
        <f t="shared" si="87"/>
        <v/>
      </c>
      <c r="AF611" s="12" t="str">
        <f t="shared" si="88"/>
        <v/>
      </c>
      <c r="AG611" s="12">
        <f t="shared" si="89"/>
        <v>0</v>
      </c>
    </row>
    <row r="612" spans="1:33" ht="15" customHeight="1" x14ac:dyDescent="0.25">
      <c r="A612" s="12" t="str">
        <f>IF(Raw_Data!B615="","",Raw_Data!B615)</f>
        <v/>
      </c>
      <c r="B612" s="12">
        <f>IF(Raw_Data!X615&lt;&gt;"",Raw_Data!X615,Raw_Data!C615)</f>
        <v>0</v>
      </c>
      <c r="C612" s="12" t="str">
        <f>IF(Raw_Data!G615="","",Raw_Data!G615)</f>
        <v/>
      </c>
      <c r="D612" s="12" t="str">
        <f>IF(Raw_Data!H615="","",Raw_Data!H615)</f>
        <v/>
      </c>
      <c r="E612" s="12" t="str">
        <f>IF(Raw_Data!I615="","",Raw_Data!I615)</f>
        <v/>
      </c>
      <c r="F612" s="12" t="str">
        <f>IF(Raw_Data!J615="","",Raw_Data!J615)</f>
        <v/>
      </c>
      <c r="G612" s="12" t="str">
        <f>IF(Raw_Data!AH615&lt;&gt;"",Raw_Data!AH615,IF(Raw_Data!K615&lt;&gt;"",Raw_Data!K615,""))</f>
        <v/>
      </c>
      <c r="H612" s="12" t="str">
        <f>IF(Raw_Data!AI615&lt;&gt;"",Raw_Data!AI615,IF(Raw_Data!L615&lt;&gt;"",Raw_Data!L615,""))</f>
        <v/>
      </c>
      <c r="I612" s="12" t="str">
        <f t="shared" si="81"/>
        <v/>
      </c>
      <c r="J612" s="12" t="str">
        <f>IF(Raw_Data!M615="","",Raw_Data!M615)</f>
        <v/>
      </c>
      <c r="K612" s="12">
        <f>IF(Raw_Data!AJ615&lt;&gt;"",Raw_Data!AJ615,Raw_Data!N615)</f>
        <v>0</v>
      </c>
      <c r="L612" s="12">
        <f t="shared" si="82"/>
        <v>1</v>
      </c>
      <c r="M612" s="12" t="str">
        <f>IF(Raw_Data!AK615="","",Raw_Data!AK615)</f>
        <v/>
      </c>
      <c r="N612" s="12" t="str">
        <f>IF(Raw_Data!T615="","",Raw_Data!T615)</f>
        <v/>
      </c>
      <c r="O612" s="12" t="str">
        <f>IF(Raw_Data!AB615&lt;&gt;"",Raw_Data!AB615,IF(N612="tres_insatisfait",1,IF(N612="insatisfait",2,IF(N612="neutre",3,IF(N612="satisfait",4,IF(N612="tres_satisfait",5,""))))))</f>
        <v/>
      </c>
      <c r="P612" s="12">
        <f>IF(Raw_Data!AL615&lt;&gt;"",Raw_Data!AL615,Raw_Data!R615)</f>
        <v>0</v>
      </c>
      <c r="Q612" s="12">
        <f t="shared" si="83"/>
        <v>0</v>
      </c>
      <c r="R612" s="12" t="str">
        <f>IF(Raw_Data!AM615="","",Raw_Data!AM615)</f>
        <v/>
      </c>
      <c r="S612" s="12" t="str">
        <f t="shared" si="84"/>
        <v/>
      </c>
      <c r="T612" s="12" t="str">
        <f>IF(Raw_Data!AN615="","",Raw_Data!AN615)</f>
        <v/>
      </c>
      <c r="U612" s="12" t="str">
        <f t="shared" si="85"/>
        <v/>
      </c>
      <c r="V612" s="12" t="str">
        <f>IF(Raw_Data!AP615="","",IF(Raw_Data!AP615="oui",1,0))</f>
        <v/>
      </c>
      <c r="W612" s="12" t="str">
        <f>IF(Raw_Data!AQ615="","",IF(Raw_Data!AQ615="oui",1,0))</f>
        <v/>
      </c>
      <c r="X612" s="12" t="str">
        <f>IF(Raw_Data!AR615="","",IF(Raw_Data!AR615="oui",1,0))</f>
        <v/>
      </c>
      <c r="Y612" s="12" t="str">
        <f>IF(Raw_Data!AS615="","",IF(Raw_Data!AS615="oui",1,0))</f>
        <v/>
      </c>
      <c r="Z612" s="12" t="str">
        <f>IF(Raw_Data!V615="","",IF(Raw_Data!V615="oui",1,0))</f>
        <v/>
      </c>
      <c r="AA612" s="12" t="str">
        <f>IF(Raw_Data!W615="","",IF(Raw_Data!W615="oui",1,0))</f>
        <v/>
      </c>
      <c r="AB612" s="12" t="str">
        <f>IF(Raw_Data!Q615="","",IF(Raw_Data!Q615="oui",1,0))</f>
        <v/>
      </c>
      <c r="AC612" s="12">
        <f>Raw_Data!AF615</f>
        <v>0</v>
      </c>
      <c r="AD612" s="12" t="str">
        <f t="shared" si="86"/>
        <v/>
      </c>
      <c r="AE612" s="12" t="str">
        <f t="shared" si="87"/>
        <v/>
      </c>
      <c r="AF612" s="12" t="str">
        <f t="shared" si="88"/>
        <v/>
      </c>
      <c r="AG612" s="12">
        <f t="shared" si="89"/>
        <v>0</v>
      </c>
    </row>
    <row r="613" spans="1:33" ht="15" customHeight="1" x14ac:dyDescent="0.25">
      <c r="A613" s="12" t="str">
        <f>IF(Raw_Data!B616="","",Raw_Data!B616)</f>
        <v/>
      </c>
      <c r="B613" s="12">
        <f>IF(Raw_Data!X616&lt;&gt;"",Raw_Data!X616,Raw_Data!C616)</f>
        <v>0</v>
      </c>
      <c r="C613" s="12" t="str">
        <f>IF(Raw_Data!G616="","",Raw_Data!G616)</f>
        <v/>
      </c>
      <c r="D613" s="12" t="str">
        <f>IF(Raw_Data!H616="","",Raw_Data!H616)</f>
        <v/>
      </c>
      <c r="E613" s="12" t="str">
        <f>IF(Raw_Data!I616="","",Raw_Data!I616)</f>
        <v/>
      </c>
      <c r="F613" s="12" t="str">
        <f>IF(Raw_Data!J616="","",Raw_Data!J616)</f>
        <v/>
      </c>
      <c r="G613" s="12" t="str">
        <f>IF(Raw_Data!AH616&lt;&gt;"",Raw_Data!AH616,IF(Raw_Data!K616&lt;&gt;"",Raw_Data!K616,""))</f>
        <v/>
      </c>
      <c r="H613" s="12" t="str">
        <f>IF(Raw_Data!AI616&lt;&gt;"",Raw_Data!AI616,IF(Raw_Data!L616&lt;&gt;"",Raw_Data!L616,""))</f>
        <v/>
      </c>
      <c r="I613" s="12" t="str">
        <f t="shared" si="81"/>
        <v/>
      </c>
      <c r="J613" s="12" t="str">
        <f>IF(Raw_Data!M616="","",Raw_Data!M616)</f>
        <v/>
      </c>
      <c r="K613" s="12">
        <f>IF(Raw_Data!AJ616&lt;&gt;"",Raw_Data!AJ616,Raw_Data!N616)</f>
        <v>0</v>
      </c>
      <c r="L613" s="12">
        <f t="shared" si="82"/>
        <v>1</v>
      </c>
      <c r="M613" s="12" t="str">
        <f>IF(Raw_Data!AK616="","",Raw_Data!AK616)</f>
        <v/>
      </c>
      <c r="N613" s="12" t="str">
        <f>IF(Raw_Data!T616="","",Raw_Data!T616)</f>
        <v/>
      </c>
      <c r="O613" s="12" t="str">
        <f>IF(Raw_Data!AB616&lt;&gt;"",Raw_Data!AB616,IF(N613="tres_insatisfait",1,IF(N613="insatisfait",2,IF(N613="neutre",3,IF(N613="satisfait",4,IF(N613="tres_satisfait",5,""))))))</f>
        <v/>
      </c>
      <c r="P613" s="12">
        <f>IF(Raw_Data!AL616&lt;&gt;"",Raw_Data!AL616,Raw_Data!R616)</f>
        <v>0</v>
      </c>
      <c r="Q613" s="12">
        <f t="shared" si="83"/>
        <v>0</v>
      </c>
      <c r="R613" s="12" t="str">
        <f>IF(Raw_Data!AM616="","",Raw_Data!AM616)</f>
        <v/>
      </c>
      <c r="S613" s="12" t="str">
        <f t="shared" si="84"/>
        <v/>
      </c>
      <c r="T613" s="12" t="str">
        <f>IF(Raw_Data!AN616="","",Raw_Data!AN616)</f>
        <v/>
      </c>
      <c r="U613" s="12" t="str">
        <f t="shared" si="85"/>
        <v/>
      </c>
      <c r="V613" s="12" t="str">
        <f>IF(Raw_Data!AP616="","",IF(Raw_Data!AP616="oui",1,0))</f>
        <v/>
      </c>
      <c r="W613" s="12" t="str">
        <f>IF(Raw_Data!AQ616="","",IF(Raw_Data!AQ616="oui",1,0))</f>
        <v/>
      </c>
      <c r="X613" s="12" t="str">
        <f>IF(Raw_Data!AR616="","",IF(Raw_Data!AR616="oui",1,0))</f>
        <v/>
      </c>
      <c r="Y613" s="12" t="str">
        <f>IF(Raw_Data!AS616="","",IF(Raw_Data!AS616="oui",1,0))</f>
        <v/>
      </c>
      <c r="Z613" s="12" t="str">
        <f>IF(Raw_Data!V616="","",IF(Raw_Data!V616="oui",1,0))</f>
        <v/>
      </c>
      <c r="AA613" s="12" t="str">
        <f>IF(Raw_Data!W616="","",IF(Raw_Data!W616="oui",1,0))</f>
        <v/>
      </c>
      <c r="AB613" s="12" t="str">
        <f>IF(Raw_Data!Q616="","",IF(Raw_Data!Q616="oui",1,0))</f>
        <v/>
      </c>
      <c r="AC613" s="12">
        <f>Raw_Data!AF616</f>
        <v>0</v>
      </c>
      <c r="AD613" s="12" t="str">
        <f t="shared" si="86"/>
        <v/>
      </c>
      <c r="AE613" s="12" t="str">
        <f t="shared" si="87"/>
        <v/>
      </c>
      <c r="AF613" s="12" t="str">
        <f t="shared" si="88"/>
        <v/>
      </c>
      <c r="AG613" s="12">
        <f t="shared" si="89"/>
        <v>0</v>
      </c>
    </row>
    <row r="614" spans="1:33" ht="15" customHeight="1" x14ac:dyDescent="0.25">
      <c r="A614" s="12" t="str">
        <f>IF(Raw_Data!B617="","",Raw_Data!B617)</f>
        <v/>
      </c>
      <c r="B614" s="12">
        <f>IF(Raw_Data!X617&lt;&gt;"",Raw_Data!X617,Raw_Data!C617)</f>
        <v>0</v>
      </c>
      <c r="C614" s="12" t="str">
        <f>IF(Raw_Data!G617="","",Raw_Data!G617)</f>
        <v/>
      </c>
      <c r="D614" s="12" t="str">
        <f>IF(Raw_Data!H617="","",Raw_Data!H617)</f>
        <v/>
      </c>
      <c r="E614" s="12" t="str">
        <f>IF(Raw_Data!I617="","",Raw_Data!I617)</f>
        <v/>
      </c>
      <c r="F614" s="12" t="str">
        <f>IF(Raw_Data!J617="","",Raw_Data!J617)</f>
        <v/>
      </c>
      <c r="G614" s="12" t="str">
        <f>IF(Raw_Data!AH617&lt;&gt;"",Raw_Data!AH617,IF(Raw_Data!K617&lt;&gt;"",Raw_Data!K617,""))</f>
        <v/>
      </c>
      <c r="H614" s="12" t="str">
        <f>IF(Raw_Data!AI617&lt;&gt;"",Raw_Data!AI617,IF(Raw_Data!L617&lt;&gt;"",Raw_Data!L617,""))</f>
        <v/>
      </c>
      <c r="I614" s="12" t="str">
        <f t="shared" si="81"/>
        <v/>
      </c>
      <c r="J614" s="12" t="str">
        <f>IF(Raw_Data!M617="","",Raw_Data!M617)</f>
        <v/>
      </c>
      <c r="K614" s="12">
        <f>IF(Raw_Data!AJ617&lt;&gt;"",Raw_Data!AJ617,Raw_Data!N617)</f>
        <v>0</v>
      </c>
      <c r="L614" s="12">
        <f t="shared" si="82"/>
        <v>1</v>
      </c>
      <c r="M614" s="12" t="str">
        <f>IF(Raw_Data!AK617="","",Raw_Data!AK617)</f>
        <v/>
      </c>
      <c r="N614" s="12" t="str">
        <f>IF(Raw_Data!T617="","",Raw_Data!T617)</f>
        <v/>
      </c>
      <c r="O614" s="12" t="str">
        <f>IF(Raw_Data!AB617&lt;&gt;"",Raw_Data!AB617,IF(N614="tres_insatisfait",1,IF(N614="insatisfait",2,IF(N614="neutre",3,IF(N614="satisfait",4,IF(N614="tres_satisfait",5,""))))))</f>
        <v/>
      </c>
      <c r="P614" s="12">
        <f>IF(Raw_Data!AL617&lt;&gt;"",Raw_Data!AL617,Raw_Data!R617)</f>
        <v>0</v>
      </c>
      <c r="Q614" s="12">
        <f t="shared" si="83"/>
        <v>0</v>
      </c>
      <c r="R614" s="12" t="str">
        <f>IF(Raw_Data!AM617="","",Raw_Data!AM617)</f>
        <v/>
      </c>
      <c r="S614" s="12" t="str">
        <f t="shared" si="84"/>
        <v/>
      </c>
      <c r="T614" s="12" t="str">
        <f>IF(Raw_Data!AN617="","",Raw_Data!AN617)</f>
        <v/>
      </c>
      <c r="U614" s="12" t="str">
        <f t="shared" si="85"/>
        <v/>
      </c>
      <c r="V614" s="12" t="str">
        <f>IF(Raw_Data!AP617="","",IF(Raw_Data!AP617="oui",1,0))</f>
        <v/>
      </c>
      <c r="W614" s="12" t="str">
        <f>IF(Raw_Data!AQ617="","",IF(Raw_Data!AQ617="oui",1,0))</f>
        <v/>
      </c>
      <c r="X614" s="12" t="str">
        <f>IF(Raw_Data!AR617="","",IF(Raw_Data!AR617="oui",1,0))</f>
        <v/>
      </c>
      <c r="Y614" s="12" t="str">
        <f>IF(Raw_Data!AS617="","",IF(Raw_Data!AS617="oui",1,0))</f>
        <v/>
      </c>
      <c r="Z614" s="12" t="str">
        <f>IF(Raw_Data!V617="","",IF(Raw_Data!V617="oui",1,0))</f>
        <v/>
      </c>
      <c r="AA614" s="12" t="str">
        <f>IF(Raw_Data!W617="","",IF(Raw_Data!W617="oui",1,0))</f>
        <v/>
      </c>
      <c r="AB614" s="12" t="str">
        <f>IF(Raw_Data!Q617="","",IF(Raw_Data!Q617="oui",1,0))</f>
        <v/>
      </c>
      <c r="AC614" s="12">
        <f>Raw_Data!AF617</f>
        <v>0</v>
      </c>
      <c r="AD614" s="12" t="str">
        <f t="shared" si="86"/>
        <v/>
      </c>
      <c r="AE614" s="12" t="str">
        <f t="shared" si="87"/>
        <v/>
      </c>
      <c r="AF614" s="12" t="str">
        <f t="shared" si="88"/>
        <v/>
      </c>
      <c r="AG614" s="12">
        <f t="shared" si="89"/>
        <v>0</v>
      </c>
    </row>
    <row r="615" spans="1:33" ht="15" customHeight="1" x14ac:dyDescent="0.25">
      <c r="A615" s="12" t="str">
        <f>IF(Raw_Data!B618="","",Raw_Data!B618)</f>
        <v/>
      </c>
      <c r="B615" s="12">
        <f>IF(Raw_Data!X618&lt;&gt;"",Raw_Data!X618,Raw_Data!C618)</f>
        <v>0</v>
      </c>
      <c r="C615" s="12" t="str">
        <f>IF(Raw_Data!G618="","",Raw_Data!G618)</f>
        <v/>
      </c>
      <c r="D615" s="12" t="str">
        <f>IF(Raw_Data!H618="","",Raw_Data!H618)</f>
        <v/>
      </c>
      <c r="E615" s="12" t="str">
        <f>IF(Raw_Data!I618="","",Raw_Data!I618)</f>
        <v/>
      </c>
      <c r="F615" s="12" t="str">
        <f>IF(Raw_Data!J618="","",Raw_Data!J618)</f>
        <v/>
      </c>
      <c r="G615" s="12" t="str">
        <f>IF(Raw_Data!AH618&lt;&gt;"",Raw_Data!AH618,IF(Raw_Data!K618&lt;&gt;"",Raw_Data!K618,""))</f>
        <v/>
      </c>
      <c r="H615" s="12" t="str">
        <f>IF(Raw_Data!AI618&lt;&gt;"",Raw_Data!AI618,IF(Raw_Data!L618&lt;&gt;"",Raw_Data!L618,""))</f>
        <v/>
      </c>
      <c r="I615" s="12" t="str">
        <f t="shared" si="81"/>
        <v/>
      </c>
      <c r="J615" s="12" t="str">
        <f>IF(Raw_Data!M618="","",Raw_Data!M618)</f>
        <v/>
      </c>
      <c r="K615" s="12">
        <f>IF(Raw_Data!AJ618&lt;&gt;"",Raw_Data!AJ618,Raw_Data!N618)</f>
        <v>0</v>
      </c>
      <c r="L615" s="12">
        <f t="shared" si="82"/>
        <v>1</v>
      </c>
      <c r="M615" s="12" t="str">
        <f>IF(Raw_Data!AK618="","",Raw_Data!AK618)</f>
        <v/>
      </c>
      <c r="N615" s="12" t="str">
        <f>IF(Raw_Data!T618="","",Raw_Data!T618)</f>
        <v/>
      </c>
      <c r="O615" s="12" t="str">
        <f>IF(Raw_Data!AB618&lt;&gt;"",Raw_Data!AB618,IF(N615="tres_insatisfait",1,IF(N615="insatisfait",2,IF(N615="neutre",3,IF(N615="satisfait",4,IF(N615="tres_satisfait",5,""))))))</f>
        <v/>
      </c>
      <c r="P615" s="12">
        <f>IF(Raw_Data!AL618&lt;&gt;"",Raw_Data!AL618,Raw_Data!R618)</f>
        <v>0</v>
      </c>
      <c r="Q615" s="12">
        <f t="shared" si="83"/>
        <v>0</v>
      </c>
      <c r="R615" s="12" t="str">
        <f>IF(Raw_Data!AM618="","",Raw_Data!AM618)</f>
        <v/>
      </c>
      <c r="S615" s="12" t="str">
        <f t="shared" si="84"/>
        <v/>
      </c>
      <c r="T615" s="12" t="str">
        <f>IF(Raw_Data!AN618="","",Raw_Data!AN618)</f>
        <v/>
      </c>
      <c r="U615" s="12" t="str">
        <f t="shared" si="85"/>
        <v/>
      </c>
      <c r="V615" s="12" t="str">
        <f>IF(Raw_Data!AP618="","",IF(Raw_Data!AP618="oui",1,0))</f>
        <v/>
      </c>
      <c r="W615" s="12" t="str">
        <f>IF(Raw_Data!AQ618="","",IF(Raw_Data!AQ618="oui",1,0))</f>
        <v/>
      </c>
      <c r="X615" s="12" t="str">
        <f>IF(Raw_Data!AR618="","",IF(Raw_Data!AR618="oui",1,0))</f>
        <v/>
      </c>
      <c r="Y615" s="12" t="str">
        <f>IF(Raw_Data!AS618="","",IF(Raw_Data!AS618="oui",1,0))</f>
        <v/>
      </c>
      <c r="Z615" s="12" t="str">
        <f>IF(Raw_Data!V618="","",IF(Raw_Data!V618="oui",1,0))</f>
        <v/>
      </c>
      <c r="AA615" s="12" t="str">
        <f>IF(Raw_Data!W618="","",IF(Raw_Data!W618="oui",1,0))</f>
        <v/>
      </c>
      <c r="AB615" s="12" t="str">
        <f>IF(Raw_Data!Q618="","",IF(Raw_Data!Q618="oui",1,0))</f>
        <v/>
      </c>
      <c r="AC615" s="12">
        <f>Raw_Data!AF618</f>
        <v>0</v>
      </c>
      <c r="AD615" s="12" t="str">
        <f t="shared" si="86"/>
        <v/>
      </c>
      <c r="AE615" s="12" t="str">
        <f t="shared" si="87"/>
        <v/>
      </c>
      <c r="AF615" s="12" t="str">
        <f t="shared" si="88"/>
        <v/>
      </c>
      <c r="AG615" s="12">
        <f t="shared" si="89"/>
        <v>0</v>
      </c>
    </row>
    <row r="616" spans="1:33" ht="15" customHeight="1" x14ac:dyDescent="0.25">
      <c r="A616" s="12" t="str">
        <f>IF(Raw_Data!B619="","",Raw_Data!B619)</f>
        <v/>
      </c>
      <c r="B616" s="12">
        <f>IF(Raw_Data!X619&lt;&gt;"",Raw_Data!X619,Raw_Data!C619)</f>
        <v>0</v>
      </c>
      <c r="C616" s="12" t="str">
        <f>IF(Raw_Data!G619="","",Raw_Data!G619)</f>
        <v/>
      </c>
      <c r="D616" s="12" t="str">
        <f>IF(Raw_Data!H619="","",Raw_Data!H619)</f>
        <v/>
      </c>
      <c r="E616" s="12" t="str">
        <f>IF(Raw_Data!I619="","",Raw_Data!I619)</f>
        <v/>
      </c>
      <c r="F616" s="12" t="str">
        <f>IF(Raw_Data!J619="","",Raw_Data!J619)</f>
        <v/>
      </c>
      <c r="G616" s="12" t="str">
        <f>IF(Raw_Data!AH619&lt;&gt;"",Raw_Data!AH619,IF(Raw_Data!K619&lt;&gt;"",Raw_Data!K619,""))</f>
        <v/>
      </c>
      <c r="H616" s="12" t="str">
        <f>IF(Raw_Data!AI619&lt;&gt;"",Raw_Data!AI619,IF(Raw_Data!L619&lt;&gt;"",Raw_Data!L619,""))</f>
        <v/>
      </c>
      <c r="I616" s="12" t="str">
        <f t="shared" si="81"/>
        <v/>
      </c>
      <c r="J616" s="12" t="str">
        <f>IF(Raw_Data!M619="","",Raw_Data!M619)</f>
        <v/>
      </c>
      <c r="K616" s="12">
        <f>IF(Raw_Data!AJ619&lt;&gt;"",Raw_Data!AJ619,Raw_Data!N619)</f>
        <v>0</v>
      </c>
      <c r="L616" s="12">
        <f t="shared" si="82"/>
        <v>1</v>
      </c>
      <c r="M616" s="12" t="str">
        <f>IF(Raw_Data!AK619="","",Raw_Data!AK619)</f>
        <v/>
      </c>
      <c r="N616" s="12" t="str">
        <f>IF(Raw_Data!T619="","",Raw_Data!T619)</f>
        <v/>
      </c>
      <c r="O616" s="12" t="str">
        <f>IF(Raw_Data!AB619&lt;&gt;"",Raw_Data!AB619,IF(N616="tres_insatisfait",1,IF(N616="insatisfait",2,IF(N616="neutre",3,IF(N616="satisfait",4,IF(N616="tres_satisfait",5,""))))))</f>
        <v/>
      </c>
      <c r="P616" s="12">
        <f>IF(Raw_Data!AL619&lt;&gt;"",Raw_Data!AL619,Raw_Data!R619)</f>
        <v>0</v>
      </c>
      <c r="Q616" s="12">
        <f t="shared" si="83"/>
        <v>0</v>
      </c>
      <c r="R616" s="12" t="str">
        <f>IF(Raw_Data!AM619="","",Raw_Data!AM619)</f>
        <v/>
      </c>
      <c r="S616" s="12" t="str">
        <f t="shared" si="84"/>
        <v/>
      </c>
      <c r="T616" s="12" t="str">
        <f>IF(Raw_Data!AN619="","",Raw_Data!AN619)</f>
        <v/>
      </c>
      <c r="U616" s="12" t="str">
        <f t="shared" si="85"/>
        <v/>
      </c>
      <c r="V616" s="12" t="str">
        <f>IF(Raw_Data!AP619="","",IF(Raw_Data!AP619="oui",1,0))</f>
        <v/>
      </c>
      <c r="W616" s="12" t="str">
        <f>IF(Raw_Data!AQ619="","",IF(Raw_Data!AQ619="oui",1,0))</f>
        <v/>
      </c>
      <c r="X616" s="12" t="str">
        <f>IF(Raw_Data!AR619="","",IF(Raw_Data!AR619="oui",1,0))</f>
        <v/>
      </c>
      <c r="Y616" s="12" t="str">
        <f>IF(Raw_Data!AS619="","",IF(Raw_Data!AS619="oui",1,0))</f>
        <v/>
      </c>
      <c r="Z616" s="12" t="str">
        <f>IF(Raw_Data!V619="","",IF(Raw_Data!V619="oui",1,0))</f>
        <v/>
      </c>
      <c r="AA616" s="12" t="str">
        <f>IF(Raw_Data!W619="","",IF(Raw_Data!W619="oui",1,0))</f>
        <v/>
      </c>
      <c r="AB616" s="12" t="str">
        <f>IF(Raw_Data!Q619="","",IF(Raw_Data!Q619="oui",1,0))</f>
        <v/>
      </c>
      <c r="AC616" s="12">
        <f>Raw_Data!AF619</f>
        <v>0</v>
      </c>
      <c r="AD616" s="12" t="str">
        <f t="shared" si="86"/>
        <v/>
      </c>
      <c r="AE616" s="12" t="str">
        <f t="shared" si="87"/>
        <v/>
      </c>
      <c r="AF616" s="12" t="str">
        <f t="shared" si="88"/>
        <v/>
      </c>
      <c r="AG616" s="12">
        <f t="shared" si="89"/>
        <v>0</v>
      </c>
    </row>
    <row r="617" spans="1:33" ht="15" customHeight="1" x14ac:dyDescent="0.25">
      <c r="A617" s="12" t="str">
        <f>IF(Raw_Data!B620="","",Raw_Data!B620)</f>
        <v/>
      </c>
      <c r="B617" s="12">
        <f>IF(Raw_Data!X620&lt;&gt;"",Raw_Data!X620,Raw_Data!C620)</f>
        <v>0</v>
      </c>
      <c r="C617" s="12" t="str">
        <f>IF(Raw_Data!G620="","",Raw_Data!G620)</f>
        <v/>
      </c>
      <c r="D617" s="12" t="str">
        <f>IF(Raw_Data!H620="","",Raw_Data!H620)</f>
        <v/>
      </c>
      <c r="E617" s="12" t="str">
        <f>IF(Raw_Data!I620="","",Raw_Data!I620)</f>
        <v/>
      </c>
      <c r="F617" s="12" t="str">
        <f>IF(Raw_Data!J620="","",Raw_Data!J620)</f>
        <v/>
      </c>
      <c r="G617" s="12" t="str">
        <f>IF(Raw_Data!AH620&lt;&gt;"",Raw_Data!AH620,IF(Raw_Data!K620&lt;&gt;"",Raw_Data!K620,""))</f>
        <v/>
      </c>
      <c r="H617" s="12" t="str">
        <f>IF(Raw_Data!AI620&lt;&gt;"",Raw_Data!AI620,IF(Raw_Data!L620&lt;&gt;"",Raw_Data!L620,""))</f>
        <v/>
      </c>
      <c r="I617" s="12" t="str">
        <f t="shared" si="81"/>
        <v/>
      </c>
      <c r="J617" s="12" t="str">
        <f>IF(Raw_Data!M620="","",Raw_Data!M620)</f>
        <v/>
      </c>
      <c r="K617" s="12">
        <f>IF(Raw_Data!AJ620&lt;&gt;"",Raw_Data!AJ620,Raw_Data!N620)</f>
        <v>0</v>
      </c>
      <c r="L617" s="12">
        <f t="shared" si="82"/>
        <v>1</v>
      </c>
      <c r="M617" s="12" t="str">
        <f>IF(Raw_Data!AK620="","",Raw_Data!AK620)</f>
        <v/>
      </c>
      <c r="N617" s="12" t="str">
        <f>IF(Raw_Data!T620="","",Raw_Data!T620)</f>
        <v/>
      </c>
      <c r="O617" s="12" t="str">
        <f>IF(Raw_Data!AB620&lt;&gt;"",Raw_Data!AB620,IF(N617="tres_insatisfait",1,IF(N617="insatisfait",2,IF(N617="neutre",3,IF(N617="satisfait",4,IF(N617="tres_satisfait",5,""))))))</f>
        <v/>
      </c>
      <c r="P617" s="12">
        <f>IF(Raw_Data!AL620&lt;&gt;"",Raw_Data!AL620,Raw_Data!R620)</f>
        <v>0</v>
      </c>
      <c r="Q617" s="12">
        <f t="shared" si="83"/>
        <v>0</v>
      </c>
      <c r="R617" s="12" t="str">
        <f>IF(Raw_Data!AM620="","",Raw_Data!AM620)</f>
        <v/>
      </c>
      <c r="S617" s="12" t="str">
        <f t="shared" si="84"/>
        <v/>
      </c>
      <c r="T617" s="12" t="str">
        <f>IF(Raw_Data!AN620="","",Raw_Data!AN620)</f>
        <v/>
      </c>
      <c r="U617" s="12" t="str">
        <f t="shared" si="85"/>
        <v/>
      </c>
      <c r="V617" s="12" t="str">
        <f>IF(Raw_Data!AP620="","",IF(Raw_Data!AP620="oui",1,0))</f>
        <v/>
      </c>
      <c r="W617" s="12" t="str">
        <f>IF(Raw_Data!AQ620="","",IF(Raw_Data!AQ620="oui",1,0))</f>
        <v/>
      </c>
      <c r="X617" s="12" t="str">
        <f>IF(Raw_Data!AR620="","",IF(Raw_Data!AR620="oui",1,0))</f>
        <v/>
      </c>
      <c r="Y617" s="12" t="str">
        <f>IF(Raw_Data!AS620="","",IF(Raw_Data!AS620="oui",1,0))</f>
        <v/>
      </c>
      <c r="Z617" s="12" t="str">
        <f>IF(Raw_Data!V620="","",IF(Raw_Data!V620="oui",1,0))</f>
        <v/>
      </c>
      <c r="AA617" s="12" t="str">
        <f>IF(Raw_Data!W620="","",IF(Raw_Data!W620="oui",1,0))</f>
        <v/>
      </c>
      <c r="AB617" s="12" t="str">
        <f>IF(Raw_Data!Q620="","",IF(Raw_Data!Q620="oui",1,0))</f>
        <v/>
      </c>
      <c r="AC617" s="12">
        <f>Raw_Data!AF620</f>
        <v>0</v>
      </c>
      <c r="AD617" s="12" t="str">
        <f t="shared" si="86"/>
        <v/>
      </c>
      <c r="AE617" s="12" t="str">
        <f t="shared" si="87"/>
        <v/>
      </c>
      <c r="AF617" s="12" t="str">
        <f t="shared" si="88"/>
        <v/>
      </c>
      <c r="AG617" s="12">
        <f t="shared" si="89"/>
        <v>0</v>
      </c>
    </row>
    <row r="618" spans="1:33" ht="15" customHeight="1" x14ac:dyDescent="0.25">
      <c r="A618" s="12" t="str">
        <f>IF(Raw_Data!B621="","",Raw_Data!B621)</f>
        <v/>
      </c>
      <c r="B618" s="12">
        <f>IF(Raw_Data!X621&lt;&gt;"",Raw_Data!X621,Raw_Data!C621)</f>
        <v>0</v>
      </c>
      <c r="C618" s="12" t="str">
        <f>IF(Raw_Data!G621="","",Raw_Data!G621)</f>
        <v/>
      </c>
      <c r="D618" s="12" t="str">
        <f>IF(Raw_Data!H621="","",Raw_Data!H621)</f>
        <v/>
      </c>
      <c r="E618" s="12" t="str">
        <f>IF(Raw_Data!I621="","",Raw_Data!I621)</f>
        <v/>
      </c>
      <c r="F618" s="12" t="str">
        <f>IF(Raw_Data!J621="","",Raw_Data!J621)</f>
        <v/>
      </c>
      <c r="G618" s="12" t="str">
        <f>IF(Raw_Data!AH621&lt;&gt;"",Raw_Data!AH621,IF(Raw_Data!K621&lt;&gt;"",Raw_Data!K621,""))</f>
        <v/>
      </c>
      <c r="H618" s="12" t="str">
        <f>IF(Raw_Data!AI621&lt;&gt;"",Raw_Data!AI621,IF(Raw_Data!L621&lt;&gt;"",Raw_Data!L621,""))</f>
        <v/>
      </c>
      <c r="I618" s="12" t="str">
        <f t="shared" si="81"/>
        <v/>
      </c>
      <c r="J618" s="12" t="str">
        <f>IF(Raw_Data!M621="","",Raw_Data!M621)</f>
        <v/>
      </c>
      <c r="K618" s="12">
        <f>IF(Raw_Data!AJ621&lt;&gt;"",Raw_Data!AJ621,Raw_Data!N621)</f>
        <v>0</v>
      </c>
      <c r="L618" s="12">
        <f t="shared" si="82"/>
        <v>1</v>
      </c>
      <c r="M618" s="12" t="str">
        <f>IF(Raw_Data!AK621="","",Raw_Data!AK621)</f>
        <v/>
      </c>
      <c r="N618" s="12" t="str">
        <f>IF(Raw_Data!T621="","",Raw_Data!T621)</f>
        <v/>
      </c>
      <c r="O618" s="12" t="str">
        <f>IF(Raw_Data!AB621&lt;&gt;"",Raw_Data!AB621,IF(N618="tres_insatisfait",1,IF(N618="insatisfait",2,IF(N618="neutre",3,IF(N618="satisfait",4,IF(N618="tres_satisfait",5,""))))))</f>
        <v/>
      </c>
      <c r="P618" s="12">
        <f>IF(Raw_Data!AL621&lt;&gt;"",Raw_Data!AL621,Raw_Data!R621)</f>
        <v>0</v>
      </c>
      <c r="Q618" s="12">
        <f t="shared" si="83"/>
        <v>0</v>
      </c>
      <c r="R618" s="12" t="str">
        <f>IF(Raw_Data!AM621="","",Raw_Data!AM621)</f>
        <v/>
      </c>
      <c r="S618" s="12" t="str">
        <f t="shared" si="84"/>
        <v/>
      </c>
      <c r="T618" s="12" t="str">
        <f>IF(Raw_Data!AN621="","",Raw_Data!AN621)</f>
        <v/>
      </c>
      <c r="U618" s="12" t="str">
        <f t="shared" si="85"/>
        <v/>
      </c>
      <c r="V618" s="12" t="str">
        <f>IF(Raw_Data!AP621="","",IF(Raw_Data!AP621="oui",1,0))</f>
        <v/>
      </c>
      <c r="W618" s="12" t="str">
        <f>IF(Raw_Data!AQ621="","",IF(Raw_Data!AQ621="oui",1,0))</f>
        <v/>
      </c>
      <c r="X618" s="12" t="str">
        <f>IF(Raw_Data!AR621="","",IF(Raw_Data!AR621="oui",1,0))</f>
        <v/>
      </c>
      <c r="Y618" s="12" t="str">
        <f>IF(Raw_Data!AS621="","",IF(Raw_Data!AS621="oui",1,0))</f>
        <v/>
      </c>
      <c r="Z618" s="12" t="str">
        <f>IF(Raw_Data!V621="","",IF(Raw_Data!V621="oui",1,0))</f>
        <v/>
      </c>
      <c r="AA618" s="12" t="str">
        <f>IF(Raw_Data!W621="","",IF(Raw_Data!W621="oui",1,0))</f>
        <v/>
      </c>
      <c r="AB618" s="12" t="str">
        <f>IF(Raw_Data!Q621="","",IF(Raw_Data!Q621="oui",1,0))</f>
        <v/>
      </c>
      <c r="AC618" s="12">
        <f>Raw_Data!AF621</f>
        <v>0</v>
      </c>
      <c r="AD618" s="12" t="str">
        <f t="shared" si="86"/>
        <v/>
      </c>
      <c r="AE618" s="12" t="str">
        <f t="shared" si="87"/>
        <v/>
      </c>
      <c r="AF618" s="12" t="str">
        <f t="shared" si="88"/>
        <v/>
      </c>
      <c r="AG618" s="12">
        <f t="shared" si="89"/>
        <v>0</v>
      </c>
    </row>
    <row r="619" spans="1:33" ht="15" customHeight="1" x14ac:dyDescent="0.25">
      <c r="A619" s="12" t="str">
        <f>IF(Raw_Data!B622="","",Raw_Data!B622)</f>
        <v/>
      </c>
      <c r="B619" s="12">
        <f>IF(Raw_Data!X622&lt;&gt;"",Raw_Data!X622,Raw_Data!C622)</f>
        <v>0</v>
      </c>
      <c r="C619" s="12" t="str">
        <f>IF(Raw_Data!G622="","",Raw_Data!G622)</f>
        <v/>
      </c>
      <c r="D619" s="12" t="str">
        <f>IF(Raw_Data!H622="","",Raw_Data!H622)</f>
        <v/>
      </c>
      <c r="E619" s="12" t="str">
        <f>IF(Raw_Data!I622="","",Raw_Data!I622)</f>
        <v/>
      </c>
      <c r="F619" s="12" t="str">
        <f>IF(Raw_Data!J622="","",Raw_Data!J622)</f>
        <v/>
      </c>
      <c r="G619" s="12" t="str">
        <f>IF(Raw_Data!AH622&lt;&gt;"",Raw_Data!AH622,IF(Raw_Data!K622&lt;&gt;"",Raw_Data!K622,""))</f>
        <v/>
      </c>
      <c r="H619" s="12" t="str">
        <f>IF(Raw_Data!AI622&lt;&gt;"",Raw_Data!AI622,IF(Raw_Data!L622&lt;&gt;"",Raw_Data!L622,""))</f>
        <v/>
      </c>
      <c r="I619" s="12" t="str">
        <f t="shared" si="81"/>
        <v/>
      </c>
      <c r="J619" s="12" t="str">
        <f>IF(Raw_Data!M622="","",Raw_Data!M622)</f>
        <v/>
      </c>
      <c r="K619" s="12">
        <f>IF(Raw_Data!AJ622&lt;&gt;"",Raw_Data!AJ622,Raw_Data!N622)</f>
        <v>0</v>
      </c>
      <c r="L619" s="12">
        <f t="shared" si="82"/>
        <v>1</v>
      </c>
      <c r="M619" s="12" t="str">
        <f>IF(Raw_Data!AK622="","",Raw_Data!AK622)</f>
        <v/>
      </c>
      <c r="N619" s="12" t="str">
        <f>IF(Raw_Data!T622="","",Raw_Data!T622)</f>
        <v/>
      </c>
      <c r="O619" s="12" t="str">
        <f>IF(Raw_Data!AB622&lt;&gt;"",Raw_Data!AB622,IF(N619="tres_insatisfait",1,IF(N619="insatisfait",2,IF(N619="neutre",3,IF(N619="satisfait",4,IF(N619="tres_satisfait",5,""))))))</f>
        <v/>
      </c>
      <c r="P619" s="12">
        <f>IF(Raw_Data!AL622&lt;&gt;"",Raw_Data!AL622,Raw_Data!R622)</f>
        <v>0</v>
      </c>
      <c r="Q619" s="12">
        <f t="shared" si="83"/>
        <v>0</v>
      </c>
      <c r="R619" s="12" t="str">
        <f>IF(Raw_Data!AM622="","",Raw_Data!AM622)</f>
        <v/>
      </c>
      <c r="S619" s="12" t="str">
        <f t="shared" si="84"/>
        <v/>
      </c>
      <c r="T619" s="12" t="str">
        <f>IF(Raw_Data!AN622="","",Raw_Data!AN622)</f>
        <v/>
      </c>
      <c r="U619" s="12" t="str">
        <f t="shared" si="85"/>
        <v/>
      </c>
      <c r="V619" s="12" t="str">
        <f>IF(Raw_Data!AP622="","",IF(Raw_Data!AP622="oui",1,0))</f>
        <v/>
      </c>
      <c r="W619" s="12" t="str">
        <f>IF(Raw_Data!AQ622="","",IF(Raw_Data!AQ622="oui",1,0))</f>
        <v/>
      </c>
      <c r="X619" s="12" t="str">
        <f>IF(Raw_Data!AR622="","",IF(Raw_Data!AR622="oui",1,0))</f>
        <v/>
      </c>
      <c r="Y619" s="12" t="str">
        <f>IF(Raw_Data!AS622="","",IF(Raw_Data!AS622="oui",1,0))</f>
        <v/>
      </c>
      <c r="Z619" s="12" t="str">
        <f>IF(Raw_Data!V622="","",IF(Raw_Data!V622="oui",1,0))</f>
        <v/>
      </c>
      <c r="AA619" s="12" t="str">
        <f>IF(Raw_Data!W622="","",IF(Raw_Data!W622="oui",1,0))</f>
        <v/>
      </c>
      <c r="AB619" s="12" t="str">
        <f>IF(Raw_Data!Q622="","",IF(Raw_Data!Q622="oui",1,0))</f>
        <v/>
      </c>
      <c r="AC619" s="12">
        <f>Raw_Data!AF622</f>
        <v>0</v>
      </c>
      <c r="AD619" s="12" t="str">
        <f t="shared" si="86"/>
        <v/>
      </c>
      <c r="AE619" s="12" t="str">
        <f t="shared" si="87"/>
        <v/>
      </c>
      <c r="AF619" s="12" t="str">
        <f t="shared" si="88"/>
        <v/>
      </c>
      <c r="AG619" s="12">
        <f t="shared" si="89"/>
        <v>0</v>
      </c>
    </row>
    <row r="620" spans="1:33" ht="15" customHeight="1" x14ac:dyDescent="0.25">
      <c r="A620" s="12" t="str">
        <f>IF(Raw_Data!B623="","",Raw_Data!B623)</f>
        <v/>
      </c>
      <c r="B620" s="12">
        <f>IF(Raw_Data!X623&lt;&gt;"",Raw_Data!X623,Raw_Data!C623)</f>
        <v>0</v>
      </c>
      <c r="C620" s="12" t="str">
        <f>IF(Raw_Data!G623="","",Raw_Data!G623)</f>
        <v/>
      </c>
      <c r="D620" s="12" t="str">
        <f>IF(Raw_Data!H623="","",Raw_Data!H623)</f>
        <v/>
      </c>
      <c r="E620" s="12" t="str">
        <f>IF(Raw_Data!I623="","",Raw_Data!I623)</f>
        <v/>
      </c>
      <c r="F620" s="12" t="str">
        <f>IF(Raw_Data!J623="","",Raw_Data!J623)</f>
        <v/>
      </c>
      <c r="G620" s="12" t="str">
        <f>IF(Raw_Data!AH623&lt;&gt;"",Raw_Data!AH623,IF(Raw_Data!K623&lt;&gt;"",Raw_Data!K623,""))</f>
        <v/>
      </c>
      <c r="H620" s="12" t="str">
        <f>IF(Raw_Data!AI623&lt;&gt;"",Raw_Data!AI623,IF(Raw_Data!L623&lt;&gt;"",Raw_Data!L623,""))</f>
        <v/>
      </c>
      <c r="I620" s="12" t="str">
        <f t="shared" si="81"/>
        <v/>
      </c>
      <c r="J620" s="12" t="str">
        <f>IF(Raw_Data!M623="","",Raw_Data!M623)</f>
        <v/>
      </c>
      <c r="K620" s="12">
        <f>IF(Raw_Data!AJ623&lt;&gt;"",Raw_Data!AJ623,Raw_Data!N623)</f>
        <v>0</v>
      </c>
      <c r="L620" s="12">
        <f t="shared" si="82"/>
        <v>1</v>
      </c>
      <c r="M620" s="12" t="str">
        <f>IF(Raw_Data!AK623="","",Raw_Data!AK623)</f>
        <v/>
      </c>
      <c r="N620" s="12" t="str">
        <f>IF(Raw_Data!T623="","",Raw_Data!T623)</f>
        <v/>
      </c>
      <c r="O620" s="12" t="str">
        <f>IF(Raw_Data!AB623&lt;&gt;"",Raw_Data!AB623,IF(N620="tres_insatisfait",1,IF(N620="insatisfait",2,IF(N620="neutre",3,IF(N620="satisfait",4,IF(N620="tres_satisfait",5,""))))))</f>
        <v/>
      </c>
      <c r="P620" s="12">
        <f>IF(Raw_Data!AL623&lt;&gt;"",Raw_Data!AL623,Raw_Data!R623)</f>
        <v>0</v>
      </c>
      <c r="Q620" s="12">
        <f t="shared" si="83"/>
        <v>0</v>
      </c>
      <c r="R620" s="12" t="str">
        <f>IF(Raw_Data!AM623="","",Raw_Data!AM623)</f>
        <v/>
      </c>
      <c r="S620" s="12" t="str">
        <f t="shared" si="84"/>
        <v/>
      </c>
      <c r="T620" s="12" t="str">
        <f>IF(Raw_Data!AN623="","",Raw_Data!AN623)</f>
        <v/>
      </c>
      <c r="U620" s="12" t="str">
        <f t="shared" si="85"/>
        <v/>
      </c>
      <c r="V620" s="12" t="str">
        <f>IF(Raw_Data!AP623="","",IF(Raw_Data!AP623="oui",1,0))</f>
        <v/>
      </c>
      <c r="W620" s="12" t="str">
        <f>IF(Raw_Data!AQ623="","",IF(Raw_Data!AQ623="oui",1,0))</f>
        <v/>
      </c>
      <c r="X620" s="12" t="str">
        <f>IF(Raw_Data!AR623="","",IF(Raw_Data!AR623="oui",1,0))</f>
        <v/>
      </c>
      <c r="Y620" s="12" t="str">
        <f>IF(Raw_Data!AS623="","",IF(Raw_Data!AS623="oui",1,0))</f>
        <v/>
      </c>
      <c r="Z620" s="12" t="str">
        <f>IF(Raw_Data!V623="","",IF(Raw_Data!V623="oui",1,0))</f>
        <v/>
      </c>
      <c r="AA620" s="12" t="str">
        <f>IF(Raw_Data!W623="","",IF(Raw_Data!W623="oui",1,0))</f>
        <v/>
      </c>
      <c r="AB620" s="12" t="str">
        <f>IF(Raw_Data!Q623="","",IF(Raw_Data!Q623="oui",1,0))</f>
        <v/>
      </c>
      <c r="AC620" s="12">
        <f>Raw_Data!AF623</f>
        <v>0</v>
      </c>
      <c r="AD620" s="12" t="str">
        <f t="shared" si="86"/>
        <v/>
      </c>
      <c r="AE620" s="12" t="str">
        <f t="shared" si="87"/>
        <v/>
      </c>
      <c r="AF620" s="12" t="str">
        <f t="shared" si="88"/>
        <v/>
      </c>
      <c r="AG620" s="12">
        <f t="shared" si="89"/>
        <v>0</v>
      </c>
    </row>
    <row r="621" spans="1:33" ht="15" customHeight="1" x14ac:dyDescent="0.25">
      <c r="A621" s="12" t="str">
        <f>IF(Raw_Data!B624="","",Raw_Data!B624)</f>
        <v/>
      </c>
      <c r="B621" s="12">
        <f>IF(Raw_Data!X624&lt;&gt;"",Raw_Data!X624,Raw_Data!C624)</f>
        <v>0</v>
      </c>
      <c r="C621" s="12" t="str">
        <f>IF(Raw_Data!G624="","",Raw_Data!G624)</f>
        <v/>
      </c>
      <c r="D621" s="12" t="str">
        <f>IF(Raw_Data!H624="","",Raw_Data!H624)</f>
        <v/>
      </c>
      <c r="E621" s="12" t="str">
        <f>IF(Raw_Data!I624="","",Raw_Data!I624)</f>
        <v/>
      </c>
      <c r="F621" s="12" t="str">
        <f>IF(Raw_Data!J624="","",Raw_Data!J624)</f>
        <v/>
      </c>
      <c r="G621" s="12" t="str">
        <f>IF(Raw_Data!AH624&lt;&gt;"",Raw_Data!AH624,IF(Raw_Data!K624&lt;&gt;"",Raw_Data!K624,""))</f>
        <v/>
      </c>
      <c r="H621" s="12" t="str">
        <f>IF(Raw_Data!AI624&lt;&gt;"",Raw_Data!AI624,IF(Raw_Data!L624&lt;&gt;"",Raw_Data!L624,""))</f>
        <v/>
      </c>
      <c r="I621" s="12" t="str">
        <f t="shared" si="81"/>
        <v/>
      </c>
      <c r="J621" s="12" t="str">
        <f>IF(Raw_Data!M624="","",Raw_Data!M624)</f>
        <v/>
      </c>
      <c r="K621" s="12">
        <f>IF(Raw_Data!AJ624&lt;&gt;"",Raw_Data!AJ624,Raw_Data!N624)</f>
        <v>0</v>
      </c>
      <c r="L621" s="12">
        <f t="shared" si="82"/>
        <v>1</v>
      </c>
      <c r="M621" s="12" t="str">
        <f>IF(Raw_Data!AK624="","",Raw_Data!AK624)</f>
        <v/>
      </c>
      <c r="N621" s="12" t="str">
        <f>IF(Raw_Data!T624="","",Raw_Data!T624)</f>
        <v/>
      </c>
      <c r="O621" s="12" t="str">
        <f>IF(Raw_Data!AB624&lt;&gt;"",Raw_Data!AB624,IF(N621="tres_insatisfait",1,IF(N621="insatisfait",2,IF(N621="neutre",3,IF(N621="satisfait",4,IF(N621="tres_satisfait",5,""))))))</f>
        <v/>
      </c>
      <c r="P621" s="12">
        <f>IF(Raw_Data!AL624&lt;&gt;"",Raw_Data!AL624,Raw_Data!R624)</f>
        <v>0</v>
      </c>
      <c r="Q621" s="12">
        <f t="shared" si="83"/>
        <v>0</v>
      </c>
      <c r="R621" s="12" t="str">
        <f>IF(Raw_Data!AM624="","",Raw_Data!AM624)</f>
        <v/>
      </c>
      <c r="S621" s="12" t="str">
        <f t="shared" si="84"/>
        <v/>
      </c>
      <c r="T621" s="12" t="str">
        <f>IF(Raw_Data!AN624="","",Raw_Data!AN624)</f>
        <v/>
      </c>
      <c r="U621" s="12" t="str">
        <f t="shared" si="85"/>
        <v/>
      </c>
      <c r="V621" s="12" t="str">
        <f>IF(Raw_Data!AP624="","",IF(Raw_Data!AP624="oui",1,0))</f>
        <v/>
      </c>
      <c r="W621" s="12" t="str">
        <f>IF(Raw_Data!AQ624="","",IF(Raw_Data!AQ624="oui",1,0))</f>
        <v/>
      </c>
      <c r="X621" s="12" t="str">
        <f>IF(Raw_Data!AR624="","",IF(Raw_Data!AR624="oui",1,0))</f>
        <v/>
      </c>
      <c r="Y621" s="12" t="str">
        <f>IF(Raw_Data!AS624="","",IF(Raw_Data!AS624="oui",1,0))</f>
        <v/>
      </c>
      <c r="Z621" s="12" t="str">
        <f>IF(Raw_Data!V624="","",IF(Raw_Data!V624="oui",1,0))</f>
        <v/>
      </c>
      <c r="AA621" s="12" t="str">
        <f>IF(Raw_Data!W624="","",IF(Raw_Data!W624="oui",1,0))</f>
        <v/>
      </c>
      <c r="AB621" s="12" t="str">
        <f>IF(Raw_Data!Q624="","",IF(Raw_Data!Q624="oui",1,0))</f>
        <v/>
      </c>
      <c r="AC621" s="12">
        <f>Raw_Data!AF624</f>
        <v>0</v>
      </c>
      <c r="AD621" s="12" t="str">
        <f t="shared" si="86"/>
        <v/>
      </c>
      <c r="AE621" s="12" t="str">
        <f t="shared" si="87"/>
        <v/>
      </c>
      <c r="AF621" s="12" t="str">
        <f t="shared" si="88"/>
        <v/>
      </c>
      <c r="AG621" s="12">
        <f t="shared" si="89"/>
        <v>0</v>
      </c>
    </row>
    <row r="622" spans="1:33" ht="15" customHeight="1" x14ac:dyDescent="0.25">
      <c r="A622" s="12" t="str">
        <f>IF(Raw_Data!B625="","",Raw_Data!B625)</f>
        <v/>
      </c>
      <c r="B622" s="12">
        <f>IF(Raw_Data!X625&lt;&gt;"",Raw_Data!X625,Raw_Data!C625)</f>
        <v>0</v>
      </c>
      <c r="C622" s="12" t="str">
        <f>IF(Raw_Data!G625="","",Raw_Data!G625)</f>
        <v/>
      </c>
      <c r="D622" s="12" t="str">
        <f>IF(Raw_Data!H625="","",Raw_Data!H625)</f>
        <v/>
      </c>
      <c r="E622" s="12" t="str">
        <f>IF(Raw_Data!I625="","",Raw_Data!I625)</f>
        <v/>
      </c>
      <c r="F622" s="12" t="str">
        <f>IF(Raw_Data!J625="","",Raw_Data!J625)</f>
        <v/>
      </c>
      <c r="G622" s="12" t="str">
        <f>IF(Raw_Data!AH625&lt;&gt;"",Raw_Data!AH625,IF(Raw_Data!K625&lt;&gt;"",Raw_Data!K625,""))</f>
        <v/>
      </c>
      <c r="H622" s="12" t="str">
        <f>IF(Raw_Data!AI625&lt;&gt;"",Raw_Data!AI625,IF(Raw_Data!L625&lt;&gt;"",Raw_Data!L625,""))</f>
        <v/>
      </c>
      <c r="I622" s="12" t="str">
        <f t="shared" si="81"/>
        <v/>
      </c>
      <c r="J622" s="12" t="str">
        <f>IF(Raw_Data!M625="","",Raw_Data!M625)</f>
        <v/>
      </c>
      <c r="K622" s="12">
        <f>IF(Raw_Data!AJ625&lt;&gt;"",Raw_Data!AJ625,Raw_Data!N625)</f>
        <v>0</v>
      </c>
      <c r="L622" s="12">
        <f t="shared" si="82"/>
        <v>1</v>
      </c>
      <c r="M622" s="12" t="str">
        <f>IF(Raw_Data!AK625="","",Raw_Data!AK625)</f>
        <v/>
      </c>
      <c r="N622" s="12" t="str">
        <f>IF(Raw_Data!T625="","",Raw_Data!T625)</f>
        <v/>
      </c>
      <c r="O622" s="12" t="str">
        <f>IF(Raw_Data!AB625&lt;&gt;"",Raw_Data!AB625,IF(N622="tres_insatisfait",1,IF(N622="insatisfait",2,IF(N622="neutre",3,IF(N622="satisfait",4,IF(N622="tres_satisfait",5,""))))))</f>
        <v/>
      </c>
      <c r="P622" s="12">
        <f>IF(Raw_Data!AL625&lt;&gt;"",Raw_Data!AL625,Raw_Data!R625)</f>
        <v>0</v>
      </c>
      <c r="Q622" s="12">
        <f t="shared" si="83"/>
        <v>0</v>
      </c>
      <c r="R622" s="12" t="str">
        <f>IF(Raw_Data!AM625="","",Raw_Data!AM625)</f>
        <v/>
      </c>
      <c r="S622" s="12" t="str">
        <f t="shared" si="84"/>
        <v/>
      </c>
      <c r="T622" s="12" t="str">
        <f>IF(Raw_Data!AN625="","",Raw_Data!AN625)</f>
        <v/>
      </c>
      <c r="U622" s="12" t="str">
        <f t="shared" si="85"/>
        <v/>
      </c>
      <c r="V622" s="12" t="str">
        <f>IF(Raw_Data!AP625="","",IF(Raw_Data!AP625="oui",1,0))</f>
        <v/>
      </c>
      <c r="W622" s="12" t="str">
        <f>IF(Raw_Data!AQ625="","",IF(Raw_Data!AQ625="oui",1,0))</f>
        <v/>
      </c>
      <c r="X622" s="12" t="str">
        <f>IF(Raw_Data!AR625="","",IF(Raw_Data!AR625="oui",1,0))</f>
        <v/>
      </c>
      <c r="Y622" s="12" t="str">
        <f>IF(Raw_Data!AS625="","",IF(Raw_Data!AS625="oui",1,0))</f>
        <v/>
      </c>
      <c r="Z622" s="12" t="str">
        <f>IF(Raw_Data!V625="","",IF(Raw_Data!V625="oui",1,0))</f>
        <v/>
      </c>
      <c r="AA622" s="12" t="str">
        <f>IF(Raw_Data!W625="","",IF(Raw_Data!W625="oui",1,0))</f>
        <v/>
      </c>
      <c r="AB622" s="12" t="str">
        <f>IF(Raw_Data!Q625="","",IF(Raw_Data!Q625="oui",1,0))</f>
        <v/>
      </c>
      <c r="AC622" s="12">
        <f>Raw_Data!AF625</f>
        <v>0</v>
      </c>
      <c r="AD622" s="12" t="str">
        <f t="shared" si="86"/>
        <v/>
      </c>
      <c r="AE622" s="12" t="str">
        <f t="shared" si="87"/>
        <v/>
      </c>
      <c r="AF622" s="12" t="str">
        <f t="shared" si="88"/>
        <v/>
      </c>
      <c r="AG622" s="12">
        <f t="shared" si="89"/>
        <v>0</v>
      </c>
    </row>
    <row r="623" spans="1:33" ht="15" customHeight="1" x14ac:dyDescent="0.25">
      <c r="A623" s="12" t="str">
        <f>IF(Raw_Data!B626="","",Raw_Data!B626)</f>
        <v/>
      </c>
      <c r="B623" s="12">
        <f>IF(Raw_Data!X626&lt;&gt;"",Raw_Data!X626,Raw_Data!C626)</f>
        <v>0</v>
      </c>
      <c r="C623" s="12" t="str">
        <f>IF(Raw_Data!G626="","",Raw_Data!G626)</f>
        <v/>
      </c>
      <c r="D623" s="12" t="str">
        <f>IF(Raw_Data!H626="","",Raw_Data!H626)</f>
        <v/>
      </c>
      <c r="E623" s="12" t="str">
        <f>IF(Raw_Data!I626="","",Raw_Data!I626)</f>
        <v/>
      </c>
      <c r="F623" s="12" t="str">
        <f>IF(Raw_Data!J626="","",Raw_Data!J626)</f>
        <v/>
      </c>
      <c r="G623" s="12" t="str">
        <f>IF(Raw_Data!AH626&lt;&gt;"",Raw_Data!AH626,IF(Raw_Data!K626&lt;&gt;"",Raw_Data!K626,""))</f>
        <v/>
      </c>
      <c r="H623" s="12" t="str">
        <f>IF(Raw_Data!AI626&lt;&gt;"",Raw_Data!AI626,IF(Raw_Data!L626&lt;&gt;"",Raw_Data!L626,""))</f>
        <v/>
      </c>
      <c r="I623" s="12" t="str">
        <f t="shared" si="81"/>
        <v/>
      </c>
      <c r="J623" s="12" t="str">
        <f>IF(Raw_Data!M626="","",Raw_Data!M626)</f>
        <v/>
      </c>
      <c r="K623" s="12">
        <f>IF(Raw_Data!AJ626&lt;&gt;"",Raw_Data!AJ626,Raw_Data!N626)</f>
        <v>0</v>
      </c>
      <c r="L623" s="12">
        <f t="shared" si="82"/>
        <v>1</v>
      </c>
      <c r="M623" s="12" t="str">
        <f>IF(Raw_Data!AK626="","",Raw_Data!AK626)</f>
        <v/>
      </c>
      <c r="N623" s="12" t="str">
        <f>IF(Raw_Data!T626="","",Raw_Data!T626)</f>
        <v/>
      </c>
      <c r="O623" s="12" t="str">
        <f>IF(Raw_Data!AB626&lt;&gt;"",Raw_Data!AB626,IF(N623="tres_insatisfait",1,IF(N623="insatisfait",2,IF(N623="neutre",3,IF(N623="satisfait",4,IF(N623="tres_satisfait",5,""))))))</f>
        <v/>
      </c>
      <c r="P623" s="12">
        <f>IF(Raw_Data!AL626&lt;&gt;"",Raw_Data!AL626,Raw_Data!R626)</f>
        <v>0</v>
      </c>
      <c r="Q623" s="12">
        <f t="shared" si="83"/>
        <v>0</v>
      </c>
      <c r="R623" s="12" t="str">
        <f>IF(Raw_Data!AM626="","",Raw_Data!AM626)</f>
        <v/>
      </c>
      <c r="S623" s="12" t="str">
        <f t="shared" si="84"/>
        <v/>
      </c>
      <c r="T623" s="12" t="str">
        <f>IF(Raw_Data!AN626="","",Raw_Data!AN626)</f>
        <v/>
      </c>
      <c r="U623" s="12" t="str">
        <f t="shared" si="85"/>
        <v/>
      </c>
      <c r="V623" s="12" t="str">
        <f>IF(Raw_Data!AP626="","",IF(Raw_Data!AP626="oui",1,0))</f>
        <v/>
      </c>
      <c r="W623" s="12" t="str">
        <f>IF(Raw_Data!AQ626="","",IF(Raw_Data!AQ626="oui",1,0))</f>
        <v/>
      </c>
      <c r="X623" s="12" t="str">
        <f>IF(Raw_Data!AR626="","",IF(Raw_Data!AR626="oui",1,0))</f>
        <v/>
      </c>
      <c r="Y623" s="12" t="str">
        <f>IF(Raw_Data!AS626="","",IF(Raw_Data!AS626="oui",1,0))</f>
        <v/>
      </c>
      <c r="Z623" s="12" t="str">
        <f>IF(Raw_Data!V626="","",IF(Raw_Data!V626="oui",1,0))</f>
        <v/>
      </c>
      <c r="AA623" s="12" t="str">
        <f>IF(Raw_Data!W626="","",IF(Raw_Data!W626="oui",1,0))</f>
        <v/>
      </c>
      <c r="AB623" s="12" t="str">
        <f>IF(Raw_Data!Q626="","",IF(Raw_Data!Q626="oui",1,0))</f>
        <v/>
      </c>
      <c r="AC623" s="12">
        <f>Raw_Data!AF626</f>
        <v>0</v>
      </c>
      <c r="AD623" s="12" t="str">
        <f t="shared" si="86"/>
        <v/>
      </c>
      <c r="AE623" s="12" t="str">
        <f t="shared" si="87"/>
        <v/>
      </c>
      <c r="AF623" s="12" t="str">
        <f t="shared" si="88"/>
        <v/>
      </c>
      <c r="AG623" s="12">
        <f t="shared" si="89"/>
        <v>0</v>
      </c>
    </row>
    <row r="624" spans="1:33" ht="15" customHeight="1" x14ac:dyDescent="0.25">
      <c r="A624" s="12" t="str">
        <f>IF(Raw_Data!B627="","",Raw_Data!B627)</f>
        <v/>
      </c>
      <c r="B624" s="12">
        <f>IF(Raw_Data!X627&lt;&gt;"",Raw_Data!X627,Raw_Data!C627)</f>
        <v>0</v>
      </c>
      <c r="C624" s="12" t="str">
        <f>IF(Raw_Data!G627="","",Raw_Data!G627)</f>
        <v/>
      </c>
      <c r="D624" s="12" t="str">
        <f>IF(Raw_Data!H627="","",Raw_Data!H627)</f>
        <v/>
      </c>
      <c r="E624" s="12" t="str">
        <f>IF(Raw_Data!I627="","",Raw_Data!I627)</f>
        <v/>
      </c>
      <c r="F624" s="12" t="str">
        <f>IF(Raw_Data!J627="","",Raw_Data!J627)</f>
        <v/>
      </c>
      <c r="G624" s="12" t="str">
        <f>IF(Raw_Data!AH627&lt;&gt;"",Raw_Data!AH627,IF(Raw_Data!K627&lt;&gt;"",Raw_Data!K627,""))</f>
        <v/>
      </c>
      <c r="H624" s="12" t="str">
        <f>IF(Raw_Data!AI627&lt;&gt;"",Raw_Data!AI627,IF(Raw_Data!L627&lt;&gt;"",Raw_Data!L627,""))</f>
        <v/>
      </c>
      <c r="I624" s="12" t="str">
        <f t="shared" si="81"/>
        <v/>
      </c>
      <c r="J624" s="12" t="str">
        <f>IF(Raw_Data!M627="","",Raw_Data!M627)</f>
        <v/>
      </c>
      <c r="K624" s="12">
        <f>IF(Raw_Data!AJ627&lt;&gt;"",Raw_Data!AJ627,Raw_Data!N627)</f>
        <v>0</v>
      </c>
      <c r="L624" s="12">
        <f t="shared" si="82"/>
        <v>1</v>
      </c>
      <c r="M624" s="12" t="str">
        <f>IF(Raw_Data!AK627="","",Raw_Data!AK627)</f>
        <v/>
      </c>
      <c r="N624" s="12" t="str">
        <f>IF(Raw_Data!T627="","",Raw_Data!T627)</f>
        <v/>
      </c>
      <c r="O624" s="12" t="str">
        <f>IF(Raw_Data!AB627&lt;&gt;"",Raw_Data!AB627,IF(N624="tres_insatisfait",1,IF(N624="insatisfait",2,IF(N624="neutre",3,IF(N624="satisfait",4,IF(N624="tres_satisfait",5,""))))))</f>
        <v/>
      </c>
      <c r="P624" s="12">
        <f>IF(Raw_Data!AL627&lt;&gt;"",Raw_Data!AL627,Raw_Data!R627)</f>
        <v>0</v>
      </c>
      <c r="Q624" s="12">
        <f t="shared" si="83"/>
        <v>0</v>
      </c>
      <c r="R624" s="12" t="str">
        <f>IF(Raw_Data!AM627="","",Raw_Data!AM627)</f>
        <v/>
      </c>
      <c r="S624" s="12" t="str">
        <f t="shared" si="84"/>
        <v/>
      </c>
      <c r="T624" s="12" t="str">
        <f>IF(Raw_Data!AN627="","",Raw_Data!AN627)</f>
        <v/>
      </c>
      <c r="U624" s="12" t="str">
        <f t="shared" si="85"/>
        <v/>
      </c>
      <c r="V624" s="12" t="str">
        <f>IF(Raw_Data!AP627="","",IF(Raw_Data!AP627="oui",1,0))</f>
        <v/>
      </c>
      <c r="W624" s="12" t="str">
        <f>IF(Raw_Data!AQ627="","",IF(Raw_Data!AQ627="oui",1,0))</f>
        <v/>
      </c>
      <c r="X624" s="12" t="str">
        <f>IF(Raw_Data!AR627="","",IF(Raw_Data!AR627="oui",1,0))</f>
        <v/>
      </c>
      <c r="Y624" s="12" t="str">
        <f>IF(Raw_Data!AS627="","",IF(Raw_Data!AS627="oui",1,0))</f>
        <v/>
      </c>
      <c r="Z624" s="12" t="str">
        <f>IF(Raw_Data!V627="","",IF(Raw_Data!V627="oui",1,0))</f>
        <v/>
      </c>
      <c r="AA624" s="12" t="str">
        <f>IF(Raw_Data!W627="","",IF(Raw_Data!W627="oui",1,0))</f>
        <v/>
      </c>
      <c r="AB624" s="12" t="str">
        <f>IF(Raw_Data!Q627="","",IF(Raw_Data!Q627="oui",1,0))</f>
        <v/>
      </c>
      <c r="AC624" s="12">
        <f>Raw_Data!AF627</f>
        <v>0</v>
      </c>
      <c r="AD624" s="12" t="str">
        <f t="shared" si="86"/>
        <v/>
      </c>
      <c r="AE624" s="12" t="str">
        <f t="shared" si="87"/>
        <v/>
      </c>
      <c r="AF624" s="12" t="str">
        <f t="shared" si="88"/>
        <v/>
      </c>
      <c r="AG624" s="12">
        <f t="shared" si="89"/>
        <v>0</v>
      </c>
    </row>
    <row r="625" spans="1:33" ht="15" customHeight="1" x14ac:dyDescent="0.25">
      <c r="A625" s="12" t="str">
        <f>IF(Raw_Data!B628="","",Raw_Data!B628)</f>
        <v/>
      </c>
      <c r="B625" s="12">
        <f>IF(Raw_Data!X628&lt;&gt;"",Raw_Data!X628,Raw_Data!C628)</f>
        <v>0</v>
      </c>
      <c r="C625" s="12" t="str">
        <f>IF(Raw_Data!G628="","",Raw_Data!G628)</f>
        <v/>
      </c>
      <c r="D625" s="12" t="str">
        <f>IF(Raw_Data!H628="","",Raw_Data!H628)</f>
        <v/>
      </c>
      <c r="E625" s="12" t="str">
        <f>IF(Raw_Data!I628="","",Raw_Data!I628)</f>
        <v/>
      </c>
      <c r="F625" s="12" t="str">
        <f>IF(Raw_Data!J628="","",Raw_Data!J628)</f>
        <v/>
      </c>
      <c r="G625" s="12" t="str">
        <f>IF(Raw_Data!AH628&lt;&gt;"",Raw_Data!AH628,IF(Raw_Data!K628&lt;&gt;"",Raw_Data!K628,""))</f>
        <v/>
      </c>
      <c r="H625" s="12" t="str">
        <f>IF(Raw_Data!AI628&lt;&gt;"",Raw_Data!AI628,IF(Raw_Data!L628&lt;&gt;"",Raw_Data!L628,""))</f>
        <v/>
      </c>
      <c r="I625" s="12" t="str">
        <f t="shared" si="81"/>
        <v/>
      </c>
      <c r="J625" s="12" t="str">
        <f>IF(Raw_Data!M628="","",Raw_Data!M628)</f>
        <v/>
      </c>
      <c r="K625" s="12">
        <f>IF(Raw_Data!AJ628&lt;&gt;"",Raw_Data!AJ628,Raw_Data!N628)</f>
        <v>0</v>
      </c>
      <c r="L625" s="12">
        <f t="shared" si="82"/>
        <v>1</v>
      </c>
      <c r="M625" s="12" t="str">
        <f>IF(Raw_Data!AK628="","",Raw_Data!AK628)</f>
        <v/>
      </c>
      <c r="N625" s="12" t="str">
        <f>IF(Raw_Data!T628="","",Raw_Data!T628)</f>
        <v/>
      </c>
      <c r="O625" s="12" t="str">
        <f>IF(Raw_Data!AB628&lt;&gt;"",Raw_Data!AB628,IF(N625="tres_insatisfait",1,IF(N625="insatisfait",2,IF(N625="neutre",3,IF(N625="satisfait",4,IF(N625="tres_satisfait",5,""))))))</f>
        <v/>
      </c>
      <c r="P625" s="12">
        <f>IF(Raw_Data!AL628&lt;&gt;"",Raw_Data!AL628,Raw_Data!R628)</f>
        <v>0</v>
      </c>
      <c r="Q625" s="12">
        <f t="shared" si="83"/>
        <v>0</v>
      </c>
      <c r="R625" s="12" t="str">
        <f>IF(Raw_Data!AM628="","",Raw_Data!AM628)</f>
        <v/>
      </c>
      <c r="S625" s="12" t="str">
        <f t="shared" si="84"/>
        <v/>
      </c>
      <c r="T625" s="12" t="str">
        <f>IF(Raw_Data!AN628="","",Raw_Data!AN628)</f>
        <v/>
      </c>
      <c r="U625" s="12" t="str">
        <f t="shared" si="85"/>
        <v/>
      </c>
      <c r="V625" s="12" t="str">
        <f>IF(Raw_Data!AP628="","",IF(Raw_Data!AP628="oui",1,0))</f>
        <v/>
      </c>
      <c r="W625" s="12" t="str">
        <f>IF(Raw_Data!AQ628="","",IF(Raw_Data!AQ628="oui",1,0))</f>
        <v/>
      </c>
      <c r="X625" s="12" t="str">
        <f>IF(Raw_Data!AR628="","",IF(Raw_Data!AR628="oui",1,0))</f>
        <v/>
      </c>
      <c r="Y625" s="12" t="str">
        <f>IF(Raw_Data!AS628="","",IF(Raw_Data!AS628="oui",1,0))</f>
        <v/>
      </c>
      <c r="Z625" s="12" t="str">
        <f>IF(Raw_Data!V628="","",IF(Raw_Data!V628="oui",1,0))</f>
        <v/>
      </c>
      <c r="AA625" s="12" t="str">
        <f>IF(Raw_Data!W628="","",IF(Raw_Data!W628="oui",1,0))</f>
        <v/>
      </c>
      <c r="AB625" s="12" t="str">
        <f>IF(Raw_Data!Q628="","",IF(Raw_Data!Q628="oui",1,0))</f>
        <v/>
      </c>
      <c r="AC625" s="12">
        <f>Raw_Data!AF628</f>
        <v>0</v>
      </c>
      <c r="AD625" s="12" t="str">
        <f t="shared" si="86"/>
        <v/>
      </c>
      <c r="AE625" s="12" t="str">
        <f t="shared" si="87"/>
        <v/>
      </c>
      <c r="AF625" s="12" t="str">
        <f t="shared" si="88"/>
        <v/>
      </c>
      <c r="AG625" s="12">
        <f t="shared" si="89"/>
        <v>0</v>
      </c>
    </row>
    <row r="626" spans="1:33" ht="15" customHeight="1" x14ac:dyDescent="0.25">
      <c r="A626" s="12" t="str">
        <f>IF(Raw_Data!B629="","",Raw_Data!B629)</f>
        <v/>
      </c>
      <c r="B626" s="12">
        <f>IF(Raw_Data!X629&lt;&gt;"",Raw_Data!X629,Raw_Data!C629)</f>
        <v>0</v>
      </c>
      <c r="C626" s="12" t="str">
        <f>IF(Raw_Data!G629="","",Raw_Data!G629)</f>
        <v/>
      </c>
      <c r="D626" s="12" t="str">
        <f>IF(Raw_Data!H629="","",Raw_Data!H629)</f>
        <v/>
      </c>
      <c r="E626" s="12" t="str">
        <f>IF(Raw_Data!I629="","",Raw_Data!I629)</f>
        <v/>
      </c>
      <c r="F626" s="12" t="str">
        <f>IF(Raw_Data!J629="","",Raw_Data!J629)</f>
        <v/>
      </c>
      <c r="G626" s="12" t="str">
        <f>IF(Raw_Data!AH629&lt;&gt;"",Raw_Data!AH629,IF(Raw_Data!K629&lt;&gt;"",Raw_Data!K629,""))</f>
        <v/>
      </c>
      <c r="H626" s="12" t="str">
        <f>IF(Raw_Data!AI629&lt;&gt;"",Raw_Data!AI629,IF(Raw_Data!L629&lt;&gt;"",Raw_Data!L629,""))</f>
        <v/>
      </c>
      <c r="I626" s="12" t="str">
        <f t="shared" si="81"/>
        <v/>
      </c>
      <c r="J626" s="12" t="str">
        <f>IF(Raw_Data!M629="","",Raw_Data!M629)</f>
        <v/>
      </c>
      <c r="K626" s="12">
        <f>IF(Raw_Data!AJ629&lt;&gt;"",Raw_Data!AJ629,Raw_Data!N629)</f>
        <v>0</v>
      </c>
      <c r="L626" s="12">
        <f t="shared" si="82"/>
        <v>1</v>
      </c>
      <c r="M626" s="12" t="str">
        <f>IF(Raw_Data!AK629="","",Raw_Data!AK629)</f>
        <v/>
      </c>
      <c r="N626" s="12" t="str">
        <f>IF(Raw_Data!T629="","",Raw_Data!T629)</f>
        <v/>
      </c>
      <c r="O626" s="12" t="str">
        <f>IF(Raw_Data!AB629&lt;&gt;"",Raw_Data!AB629,IF(N626="tres_insatisfait",1,IF(N626="insatisfait",2,IF(N626="neutre",3,IF(N626="satisfait",4,IF(N626="tres_satisfait",5,""))))))</f>
        <v/>
      </c>
      <c r="P626" s="12">
        <f>IF(Raw_Data!AL629&lt;&gt;"",Raw_Data!AL629,Raw_Data!R629)</f>
        <v>0</v>
      </c>
      <c r="Q626" s="12">
        <f t="shared" si="83"/>
        <v>0</v>
      </c>
      <c r="R626" s="12" t="str">
        <f>IF(Raw_Data!AM629="","",Raw_Data!AM629)</f>
        <v/>
      </c>
      <c r="S626" s="12" t="str">
        <f t="shared" si="84"/>
        <v/>
      </c>
      <c r="T626" s="12" t="str">
        <f>IF(Raw_Data!AN629="","",Raw_Data!AN629)</f>
        <v/>
      </c>
      <c r="U626" s="12" t="str">
        <f t="shared" si="85"/>
        <v/>
      </c>
      <c r="V626" s="12" t="str">
        <f>IF(Raw_Data!AP629="","",IF(Raw_Data!AP629="oui",1,0))</f>
        <v/>
      </c>
      <c r="W626" s="12" t="str">
        <f>IF(Raw_Data!AQ629="","",IF(Raw_Data!AQ629="oui",1,0))</f>
        <v/>
      </c>
      <c r="X626" s="12" t="str">
        <f>IF(Raw_Data!AR629="","",IF(Raw_Data!AR629="oui",1,0))</f>
        <v/>
      </c>
      <c r="Y626" s="12" t="str">
        <f>IF(Raw_Data!AS629="","",IF(Raw_Data!AS629="oui",1,0))</f>
        <v/>
      </c>
      <c r="Z626" s="12" t="str">
        <f>IF(Raw_Data!V629="","",IF(Raw_Data!V629="oui",1,0))</f>
        <v/>
      </c>
      <c r="AA626" s="12" t="str">
        <f>IF(Raw_Data!W629="","",IF(Raw_Data!W629="oui",1,0))</f>
        <v/>
      </c>
      <c r="AB626" s="12" t="str">
        <f>IF(Raw_Data!Q629="","",IF(Raw_Data!Q629="oui",1,0))</f>
        <v/>
      </c>
      <c r="AC626" s="12">
        <f>Raw_Data!AF629</f>
        <v>0</v>
      </c>
      <c r="AD626" s="12" t="str">
        <f t="shared" si="86"/>
        <v/>
      </c>
      <c r="AE626" s="12" t="str">
        <f t="shared" si="87"/>
        <v/>
      </c>
      <c r="AF626" s="12" t="str">
        <f t="shared" si="88"/>
        <v/>
      </c>
      <c r="AG626" s="12">
        <f t="shared" si="89"/>
        <v>0</v>
      </c>
    </row>
    <row r="627" spans="1:33" ht="15" customHeight="1" x14ac:dyDescent="0.25">
      <c r="A627" s="12" t="str">
        <f>IF(Raw_Data!B630="","",Raw_Data!B630)</f>
        <v/>
      </c>
      <c r="B627" s="12">
        <f>IF(Raw_Data!X630&lt;&gt;"",Raw_Data!X630,Raw_Data!C630)</f>
        <v>0</v>
      </c>
      <c r="C627" s="12" t="str">
        <f>IF(Raw_Data!G630="","",Raw_Data!G630)</f>
        <v/>
      </c>
      <c r="D627" s="12" t="str">
        <f>IF(Raw_Data!H630="","",Raw_Data!H630)</f>
        <v/>
      </c>
      <c r="E627" s="12" t="str">
        <f>IF(Raw_Data!I630="","",Raw_Data!I630)</f>
        <v/>
      </c>
      <c r="F627" s="12" t="str">
        <f>IF(Raw_Data!J630="","",Raw_Data!J630)</f>
        <v/>
      </c>
      <c r="G627" s="12" t="str">
        <f>IF(Raw_Data!AH630&lt;&gt;"",Raw_Data!AH630,IF(Raw_Data!K630&lt;&gt;"",Raw_Data!K630,""))</f>
        <v/>
      </c>
      <c r="H627" s="12" t="str">
        <f>IF(Raw_Data!AI630&lt;&gt;"",Raw_Data!AI630,IF(Raw_Data!L630&lt;&gt;"",Raw_Data!L630,""))</f>
        <v/>
      </c>
      <c r="I627" s="12" t="str">
        <f t="shared" si="81"/>
        <v/>
      </c>
      <c r="J627" s="12" t="str">
        <f>IF(Raw_Data!M630="","",Raw_Data!M630)</f>
        <v/>
      </c>
      <c r="K627" s="12">
        <f>IF(Raw_Data!AJ630&lt;&gt;"",Raw_Data!AJ630,Raw_Data!N630)</f>
        <v>0</v>
      </c>
      <c r="L627" s="12">
        <f t="shared" si="82"/>
        <v>1</v>
      </c>
      <c r="M627" s="12" t="str">
        <f>IF(Raw_Data!AK630="","",Raw_Data!AK630)</f>
        <v/>
      </c>
      <c r="N627" s="12" t="str">
        <f>IF(Raw_Data!T630="","",Raw_Data!T630)</f>
        <v/>
      </c>
      <c r="O627" s="12" t="str">
        <f>IF(Raw_Data!AB630&lt;&gt;"",Raw_Data!AB630,IF(N627="tres_insatisfait",1,IF(N627="insatisfait",2,IF(N627="neutre",3,IF(N627="satisfait",4,IF(N627="tres_satisfait",5,""))))))</f>
        <v/>
      </c>
      <c r="P627" s="12">
        <f>IF(Raw_Data!AL630&lt;&gt;"",Raw_Data!AL630,Raw_Data!R630)</f>
        <v>0</v>
      </c>
      <c r="Q627" s="12">
        <f t="shared" si="83"/>
        <v>0</v>
      </c>
      <c r="R627" s="12" t="str">
        <f>IF(Raw_Data!AM630="","",Raw_Data!AM630)</f>
        <v/>
      </c>
      <c r="S627" s="12" t="str">
        <f t="shared" si="84"/>
        <v/>
      </c>
      <c r="T627" s="12" t="str">
        <f>IF(Raw_Data!AN630="","",Raw_Data!AN630)</f>
        <v/>
      </c>
      <c r="U627" s="12" t="str">
        <f t="shared" si="85"/>
        <v/>
      </c>
      <c r="V627" s="12" t="str">
        <f>IF(Raw_Data!AP630="","",IF(Raw_Data!AP630="oui",1,0))</f>
        <v/>
      </c>
      <c r="W627" s="12" t="str">
        <f>IF(Raw_Data!AQ630="","",IF(Raw_Data!AQ630="oui",1,0))</f>
        <v/>
      </c>
      <c r="X627" s="12" t="str">
        <f>IF(Raw_Data!AR630="","",IF(Raw_Data!AR630="oui",1,0))</f>
        <v/>
      </c>
      <c r="Y627" s="12" t="str">
        <f>IF(Raw_Data!AS630="","",IF(Raw_Data!AS630="oui",1,0))</f>
        <v/>
      </c>
      <c r="Z627" s="12" t="str">
        <f>IF(Raw_Data!V630="","",IF(Raw_Data!V630="oui",1,0))</f>
        <v/>
      </c>
      <c r="AA627" s="12" t="str">
        <f>IF(Raw_Data!W630="","",IF(Raw_Data!W630="oui",1,0))</f>
        <v/>
      </c>
      <c r="AB627" s="12" t="str">
        <f>IF(Raw_Data!Q630="","",IF(Raw_Data!Q630="oui",1,0))</f>
        <v/>
      </c>
      <c r="AC627" s="12">
        <f>Raw_Data!AF630</f>
        <v>0</v>
      </c>
      <c r="AD627" s="12" t="str">
        <f t="shared" si="86"/>
        <v/>
      </c>
      <c r="AE627" s="12" t="str">
        <f t="shared" si="87"/>
        <v/>
      </c>
      <c r="AF627" s="12" t="str">
        <f t="shared" si="88"/>
        <v/>
      </c>
      <c r="AG627" s="12">
        <f t="shared" si="89"/>
        <v>0</v>
      </c>
    </row>
    <row r="628" spans="1:33" ht="15" customHeight="1" x14ac:dyDescent="0.25">
      <c r="A628" s="12" t="str">
        <f>IF(Raw_Data!B631="","",Raw_Data!B631)</f>
        <v/>
      </c>
      <c r="B628" s="12">
        <f>IF(Raw_Data!X631&lt;&gt;"",Raw_Data!X631,Raw_Data!C631)</f>
        <v>0</v>
      </c>
      <c r="C628" s="12" t="str">
        <f>IF(Raw_Data!G631="","",Raw_Data!G631)</f>
        <v/>
      </c>
      <c r="D628" s="12" t="str">
        <f>IF(Raw_Data!H631="","",Raw_Data!H631)</f>
        <v/>
      </c>
      <c r="E628" s="12" t="str">
        <f>IF(Raw_Data!I631="","",Raw_Data!I631)</f>
        <v/>
      </c>
      <c r="F628" s="12" t="str">
        <f>IF(Raw_Data!J631="","",Raw_Data!J631)</f>
        <v/>
      </c>
      <c r="G628" s="12" t="str">
        <f>IF(Raw_Data!AH631&lt;&gt;"",Raw_Data!AH631,IF(Raw_Data!K631&lt;&gt;"",Raw_Data!K631,""))</f>
        <v/>
      </c>
      <c r="H628" s="12" t="str">
        <f>IF(Raw_Data!AI631&lt;&gt;"",Raw_Data!AI631,IF(Raw_Data!L631&lt;&gt;"",Raw_Data!L631,""))</f>
        <v/>
      </c>
      <c r="I628" s="12" t="str">
        <f t="shared" si="81"/>
        <v/>
      </c>
      <c r="J628" s="12" t="str">
        <f>IF(Raw_Data!M631="","",Raw_Data!M631)</f>
        <v/>
      </c>
      <c r="K628" s="12">
        <f>IF(Raw_Data!AJ631&lt;&gt;"",Raw_Data!AJ631,Raw_Data!N631)</f>
        <v>0</v>
      </c>
      <c r="L628" s="12">
        <f t="shared" si="82"/>
        <v>1</v>
      </c>
      <c r="M628" s="12" t="str">
        <f>IF(Raw_Data!AK631="","",Raw_Data!AK631)</f>
        <v/>
      </c>
      <c r="N628" s="12" t="str">
        <f>IF(Raw_Data!T631="","",Raw_Data!T631)</f>
        <v/>
      </c>
      <c r="O628" s="12" t="str">
        <f>IF(Raw_Data!AB631&lt;&gt;"",Raw_Data!AB631,IF(N628="tres_insatisfait",1,IF(N628="insatisfait",2,IF(N628="neutre",3,IF(N628="satisfait",4,IF(N628="tres_satisfait",5,""))))))</f>
        <v/>
      </c>
      <c r="P628" s="12">
        <f>IF(Raw_Data!AL631&lt;&gt;"",Raw_Data!AL631,Raw_Data!R631)</f>
        <v>0</v>
      </c>
      <c r="Q628" s="12">
        <f t="shared" si="83"/>
        <v>0</v>
      </c>
      <c r="R628" s="12" t="str">
        <f>IF(Raw_Data!AM631="","",Raw_Data!AM631)</f>
        <v/>
      </c>
      <c r="S628" s="12" t="str">
        <f t="shared" si="84"/>
        <v/>
      </c>
      <c r="T628" s="12" t="str">
        <f>IF(Raw_Data!AN631="","",Raw_Data!AN631)</f>
        <v/>
      </c>
      <c r="U628" s="12" t="str">
        <f t="shared" si="85"/>
        <v/>
      </c>
      <c r="V628" s="12" t="str">
        <f>IF(Raw_Data!AP631="","",IF(Raw_Data!AP631="oui",1,0))</f>
        <v/>
      </c>
      <c r="W628" s="12" t="str">
        <f>IF(Raw_Data!AQ631="","",IF(Raw_Data!AQ631="oui",1,0))</f>
        <v/>
      </c>
      <c r="X628" s="12" t="str">
        <f>IF(Raw_Data!AR631="","",IF(Raw_Data!AR631="oui",1,0))</f>
        <v/>
      </c>
      <c r="Y628" s="12" t="str">
        <f>IF(Raw_Data!AS631="","",IF(Raw_Data!AS631="oui",1,0))</f>
        <v/>
      </c>
      <c r="Z628" s="12" t="str">
        <f>IF(Raw_Data!V631="","",IF(Raw_Data!V631="oui",1,0))</f>
        <v/>
      </c>
      <c r="AA628" s="12" t="str">
        <f>IF(Raw_Data!W631="","",IF(Raw_Data!W631="oui",1,0))</f>
        <v/>
      </c>
      <c r="AB628" s="12" t="str">
        <f>IF(Raw_Data!Q631="","",IF(Raw_Data!Q631="oui",1,0))</f>
        <v/>
      </c>
      <c r="AC628" s="12">
        <f>Raw_Data!AF631</f>
        <v>0</v>
      </c>
      <c r="AD628" s="12" t="str">
        <f t="shared" si="86"/>
        <v/>
      </c>
      <c r="AE628" s="12" t="str">
        <f t="shared" si="87"/>
        <v/>
      </c>
      <c r="AF628" s="12" t="str">
        <f t="shared" si="88"/>
        <v/>
      </c>
      <c r="AG628" s="12">
        <f t="shared" si="89"/>
        <v>0</v>
      </c>
    </row>
    <row r="629" spans="1:33" ht="15" customHeight="1" x14ac:dyDescent="0.25">
      <c r="A629" s="12" t="str">
        <f>IF(Raw_Data!B632="","",Raw_Data!B632)</f>
        <v/>
      </c>
      <c r="B629" s="12">
        <f>IF(Raw_Data!X632&lt;&gt;"",Raw_Data!X632,Raw_Data!C632)</f>
        <v>0</v>
      </c>
      <c r="C629" s="12" t="str">
        <f>IF(Raw_Data!G632="","",Raw_Data!G632)</f>
        <v/>
      </c>
      <c r="D629" s="12" t="str">
        <f>IF(Raw_Data!H632="","",Raw_Data!H632)</f>
        <v/>
      </c>
      <c r="E629" s="12" t="str">
        <f>IF(Raw_Data!I632="","",Raw_Data!I632)</f>
        <v/>
      </c>
      <c r="F629" s="12" t="str">
        <f>IF(Raw_Data!J632="","",Raw_Data!J632)</f>
        <v/>
      </c>
      <c r="G629" s="12" t="str">
        <f>IF(Raw_Data!AH632&lt;&gt;"",Raw_Data!AH632,IF(Raw_Data!K632&lt;&gt;"",Raw_Data!K632,""))</f>
        <v/>
      </c>
      <c r="H629" s="12" t="str">
        <f>IF(Raw_Data!AI632&lt;&gt;"",Raw_Data!AI632,IF(Raw_Data!L632&lt;&gt;"",Raw_Data!L632,""))</f>
        <v/>
      </c>
      <c r="I629" s="12" t="str">
        <f t="shared" si="81"/>
        <v/>
      </c>
      <c r="J629" s="12" t="str">
        <f>IF(Raw_Data!M632="","",Raw_Data!M632)</f>
        <v/>
      </c>
      <c r="K629" s="12">
        <f>IF(Raw_Data!AJ632&lt;&gt;"",Raw_Data!AJ632,Raw_Data!N632)</f>
        <v>0</v>
      </c>
      <c r="L629" s="12">
        <f t="shared" si="82"/>
        <v>1</v>
      </c>
      <c r="M629" s="12" t="str">
        <f>IF(Raw_Data!AK632="","",Raw_Data!AK632)</f>
        <v/>
      </c>
      <c r="N629" s="12" t="str">
        <f>IF(Raw_Data!T632="","",Raw_Data!T632)</f>
        <v/>
      </c>
      <c r="O629" s="12" t="str">
        <f>IF(Raw_Data!AB632&lt;&gt;"",Raw_Data!AB632,IF(N629="tres_insatisfait",1,IF(N629="insatisfait",2,IF(N629="neutre",3,IF(N629="satisfait",4,IF(N629="tres_satisfait",5,""))))))</f>
        <v/>
      </c>
      <c r="P629" s="12">
        <f>IF(Raw_Data!AL632&lt;&gt;"",Raw_Data!AL632,Raw_Data!R632)</f>
        <v>0</v>
      </c>
      <c r="Q629" s="12">
        <f t="shared" si="83"/>
        <v>0</v>
      </c>
      <c r="R629" s="12" t="str">
        <f>IF(Raw_Data!AM632="","",Raw_Data!AM632)</f>
        <v/>
      </c>
      <c r="S629" s="12" t="str">
        <f t="shared" si="84"/>
        <v/>
      </c>
      <c r="T629" s="12" t="str">
        <f>IF(Raw_Data!AN632="","",Raw_Data!AN632)</f>
        <v/>
      </c>
      <c r="U629" s="12" t="str">
        <f t="shared" si="85"/>
        <v/>
      </c>
      <c r="V629" s="12" t="str">
        <f>IF(Raw_Data!AP632="","",IF(Raw_Data!AP632="oui",1,0))</f>
        <v/>
      </c>
      <c r="W629" s="12" t="str">
        <f>IF(Raw_Data!AQ632="","",IF(Raw_Data!AQ632="oui",1,0))</f>
        <v/>
      </c>
      <c r="X629" s="12" t="str">
        <f>IF(Raw_Data!AR632="","",IF(Raw_Data!AR632="oui",1,0))</f>
        <v/>
      </c>
      <c r="Y629" s="12" t="str">
        <f>IF(Raw_Data!AS632="","",IF(Raw_Data!AS632="oui",1,0))</f>
        <v/>
      </c>
      <c r="Z629" s="12" t="str">
        <f>IF(Raw_Data!V632="","",IF(Raw_Data!V632="oui",1,0))</f>
        <v/>
      </c>
      <c r="AA629" s="12" t="str">
        <f>IF(Raw_Data!W632="","",IF(Raw_Data!W632="oui",1,0))</f>
        <v/>
      </c>
      <c r="AB629" s="12" t="str">
        <f>IF(Raw_Data!Q632="","",IF(Raw_Data!Q632="oui",1,0))</f>
        <v/>
      </c>
      <c r="AC629" s="12">
        <f>Raw_Data!AF632</f>
        <v>0</v>
      </c>
      <c r="AD629" s="12" t="str">
        <f t="shared" si="86"/>
        <v/>
      </c>
      <c r="AE629" s="12" t="str">
        <f t="shared" si="87"/>
        <v/>
      </c>
      <c r="AF629" s="12" t="str">
        <f t="shared" si="88"/>
        <v/>
      </c>
      <c r="AG629" s="12">
        <f t="shared" si="89"/>
        <v>0</v>
      </c>
    </row>
    <row r="630" spans="1:33" ht="15" customHeight="1" x14ac:dyDescent="0.25">
      <c r="A630" s="12" t="str">
        <f>IF(Raw_Data!B633="","",Raw_Data!B633)</f>
        <v/>
      </c>
      <c r="B630" s="12">
        <f>IF(Raw_Data!X633&lt;&gt;"",Raw_Data!X633,Raw_Data!C633)</f>
        <v>0</v>
      </c>
      <c r="C630" s="12" t="str">
        <f>IF(Raw_Data!G633="","",Raw_Data!G633)</f>
        <v/>
      </c>
      <c r="D630" s="12" t="str">
        <f>IF(Raw_Data!H633="","",Raw_Data!H633)</f>
        <v/>
      </c>
      <c r="E630" s="12" t="str">
        <f>IF(Raw_Data!I633="","",Raw_Data!I633)</f>
        <v/>
      </c>
      <c r="F630" s="12" t="str">
        <f>IF(Raw_Data!J633="","",Raw_Data!J633)</f>
        <v/>
      </c>
      <c r="G630" s="12" t="str">
        <f>IF(Raw_Data!AH633&lt;&gt;"",Raw_Data!AH633,IF(Raw_Data!K633&lt;&gt;"",Raw_Data!K633,""))</f>
        <v/>
      </c>
      <c r="H630" s="12" t="str">
        <f>IF(Raw_Data!AI633&lt;&gt;"",Raw_Data!AI633,IF(Raw_Data!L633&lt;&gt;"",Raw_Data!L633,""))</f>
        <v/>
      </c>
      <c r="I630" s="12" t="str">
        <f t="shared" si="81"/>
        <v/>
      </c>
      <c r="J630" s="12" t="str">
        <f>IF(Raw_Data!M633="","",Raw_Data!M633)</f>
        <v/>
      </c>
      <c r="K630" s="12">
        <f>IF(Raw_Data!AJ633&lt;&gt;"",Raw_Data!AJ633,Raw_Data!N633)</f>
        <v>0</v>
      </c>
      <c r="L630" s="12">
        <f t="shared" si="82"/>
        <v>1</v>
      </c>
      <c r="M630" s="12" t="str">
        <f>IF(Raw_Data!AK633="","",Raw_Data!AK633)</f>
        <v/>
      </c>
      <c r="N630" s="12" t="str">
        <f>IF(Raw_Data!T633="","",Raw_Data!T633)</f>
        <v/>
      </c>
      <c r="O630" s="12" t="str">
        <f>IF(Raw_Data!AB633&lt;&gt;"",Raw_Data!AB633,IF(N630="tres_insatisfait",1,IF(N630="insatisfait",2,IF(N630="neutre",3,IF(N630="satisfait",4,IF(N630="tres_satisfait",5,""))))))</f>
        <v/>
      </c>
      <c r="P630" s="12">
        <f>IF(Raw_Data!AL633&lt;&gt;"",Raw_Data!AL633,Raw_Data!R633)</f>
        <v>0</v>
      </c>
      <c r="Q630" s="12">
        <f t="shared" si="83"/>
        <v>0</v>
      </c>
      <c r="R630" s="12" t="str">
        <f>IF(Raw_Data!AM633="","",Raw_Data!AM633)</f>
        <v/>
      </c>
      <c r="S630" s="12" t="str">
        <f t="shared" si="84"/>
        <v/>
      </c>
      <c r="T630" s="12" t="str">
        <f>IF(Raw_Data!AN633="","",Raw_Data!AN633)</f>
        <v/>
      </c>
      <c r="U630" s="12" t="str">
        <f t="shared" si="85"/>
        <v/>
      </c>
      <c r="V630" s="12" t="str">
        <f>IF(Raw_Data!AP633="","",IF(Raw_Data!AP633="oui",1,0))</f>
        <v/>
      </c>
      <c r="W630" s="12" t="str">
        <f>IF(Raw_Data!AQ633="","",IF(Raw_Data!AQ633="oui",1,0))</f>
        <v/>
      </c>
      <c r="X630" s="12" t="str">
        <f>IF(Raw_Data!AR633="","",IF(Raw_Data!AR633="oui",1,0))</f>
        <v/>
      </c>
      <c r="Y630" s="12" t="str">
        <f>IF(Raw_Data!AS633="","",IF(Raw_Data!AS633="oui",1,0))</f>
        <v/>
      </c>
      <c r="Z630" s="12" t="str">
        <f>IF(Raw_Data!V633="","",IF(Raw_Data!V633="oui",1,0))</f>
        <v/>
      </c>
      <c r="AA630" s="12" t="str">
        <f>IF(Raw_Data!W633="","",IF(Raw_Data!W633="oui",1,0))</f>
        <v/>
      </c>
      <c r="AB630" s="12" t="str">
        <f>IF(Raw_Data!Q633="","",IF(Raw_Data!Q633="oui",1,0))</f>
        <v/>
      </c>
      <c r="AC630" s="12">
        <f>Raw_Data!AF633</f>
        <v>0</v>
      </c>
      <c r="AD630" s="12" t="str">
        <f t="shared" si="86"/>
        <v/>
      </c>
      <c r="AE630" s="12" t="str">
        <f t="shared" si="87"/>
        <v/>
      </c>
      <c r="AF630" s="12" t="str">
        <f t="shared" si="88"/>
        <v/>
      </c>
      <c r="AG630" s="12">
        <f t="shared" si="89"/>
        <v>0</v>
      </c>
    </row>
    <row r="631" spans="1:33" ht="15" customHeight="1" x14ac:dyDescent="0.25">
      <c r="A631" s="12" t="str">
        <f>IF(Raw_Data!B634="","",Raw_Data!B634)</f>
        <v/>
      </c>
      <c r="B631" s="12">
        <f>IF(Raw_Data!X634&lt;&gt;"",Raw_Data!X634,Raw_Data!C634)</f>
        <v>0</v>
      </c>
      <c r="C631" s="12" t="str">
        <f>IF(Raw_Data!G634="","",Raw_Data!G634)</f>
        <v/>
      </c>
      <c r="D631" s="12" t="str">
        <f>IF(Raw_Data!H634="","",Raw_Data!H634)</f>
        <v/>
      </c>
      <c r="E631" s="12" t="str">
        <f>IF(Raw_Data!I634="","",Raw_Data!I634)</f>
        <v/>
      </c>
      <c r="F631" s="12" t="str">
        <f>IF(Raw_Data!J634="","",Raw_Data!J634)</f>
        <v/>
      </c>
      <c r="G631" s="12" t="str">
        <f>IF(Raw_Data!AH634&lt;&gt;"",Raw_Data!AH634,IF(Raw_Data!K634&lt;&gt;"",Raw_Data!K634,""))</f>
        <v/>
      </c>
      <c r="H631" s="12" t="str">
        <f>IF(Raw_Data!AI634&lt;&gt;"",Raw_Data!AI634,IF(Raw_Data!L634&lt;&gt;"",Raw_Data!L634,""))</f>
        <v/>
      </c>
      <c r="I631" s="12" t="str">
        <f t="shared" si="81"/>
        <v/>
      </c>
      <c r="J631" s="12" t="str">
        <f>IF(Raw_Data!M634="","",Raw_Data!M634)</f>
        <v/>
      </c>
      <c r="K631" s="12">
        <f>IF(Raw_Data!AJ634&lt;&gt;"",Raw_Data!AJ634,Raw_Data!N634)</f>
        <v>0</v>
      </c>
      <c r="L631" s="12">
        <f t="shared" si="82"/>
        <v>1</v>
      </c>
      <c r="M631" s="12" t="str">
        <f>IF(Raw_Data!AK634="","",Raw_Data!AK634)</f>
        <v/>
      </c>
      <c r="N631" s="12" t="str">
        <f>IF(Raw_Data!T634="","",Raw_Data!T634)</f>
        <v/>
      </c>
      <c r="O631" s="12" t="str">
        <f>IF(Raw_Data!AB634&lt;&gt;"",Raw_Data!AB634,IF(N631="tres_insatisfait",1,IF(N631="insatisfait",2,IF(N631="neutre",3,IF(N631="satisfait",4,IF(N631="tres_satisfait",5,""))))))</f>
        <v/>
      </c>
      <c r="P631" s="12">
        <f>IF(Raw_Data!AL634&lt;&gt;"",Raw_Data!AL634,Raw_Data!R634)</f>
        <v>0</v>
      </c>
      <c r="Q631" s="12">
        <f t="shared" si="83"/>
        <v>0</v>
      </c>
      <c r="R631" s="12" t="str">
        <f>IF(Raw_Data!AM634="","",Raw_Data!AM634)</f>
        <v/>
      </c>
      <c r="S631" s="12" t="str">
        <f t="shared" si="84"/>
        <v/>
      </c>
      <c r="T631" s="12" t="str">
        <f>IF(Raw_Data!AN634="","",Raw_Data!AN634)</f>
        <v/>
      </c>
      <c r="U631" s="12" t="str">
        <f t="shared" si="85"/>
        <v/>
      </c>
      <c r="V631" s="12" t="str">
        <f>IF(Raw_Data!AP634="","",IF(Raw_Data!AP634="oui",1,0))</f>
        <v/>
      </c>
      <c r="W631" s="12" t="str">
        <f>IF(Raw_Data!AQ634="","",IF(Raw_Data!AQ634="oui",1,0))</f>
        <v/>
      </c>
      <c r="X631" s="12" t="str">
        <f>IF(Raw_Data!AR634="","",IF(Raw_Data!AR634="oui",1,0))</f>
        <v/>
      </c>
      <c r="Y631" s="12" t="str">
        <f>IF(Raw_Data!AS634="","",IF(Raw_Data!AS634="oui",1,0))</f>
        <v/>
      </c>
      <c r="Z631" s="12" t="str">
        <f>IF(Raw_Data!V634="","",IF(Raw_Data!V634="oui",1,0))</f>
        <v/>
      </c>
      <c r="AA631" s="12" t="str">
        <f>IF(Raw_Data!W634="","",IF(Raw_Data!W634="oui",1,0))</f>
        <v/>
      </c>
      <c r="AB631" s="12" t="str">
        <f>IF(Raw_Data!Q634="","",IF(Raw_Data!Q634="oui",1,0))</f>
        <v/>
      </c>
      <c r="AC631" s="12">
        <f>Raw_Data!AF634</f>
        <v>0</v>
      </c>
      <c r="AD631" s="12" t="str">
        <f t="shared" si="86"/>
        <v/>
      </c>
      <c r="AE631" s="12" t="str">
        <f t="shared" si="87"/>
        <v/>
      </c>
      <c r="AF631" s="12" t="str">
        <f t="shared" si="88"/>
        <v/>
      </c>
      <c r="AG631" s="12">
        <f t="shared" si="89"/>
        <v>0</v>
      </c>
    </row>
    <row r="632" spans="1:33" ht="15" customHeight="1" x14ac:dyDescent="0.25">
      <c r="A632" s="12" t="str">
        <f>IF(Raw_Data!B635="","",Raw_Data!B635)</f>
        <v/>
      </c>
      <c r="B632" s="12">
        <f>IF(Raw_Data!X635&lt;&gt;"",Raw_Data!X635,Raw_Data!C635)</f>
        <v>0</v>
      </c>
      <c r="C632" s="12" t="str">
        <f>IF(Raw_Data!G635="","",Raw_Data!G635)</f>
        <v/>
      </c>
      <c r="D632" s="12" t="str">
        <f>IF(Raw_Data!H635="","",Raw_Data!H635)</f>
        <v/>
      </c>
      <c r="E632" s="12" t="str">
        <f>IF(Raw_Data!I635="","",Raw_Data!I635)</f>
        <v/>
      </c>
      <c r="F632" s="12" t="str">
        <f>IF(Raw_Data!J635="","",Raw_Data!J635)</f>
        <v/>
      </c>
      <c r="G632" s="12" t="str">
        <f>IF(Raw_Data!AH635&lt;&gt;"",Raw_Data!AH635,IF(Raw_Data!K635&lt;&gt;"",Raw_Data!K635,""))</f>
        <v/>
      </c>
      <c r="H632" s="12" t="str">
        <f>IF(Raw_Data!AI635&lt;&gt;"",Raw_Data!AI635,IF(Raw_Data!L635&lt;&gt;"",Raw_Data!L635,""))</f>
        <v/>
      </c>
      <c r="I632" s="12" t="str">
        <f t="shared" si="81"/>
        <v/>
      </c>
      <c r="J632" s="12" t="str">
        <f>IF(Raw_Data!M635="","",Raw_Data!M635)</f>
        <v/>
      </c>
      <c r="K632" s="12">
        <f>IF(Raw_Data!AJ635&lt;&gt;"",Raw_Data!AJ635,Raw_Data!N635)</f>
        <v>0</v>
      </c>
      <c r="L632" s="12">
        <f t="shared" si="82"/>
        <v>1</v>
      </c>
      <c r="M632" s="12" t="str">
        <f>IF(Raw_Data!AK635="","",Raw_Data!AK635)</f>
        <v/>
      </c>
      <c r="N632" s="12" t="str">
        <f>IF(Raw_Data!T635="","",Raw_Data!T635)</f>
        <v/>
      </c>
      <c r="O632" s="12" t="str">
        <f>IF(Raw_Data!AB635&lt;&gt;"",Raw_Data!AB635,IF(N632="tres_insatisfait",1,IF(N632="insatisfait",2,IF(N632="neutre",3,IF(N632="satisfait",4,IF(N632="tres_satisfait",5,""))))))</f>
        <v/>
      </c>
      <c r="P632" s="12">
        <f>IF(Raw_Data!AL635&lt;&gt;"",Raw_Data!AL635,Raw_Data!R635)</f>
        <v>0</v>
      </c>
      <c r="Q632" s="12">
        <f t="shared" si="83"/>
        <v>0</v>
      </c>
      <c r="R632" s="12" t="str">
        <f>IF(Raw_Data!AM635="","",Raw_Data!AM635)</f>
        <v/>
      </c>
      <c r="S632" s="12" t="str">
        <f t="shared" si="84"/>
        <v/>
      </c>
      <c r="T632" s="12" t="str">
        <f>IF(Raw_Data!AN635="","",Raw_Data!AN635)</f>
        <v/>
      </c>
      <c r="U632" s="12" t="str">
        <f t="shared" si="85"/>
        <v/>
      </c>
      <c r="V632" s="12" t="str">
        <f>IF(Raw_Data!AP635="","",IF(Raw_Data!AP635="oui",1,0))</f>
        <v/>
      </c>
      <c r="W632" s="12" t="str">
        <f>IF(Raw_Data!AQ635="","",IF(Raw_Data!AQ635="oui",1,0))</f>
        <v/>
      </c>
      <c r="X632" s="12" t="str">
        <f>IF(Raw_Data!AR635="","",IF(Raw_Data!AR635="oui",1,0))</f>
        <v/>
      </c>
      <c r="Y632" s="12" t="str">
        <f>IF(Raw_Data!AS635="","",IF(Raw_Data!AS635="oui",1,0))</f>
        <v/>
      </c>
      <c r="Z632" s="12" t="str">
        <f>IF(Raw_Data!V635="","",IF(Raw_Data!V635="oui",1,0))</f>
        <v/>
      </c>
      <c r="AA632" s="12" t="str">
        <f>IF(Raw_Data!W635="","",IF(Raw_Data!W635="oui",1,0))</f>
        <v/>
      </c>
      <c r="AB632" s="12" t="str">
        <f>IF(Raw_Data!Q635="","",IF(Raw_Data!Q635="oui",1,0))</f>
        <v/>
      </c>
      <c r="AC632" s="12">
        <f>Raw_Data!AF635</f>
        <v>0</v>
      </c>
      <c r="AD632" s="12" t="str">
        <f t="shared" si="86"/>
        <v/>
      </c>
      <c r="AE632" s="12" t="str">
        <f t="shared" si="87"/>
        <v/>
      </c>
      <c r="AF632" s="12" t="str">
        <f t="shared" si="88"/>
        <v/>
      </c>
      <c r="AG632" s="12">
        <f t="shared" si="89"/>
        <v>0</v>
      </c>
    </row>
    <row r="633" spans="1:33" ht="15" customHeight="1" x14ac:dyDescent="0.25">
      <c r="A633" s="12" t="str">
        <f>IF(Raw_Data!B636="","",Raw_Data!B636)</f>
        <v/>
      </c>
      <c r="B633" s="12">
        <f>IF(Raw_Data!X636&lt;&gt;"",Raw_Data!X636,Raw_Data!C636)</f>
        <v>0</v>
      </c>
      <c r="C633" s="12" t="str">
        <f>IF(Raw_Data!G636="","",Raw_Data!G636)</f>
        <v/>
      </c>
      <c r="D633" s="12" t="str">
        <f>IF(Raw_Data!H636="","",Raw_Data!H636)</f>
        <v/>
      </c>
      <c r="E633" s="12" t="str">
        <f>IF(Raw_Data!I636="","",Raw_Data!I636)</f>
        <v/>
      </c>
      <c r="F633" s="12" t="str">
        <f>IF(Raw_Data!J636="","",Raw_Data!J636)</f>
        <v/>
      </c>
      <c r="G633" s="12" t="str">
        <f>IF(Raw_Data!AH636&lt;&gt;"",Raw_Data!AH636,IF(Raw_Data!K636&lt;&gt;"",Raw_Data!K636,""))</f>
        <v/>
      </c>
      <c r="H633" s="12" t="str">
        <f>IF(Raw_Data!AI636&lt;&gt;"",Raw_Data!AI636,IF(Raw_Data!L636&lt;&gt;"",Raw_Data!L636,""))</f>
        <v/>
      </c>
      <c r="I633" s="12" t="str">
        <f t="shared" si="81"/>
        <v/>
      </c>
      <c r="J633" s="12" t="str">
        <f>IF(Raw_Data!M636="","",Raw_Data!M636)</f>
        <v/>
      </c>
      <c r="K633" s="12">
        <f>IF(Raw_Data!AJ636&lt;&gt;"",Raw_Data!AJ636,Raw_Data!N636)</f>
        <v>0</v>
      </c>
      <c r="L633" s="12">
        <f t="shared" si="82"/>
        <v>1</v>
      </c>
      <c r="M633" s="12" t="str">
        <f>IF(Raw_Data!AK636="","",Raw_Data!AK636)</f>
        <v/>
      </c>
      <c r="N633" s="12" t="str">
        <f>IF(Raw_Data!T636="","",Raw_Data!T636)</f>
        <v/>
      </c>
      <c r="O633" s="12" t="str">
        <f>IF(Raw_Data!AB636&lt;&gt;"",Raw_Data!AB636,IF(N633="tres_insatisfait",1,IF(N633="insatisfait",2,IF(N633="neutre",3,IF(N633="satisfait",4,IF(N633="tres_satisfait",5,""))))))</f>
        <v/>
      </c>
      <c r="P633" s="12">
        <f>IF(Raw_Data!AL636&lt;&gt;"",Raw_Data!AL636,Raw_Data!R636)</f>
        <v>0</v>
      </c>
      <c r="Q633" s="12">
        <f t="shared" si="83"/>
        <v>0</v>
      </c>
      <c r="R633" s="12" t="str">
        <f>IF(Raw_Data!AM636="","",Raw_Data!AM636)</f>
        <v/>
      </c>
      <c r="S633" s="12" t="str">
        <f t="shared" si="84"/>
        <v/>
      </c>
      <c r="T633" s="12" t="str">
        <f>IF(Raw_Data!AN636="","",Raw_Data!AN636)</f>
        <v/>
      </c>
      <c r="U633" s="12" t="str">
        <f t="shared" si="85"/>
        <v/>
      </c>
      <c r="V633" s="12" t="str">
        <f>IF(Raw_Data!AP636="","",IF(Raw_Data!AP636="oui",1,0))</f>
        <v/>
      </c>
      <c r="W633" s="12" t="str">
        <f>IF(Raw_Data!AQ636="","",IF(Raw_Data!AQ636="oui",1,0))</f>
        <v/>
      </c>
      <c r="X633" s="12" t="str">
        <f>IF(Raw_Data!AR636="","",IF(Raw_Data!AR636="oui",1,0))</f>
        <v/>
      </c>
      <c r="Y633" s="12" t="str">
        <f>IF(Raw_Data!AS636="","",IF(Raw_Data!AS636="oui",1,0))</f>
        <v/>
      </c>
      <c r="Z633" s="12" t="str">
        <f>IF(Raw_Data!V636="","",IF(Raw_Data!V636="oui",1,0))</f>
        <v/>
      </c>
      <c r="AA633" s="12" t="str">
        <f>IF(Raw_Data!W636="","",IF(Raw_Data!W636="oui",1,0))</f>
        <v/>
      </c>
      <c r="AB633" s="12" t="str">
        <f>IF(Raw_Data!Q636="","",IF(Raw_Data!Q636="oui",1,0))</f>
        <v/>
      </c>
      <c r="AC633" s="12">
        <f>Raw_Data!AF636</f>
        <v>0</v>
      </c>
      <c r="AD633" s="12" t="str">
        <f t="shared" si="86"/>
        <v/>
      </c>
      <c r="AE633" s="12" t="str">
        <f t="shared" si="87"/>
        <v/>
      </c>
      <c r="AF633" s="12" t="str">
        <f t="shared" si="88"/>
        <v/>
      </c>
      <c r="AG633" s="12">
        <f t="shared" si="89"/>
        <v>0</v>
      </c>
    </row>
    <row r="634" spans="1:33" ht="15" customHeight="1" x14ac:dyDescent="0.25">
      <c r="A634" s="12" t="str">
        <f>IF(Raw_Data!B637="","",Raw_Data!B637)</f>
        <v/>
      </c>
      <c r="B634" s="12">
        <f>IF(Raw_Data!X637&lt;&gt;"",Raw_Data!X637,Raw_Data!C637)</f>
        <v>0</v>
      </c>
      <c r="C634" s="12" t="str">
        <f>IF(Raw_Data!G637="","",Raw_Data!G637)</f>
        <v/>
      </c>
      <c r="D634" s="12" t="str">
        <f>IF(Raw_Data!H637="","",Raw_Data!H637)</f>
        <v/>
      </c>
      <c r="E634" s="12" t="str">
        <f>IF(Raw_Data!I637="","",Raw_Data!I637)</f>
        <v/>
      </c>
      <c r="F634" s="12" t="str">
        <f>IF(Raw_Data!J637="","",Raw_Data!J637)</f>
        <v/>
      </c>
      <c r="G634" s="12" t="str">
        <f>IF(Raw_Data!AH637&lt;&gt;"",Raw_Data!AH637,IF(Raw_Data!K637&lt;&gt;"",Raw_Data!K637,""))</f>
        <v/>
      </c>
      <c r="H634" s="12" t="str">
        <f>IF(Raw_Data!AI637&lt;&gt;"",Raw_Data!AI637,IF(Raw_Data!L637&lt;&gt;"",Raw_Data!L637,""))</f>
        <v/>
      </c>
      <c r="I634" s="12" t="str">
        <f t="shared" si="81"/>
        <v/>
      </c>
      <c r="J634" s="12" t="str">
        <f>IF(Raw_Data!M637="","",Raw_Data!M637)</f>
        <v/>
      </c>
      <c r="K634" s="12">
        <f>IF(Raw_Data!AJ637&lt;&gt;"",Raw_Data!AJ637,Raw_Data!N637)</f>
        <v>0</v>
      </c>
      <c r="L634" s="12">
        <f t="shared" si="82"/>
        <v>1</v>
      </c>
      <c r="M634" s="12" t="str">
        <f>IF(Raw_Data!AK637="","",Raw_Data!AK637)</f>
        <v/>
      </c>
      <c r="N634" s="12" t="str">
        <f>IF(Raw_Data!T637="","",Raw_Data!T637)</f>
        <v/>
      </c>
      <c r="O634" s="12" t="str">
        <f>IF(Raw_Data!AB637&lt;&gt;"",Raw_Data!AB637,IF(N634="tres_insatisfait",1,IF(N634="insatisfait",2,IF(N634="neutre",3,IF(N634="satisfait",4,IF(N634="tres_satisfait",5,""))))))</f>
        <v/>
      </c>
      <c r="P634" s="12">
        <f>IF(Raw_Data!AL637&lt;&gt;"",Raw_Data!AL637,Raw_Data!R637)</f>
        <v>0</v>
      </c>
      <c r="Q634" s="12">
        <f t="shared" si="83"/>
        <v>0</v>
      </c>
      <c r="R634" s="12" t="str">
        <f>IF(Raw_Data!AM637="","",Raw_Data!AM637)</f>
        <v/>
      </c>
      <c r="S634" s="12" t="str">
        <f t="shared" si="84"/>
        <v/>
      </c>
      <c r="T634" s="12" t="str">
        <f>IF(Raw_Data!AN637="","",Raw_Data!AN637)</f>
        <v/>
      </c>
      <c r="U634" s="12" t="str">
        <f t="shared" si="85"/>
        <v/>
      </c>
      <c r="V634" s="12" t="str">
        <f>IF(Raw_Data!AP637="","",IF(Raw_Data!AP637="oui",1,0))</f>
        <v/>
      </c>
      <c r="W634" s="12" t="str">
        <f>IF(Raw_Data!AQ637="","",IF(Raw_Data!AQ637="oui",1,0))</f>
        <v/>
      </c>
      <c r="X634" s="12" t="str">
        <f>IF(Raw_Data!AR637="","",IF(Raw_Data!AR637="oui",1,0))</f>
        <v/>
      </c>
      <c r="Y634" s="12" t="str">
        <f>IF(Raw_Data!AS637="","",IF(Raw_Data!AS637="oui",1,0))</f>
        <v/>
      </c>
      <c r="Z634" s="12" t="str">
        <f>IF(Raw_Data!V637="","",IF(Raw_Data!V637="oui",1,0))</f>
        <v/>
      </c>
      <c r="AA634" s="12" t="str">
        <f>IF(Raw_Data!W637="","",IF(Raw_Data!W637="oui",1,0))</f>
        <v/>
      </c>
      <c r="AB634" s="12" t="str">
        <f>IF(Raw_Data!Q637="","",IF(Raw_Data!Q637="oui",1,0))</f>
        <v/>
      </c>
      <c r="AC634" s="12">
        <f>Raw_Data!AF637</f>
        <v>0</v>
      </c>
      <c r="AD634" s="12" t="str">
        <f t="shared" si="86"/>
        <v/>
      </c>
      <c r="AE634" s="12" t="str">
        <f t="shared" si="87"/>
        <v/>
      </c>
      <c r="AF634" s="12" t="str">
        <f t="shared" si="88"/>
        <v/>
      </c>
      <c r="AG634" s="12">
        <f t="shared" si="89"/>
        <v>0</v>
      </c>
    </row>
    <row r="635" spans="1:33" ht="15" customHeight="1" x14ac:dyDescent="0.25">
      <c r="A635" s="12" t="str">
        <f>IF(Raw_Data!B638="","",Raw_Data!B638)</f>
        <v/>
      </c>
      <c r="B635" s="12">
        <f>IF(Raw_Data!X638&lt;&gt;"",Raw_Data!X638,Raw_Data!C638)</f>
        <v>0</v>
      </c>
      <c r="C635" s="12" t="str">
        <f>IF(Raw_Data!G638="","",Raw_Data!G638)</f>
        <v/>
      </c>
      <c r="D635" s="12" t="str">
        <f>IF(Raw_Data!H638="","",Raw_Data!H638)</f>
        <v/>
      </c>
      <c r="E635" s="12" t="str">
        <f>IF(Raw_Data!I638="","",Raw_Data!I638)</f>
        <v/>
      </c>
      <c r="F635" s="12" t="str">
        <f>IF(Raw_Data!J638="","",Raw_Data!J638)</f>
        <v/>
      </c>
      <c r="G635" s="12" t="str">
        <f>IF(Raw_Data!AH638&lt;&gt;"",Raw_Data!AH638,IF(Raw_Data!K638&lt;&gt;"",Raw_Data!K638,""))</f>
        <v/>
      </c>
      <c r="H635" s="12" t="str">
        <f>IF(Raw_Data!AI638&lt;&gt;"",Raw_Data!AI638,IF(Raw_Data!L638&lt;&gt;"",Raw_Data!L638,""))</f>
        <v/>
      </c>
      <c r="I635" s="12" t="str">
        <f t="shared" si="81"/>
        <v/>
      </c>
      <c r="J635" s="12" t="str">
        <f>IF(Raw_Data!M638="","",Raw_Data!M638)</f>
        <v/>
      </c>
      <c r="K635" s="12">
        <f>IF(Raw_Data!AJ638&lt;&gt;"",Raw_Data!AJ638,Raw_Data!N638)</f>
        <v>0</v>
      </c>
      <c r="L635" s="12">
        <f t="shared" si="82"/>
        <v>1</v>
      </c>
      <c r="M635" s="12" t="str">
        <f>IF(Raw_Data!AK638="","",Raw_Data!AK638)</f>
        <v/>
      </c>
      <c r="N635" s="12" t="str">
        <f>IF(Raw_Data!T638="","",Raw_Data!T638)</f>
        <v/>
      </c>
      <c r="O635" s="12" t="str">
        <f>IF(Raw_Data!AB638&lt;&gt;"",Raw_Data!AB638,IF(N635="tres_insatisfait",1,IF(N635="insatisfait",2,IF(N635="neutre",3,IF(N635="satisfait",4,IF(N635="tres_satisfait",5,""))))))</f>
        <v/>
      </c>
      <c r="P635" s="12">
        <f>IF(Raw_Data!AL638&lt;&gt;"",Raw_Data!AL638,Raw_Data!R638)</f>
        <v>0</v>
      </c>
      <c r="Q635" s="12">
        <f t="shared" si="83"/>
        <v>0</v>
      </c>
      <c r="R635" s="12" t="str">
        <f>IF(Raw_Data!AM638="","",Raw_Data!AM638)</f>
        <v/>
      </c>
      <c r="S635" s="12" t="str">
        <f t="shared" si="84"/>
        <v/>
      </c>
      <c r="T635" s="12" t="str">
        <f>IF(Raw_Data!AN638="","",Raw_Data!AN638)</f>
        <v/>
      </c>
      <c r="U635" s="12" t="str">
        <f t="shared" si="85"/>
        <v/>
      </c>
      <c r="V635" s="12" t="str">
        <f>IF(Raw_Data!AP638="","",IF(Raw_Data!AP638="oui",1,0))</f>
        <v/>
      </c>
      <c r="W635" s="12" t="str">
        <f>IF(Raw_Data!AQ638="","",IF(Raw_Data!AQ638="oui",1,0))</f>
        <v/>
      </c>
      <c r="X635" s="12" t="str">
        <f>IF(Raw_Data!AR638="","",IF(Raw_Data!AR638="oui",1,0))</f>
        <v/>
      </c>
      <c r="Y635" s="12" t="str">
        <f>IF(Raw_Data!AS638="","",IF(Raw_Data!AS638="oui",1,0))</f>
        <v/>
      </c>
      <c r="Z635" s="12" t="str">
        <f>IF(Raw_Data!V638="","",IF(Raw_Data!V638="oui",1,0))</f>
        <v/>
      </c>
      <c r="AA635" s="12" t="str">
        <f>IF(Raw_Data!W638="","",IF(Raw_Data!W638="oui",1,0))</f>
        <v/>
      </c>
      <c r="AB635" s="12" t="str">
        <f>IF(Raw_Data!Q638="","",IF(Raw_Data!Q638="oui",1,0))</f>
        <v/>
      </c>
      <c r="AC635" s="12">
        <f>Raw_Data!AF638</f>
        <v>0</v>
      </c>
      <c r="AD635" s="12" t="str">
        <f t="shared" si="86"/>
        <v/>
      </c>
      <c r="AE635" s="12" t="str">
        <f t="shared" si="87"/>
        <v/>
      </c>
      <c r="AF635" s="12" t="str">
        <f t="shared" si="88"/>
        <v/>
      </c>
      <c r="AG635" s="12">
        <f t="shared" si="89"/>
        <v>0</v>
      </c>
    </row>
    <row r="636" spans="1:33" ht="15" customHeight="1" x14ac:dyDescent="0.25">
      <c r="A636" s="12" t="str">
        <f>IF(Raw_Data!B639="","",Raw_Data!B639)</f>
        <v/>
      </c>
      <c r="B636" s="12">
        <f>IF(Raw_Data!X639&lt;&gt;"",Raw_Data!X639,Raw_Data!C639)</f>
        <v>0</v>
      </c>
      <c r="C636" s="12" t="str">
        <f>IF(Raw_Data!G639="","",Raw_Data!G639)</f>
        <v/>
      </c>
      <c r="D636" s="12" t="str">
        <f>IF(Raw_Data!H639="","",Raw_Data!H639)</f>
        <v/>
      </c>
      <c r="E636" s="12" t="str">
        <f>IF(Raw_Data!I639="","",Raw_Data!I639)</f>
        <v/>
      </c>
      <c r="F636" s="12" t="str">
        <f>IF(Raw_Data!J639="","",Raw_Data!J639)</f>
        <v/>
      </c>
      <c r="G636" s="12" t="str">
        <f>IF(Raw_Data!AH639&lt;&gt;"",Raw_Data!AH639,IF(Raw_Data!K639&lt;&gt;"",Raw_Data!K639,""))</f>
        <v/>
      </c>
      <c r="H636" s="12" t="str">
        <f>IF(Raw_Data!AI639&lt;&gt;"",Raw_Data!AI639,IF(Raw_Data!L639&lt;&gt;"",Raw_Data!L639,""))</f>
        <v/>
      </c>
      <c r="I636" s="12" t="str">
        <f t="shared" si="81"/>
        <v/>
      </c>
      <c r="J636" s="12" t="str">
        <f>IF(Raw_Data!M639="","",Raw_Data!M639)</f>
        <v/>
      </c>
      <c r="K636" s="12">
        <f>IF(Raw_Data!AJ639&lt;&gt;"",Raw_Data!AJ639,Raw_Data!N639)</f>
        <v>0</v>
      </c>
      <c r="L636" s="12">
        <f t="shared" si="82"/>
        <v>1</v>
      </c>
      <c r="M636" s="12" t="str">
        <f>IF(Raw_Data!AK639="","",Raw_Data!AK639)</f>
        <v/>
      </c>
      <c r="N636" s="12" t="str">
        <f>IF(Raw_Data!T639="","",Raw_Data!T639)</f>
        <v/>
      </c>
      <c r="O636" s="12" t="str">
        <f>IF(Raw_Data!AB639&lt;&gt;"",Raw_Data!AB639,IF(N636="tres_insatisfait",1,IF(N636="insatisfait",2,IF(N636="neutre",3,IF(N636="satisfait",4,IF(N636="tres_satisfait",5,""))))))</f>
        <v/>
      </c>
      <c r="P636" s="12">
        <f>IF(Raw_Data!AL639&lt;&gt;"",Raw_Data!AL639,Raw_Data!R639)</f>
        <v>0</v>
      </c>
      <c r="Q636" s="12">
        <f t="shared" si="83"/>
        <v>0</v>
      </c>
      <c r="R636" s="12" t="str">
        <f>IF(Raw_Data!AM639="","",Raw_Data!AM639)</f>
        <v/>
      </c>
      <c r="S636" s="12" t="str">
        <f t="shared" si="84"/>
        <v/>
      </c>
      <c r="T636" s="12" t="str">
        <f>IF(Raw_Data!AN639="","",Raw_Data!AN639)</f>
        <v/>
      </c>
      <c r="U636" s="12" t="str">
        <f t="shared" si="85"/>
        <v/>
      </c>
      <c r="V636" s="12" t="str">
        <f>IF(Raw_Data!AP639="","",IF(Raw_Data!AP639="oui",1,0))</f>
        <v/>
      </c>
      <c r="W636" s="12" t="str">
        <f>IF(Raw_Data!AQ639="","",IF(Raw_Data!AQ639="oui",1,0))</f>
        <v/>
      </c>
      <c r="X636" s="12" t="str">
        <f>IF(Raw_Data!AR639="","",IF(Raw_Data!AR639="oui",1,0))</f>
        <v/>
      </c>
      <c r="Y636" s="12" t="str">
        <f>IF(Raw_Data!AS639="","",IF(Raw_Data!AS639="oui",1,0))</f>
        <v/>
      </c>
      <c r="Z636" s="12" t="str">
        <f>IF(Raw_Data!V639="","",IF(Raw_Data!V639="oui",1,0))</f>
        <v/>
      </c>
      <c r="AA636" s="12" t="str">
        <f>IF(Raw_Data!W639="","",IF(Raw_Data!W639="oui",1,0))</f>
        <v/>
      </c>
      <c r="AB636" s="12" t="str">
        <f>IF(Raw_Data!Q639="","",IF(Raw_Data!Q639="oui",1,0))</f>
        <v/>
      </c>
      <c r="AC636" s="12">
        <f>Raw_Data!AF639</f>
        <v>0</v>
      </c>
      <c r="AD636" s="12" t="str">
        <f t="shared" si="86"/>
        <v/>
      </c>
      <c r="AE636" s="12" t="str">
        <f t="shared" si="87"/>
        <v/>
      </c>
      <c r="AF636" s="12" t="str">
        <f t="shared" si="88"/>
        <v/>
      </c>
      <c r="AG636" s="12">
        <f t="shared" si="89"/>
        <v>0</v>
      </c>
    </row>
    <row r="637" spans="1:33" ht="15" customHeight="1" x14ac:dyDescent="0.25">
      <c r="A637" s="12" t="str">
        <f>IF(Raw_Data!B640="","",Raw_Data!B640)</f>
        <v/>
      </c>
      <c r="B637" s="12">
        <f>IF(Raw_Data!X640&lt;&gt;"",Raw_Data!X640,Raw_Data!C640)</f>
        <v>0</v>
      </c>
      <c r="C637" s="12" t="str">
        <f>IF(Raw_Data!G640="","",Raw_Data!G640)</f>
        <v/>
      </c>
      <c r="D637" s="12" t="str">
        <f>IF(Raw_Data!H640="","",Raw_Data!H640)</f>
        <v/>
      </c>
      <c r="E637" s="12" t="str">
        <f>IF(Raw_Data!I640="","",Raw_Data!I640)</f>
        <v/>
      </c>
      <c r="F637" s="12" t="str">
        <f>IF(Raw_Data!J640="","",Raw_Data!J640)</f>
        <v/>
      </c>
      <c r="G637" s="12" t="str">
        <f>IF(Raw_Data!AH640&lt;&gt;"",Raw_Data!AH640,IF(Raw_Data!K640&lt;&gt;"",Raw_Data!K640,""))</f>
        <v/>
      </c>
      <c r="H637" s="12" t="str">
        <f>IF(Raw_Data!AI640&lt;&gt;"",Raw_Data!AI640,IF(Raw_Data!L640&lt;&gt;"",Raw_Data!L640,""))</f>
        <v/>
      </c>
      <c r="I637" s="12" t="str">
        <f t="shared" si="81"/>
        <v/>
      </c>
      <c r="J637" s="12" t="str">
        <f>IF(Raw_Data!M640="","",Raw_Data!M640)</f>
        <v/>
      </c>
      <c r="K637" s="12">
        <f>IF(Raw_Data!AJ640&lt;&gt;"",Raw_Data!AJ640,Raw_Data!N640)</f>
        <v>0</v>
      </c>
      <c r="L637" s="12">
        <f t="shared" si="82"/>
        <v>1</v>
      </c>
      <c r="M637" s="12" t="str">
        <f>IF(Raw_Data!AK640="","",Raw_Data!AK640)</f>
        <v/>
      </c>
      <c r="N637" s="12" t="str">
        <f>IF(Raw_Data!T640="","",Raw_Data!T640)</f>
        <v/>
      </c>
      <c r="O637" s="12" t="str">
        <f>IF(Raw_Data!AB640&lt;&gt;"",Raw_Data!AB640,IF(N637="tres_insatisfait",1,IF(N637="insatisfait",2,IF(N637="neutre",3,IF(N637="satisfait",4,IF(N637="tres_satisfait",5,""))))))</f>
        <v/>
      </c>
      <c r="P637" s="12">
        <f>IF(Raw_Data!AL640&lt;&gt;"",Raw_Data!AL640,Raw_Data!R640)</f>
        <v>0</v>
      </c>
      <c r="Q637" s="12">
        <f t="shared" si="83"/>
        <v>0</v>
      </c>
      <c r="R637" s="12" t="str">
        <f>IF(Raw_Data!AM640="","",Raw_Data!AM640)</f>
        <v/>
      </c>
      <c r="S637" s="12" t="str">
        <f t="shared" si="84"/>
        <v/>
      </c>
      <c r="T637" s="12" t="str">
        <f>IF(Raw_Data!AN640="","",Raw_Data!AN640)</f>
        <v/>
      </c>
      <c r="U637" s="12" t="str">
        <f t="shared" si="85"/>
        <v/>
      </c>
      <c r="V637" s="12" t="str">
        <f>IF(Raw_Data!AP640="","",IF(Raw_Data!AP640="oui",1,0))</f>
        <v/>
      </c>
      <c r="W637" s="12" t="str">
        <f>IF(Raw_Data!AQ640="","",IF(Raw_Data!AQ640="oui",1,0))</f>
        <v/>
      </c>
      <c r="X637" s="12" t="str">
        <f>IF(Raw_Data!AR640="","",IF(Raw_Data!AR640="oui",1,0))</f>
        <v/>
      </c>
      <c r="Y637" s="12" t="str">
        <f>IF(Raw_Data!AS640="","",IF(Raw_Data!AS640="oui",1,0))</f>
        <v/>
      </c>
      <c r="Z637" s="12" t="str">
        <f>IF(Raw_Data!V640="","",IF(Raw_Data!V640="oui",1,0))</f>
        <v/>
      </c>
      <c r="AA637" s="12" t="str">
        <f>IF(Raw_Data!W640="","",IF(Raw_Data!W640="oui",1,0))</f>
        <v/>
      </c>
      <c r="AB637" s="12" t="str">
        <f>IF(Raw_Data!Q640="","",IF(Raw_Data!Q640="oui",1,0))</f>
        <v/>
      </c>
      <c r="AC637" s="12">
        <f>Raw_Data!AF640</f>
        <v>0</v>
      </c>
      <c r="AD637" s="12" t="str">
        <f t="shared" si="86"/>
        <v/>
      </c>
      <c r="AE637" s="12" t="str">
        <f t="shared" si="87"/>
        <v/>
      </c>
      <c r="AF637" s="12" t="str">
        <f t="shared" si="88"/>
        <v/>
      </c>
      <c r="AG637" s="12">
        <f t="shared" si="89"/>
        <v>0</v>
      </c>
    </row>
    <row r="638" spans="1:33" ht="15" customHeight="1" x14ac:dyDescent="0.25">
      <c r="A638" s="12" t="str">
        <f>IF(Raw_Data!B641="","",Raw_Data!B641)</f>
        <v/>
      </c>
      <c r="B638" s="12">
        <f>IF(Raw_Data!X641&lt;&gt;"",Raw_Data!X641,Raw_Data!C641)</f>
        <v>0</v>
      </c>
      <c r="C638" s="12" t="str">
        <f>IF(Raw_Data!G641="","",Raw_Data!G641)</f>
        <v/>
      </c>
      <c r="D638" s="12" t="str">
        <f>IF(Raw_Data!H641="","",Raw_Data!H641)</f>
        <v/>
      </c>
      <c r="E638" s="12" t="str">
        <f>IF(Raw_Data!I641="","",Raw_Data!I641)</f>
        <v/>
      </c>
      <c r="F638" s="12" t="str">
        <f>IF(Raw_Data!J641="","",Raw_Data!J641)</f>
        <v/>
      </c>
      <c r="G638" s="12" t="str">
        <f>IF(Raw_Data!AH641&lt;&gt;"",Raw_Data!AH641,IF(Raw_Data!K641&lt;&gt;"",Raw_Data!K641,""))</f>
        <v/>
      </c>
      <c r="H638" s="12" t="str">
        <f>IF(Raw_Data!AI641&lt;&gt;"",Raw_Data!AI641,IF(Raw_Data!L641&lt;&gt;"",Raw_Data!L641,""))</f>
        <v/>
      </c>
      <c r="I638" s="12" t="str">
        <f t="shared" si="81"/>
        <v/>
      </c>
      <c r="J638" s="12" t="str">
        <f>IF(Raw_Data!M641="","",Raw_Data!M641)</f>
        <v/>
      </c>
      <c r="K638" s="12">
        <f>IF(Raw_Data!AJ641&lt;&gt;"",Raw_Data!AJ641,Raw_Data!N641)</f>
        <v>0</v>
      </c>
      <c r="L638" s="12">
        <f t="shared" si="82"/>
        <v>1</v>
      </c>
      <c r="M638" s="12" t="str">
        <f>IF(Raw_Data!AK641="","",Raw_Data!AK641)</f>
        <v/>
      </c>
      <c r="N638" s="12" t="str">
        <f>IF(Raw_Data!T641="","",Raw_Data!T641)</f>
        <v/>
      </c>
      <c r="O638" s="12" t="str">
        <f>IF(Raw_Data!AB641&lt;&gt;"",Raw_Data!AB641,IF(N638="tres_insatisfait",1,IF(N638="insatisfait",2,IF(N638="neutre",3,IF(N638="satisfait",4,IF(N638="tres_satisfait",5,""))))))</f>
        <v/>
      </c>
      <c r="P638" s="12">
        <f>IF(Raw_Data!AL641&lt;&gt;"",Raw_Data!AL641,Raw_Data!R641)</f>
        <v>0</v>
      </c>
      <c r="Q638" s="12">
        <f t="shared" si="83"/>
        <v>0</v>
      </c>
      <c r="R638" s="12" t="str">
        <f>IF(Raw_Data!AM641="","",Raw_Data!AM641)</f>
        <v/>
      </c>
      <c r="S638" s="12" t="str">
        <f t="shared" si="84"/>
        <v/>
      </c>
      <c r="T638" s="12" t="str">
        <f>IF(Raw_Data!AN641="","",Raw_Data!AN641)</f>
        <v/>
      </c>
      <c r="U638" s="12" t="str">
        <f t="shared" si="85"/>
        <v/>
      </c>
      <c r="V638" s="12" t="str">
        <f>IF(Raw_Data!AP641="","",IF(Raw_Data!AP641="oui",1,0))</f>
        <v/>
      </c>
      <c r="W638" s="12" t="str">
        <f>IF(Raw_Data!AQ641="","",IF(Raw_Data!AQ641="oui",1,0))</f>
        <v/>
      </c>
      <c r="X638" s="12" t="str">
        <f>IF(Raw_Data!AR641="","",IF(Raw_Data!AR641="oui",1,0))</f>
        <v/>
      </c>
      <c r="Y638" s="12" t="str">
        <f>IF(Raw_Data!AS641="","",IF(Raw_Data!AS641="oui",1,0))</f>
        <v/>
      </c>
      <c r="Z638" s="12" t="str">
        <f>IF(Raw_Data!V641="","",IF(Raw_Data!V641="oui",1,0))</f>
        <v/>
      </c>
      <c r="AA638" s="12" t="str">
        <f>IF(Raw_Data!W641="","",IF(Raw_Data!W641="oui",1,0))</f>
        <v/>
      </c>
      <c r="AB638" s="12" t="str">
        <f>IF(Raw_Data!Q641="","",IF(Raw_Data!Q641="oui",1,0))</f>
        <v/>
      </c>
      <c r="AC638" s="12">
        <f>Raw_Data!AF641</f>
        <v>0</v>
      </c>
      <c r="AD638" s="12" t="str">
        <f t="shared" si="86"/>
        <v/>
      </c>
      <c r="AE638" s="12" t="str">
        <f t="shared" si="87"/>
        <v/>
      </c>
      <c r="AF638" s="12" t="str">
        <f t="shared" si="88"/>
        <v/>
      </c>
      <c r="AG638" s="12">
        <f t="shared" si="89"/>
        <v>0</v>
      </c>
    </row>
    <row r="639" spans="1:33" ht="15" customHeight="1" x14ac:dyDescent="0.25">
      <c r="A639" s="12" t="str">
        <f>IF(Raw_Data!B642="","",Raw_Data!B642)</f>
        <v/>
      </c>
      <c r="B639" s="12">
        <f>IF(Raw_Data!X642&lt;&gt;"",Raw_Data!X642,Raw_Data!C642)</f>
        <v>0</v>
      </c>
      <c r="C639" s="12" t="str">
        <f>IF(Raw_Data!G642="","",Raw_Data!G642)</f>
        <v/>
      </c>
      <c r="D639" s="12" t="str">
        <f>IF(Raw_Data!H642="","",Raw_Data!H642)</f>
        <v/>
      </c>
      <c r="E639" s="12" t="str">
        <f>IF(Raw_Data!I642="","",Raw_Data!I642)</f>
        <v/>
      </c>
      <c r="F639" s="12" t="str">
        <f>IF(Raw_Data!J642="","",Raw_Data!J642)</f>
        <v/>
      </c>
      <c r="G639" s="12" t="str">
        <f>IF(Raw_Data!AH642&lt;&gt;"",Raw_Data!AH642,IF(Raw_Data!K642&lt;&gt;"",Raw_Data!K642,""))</f>
        <v/>
      </c>
      <c r="H639" s="12" t="str">
        <f>IF(Raw_Data!AI642&lt;&gt;"",Raw_Data!AI642,IF(Raw_Data!L642&lt;&gt;"",Raw_Data!L642,""))</f>
        <v/>
      </c>
      <c r="I639" s="12" t="str">
        <f t="shared" si="81"/>
        <v/>
      </c>
      <c r="J639" s="12" t="str">
        <f>IF(Raw_Data!M642="","",Raw_Data!M642)</f>
        <v/>
      </c>
      <c r="K639" s="12">
        <f>IF(Raw_Data!AJ642&lt;&gt;"",Raw_Data!AJ642,Raw_Data!N642)</f>
        <v>0</v>
      </c>
      <c r="L639" s="12">
        <f t="shared" si="82"/>
        <v>1</v>
      </c>
      <c r="M639" s="12" t="str">
        <f>IF(Raw_Data!AK642="","",Raw_Data!AK642)</f>
        <v/>
      </c>
      <c r="N639" s="12" t="str">
        <f>IF(Raw_Data!T642="","",Raw_Data!T642)</f>
        <v/>
      </c>
      <c r="O639" s="12" t="str">
        <f>IF(Raw_Data!AB642&lt;&gt;"",Raw_Data!AB642,IF(N639="tres_insatisfait",1,IF(N639="insatisfait",2,IF(N639="neutre",3,IF(N639="satisfait",4,IF(N639="tres_satisfait",5,""))))))</f>
        <v/>
      </c>
      <c r="P639" s="12">
        <f>IF(Raw_Data!AL642&lt;&gt;"",Raw_Data!AL642,Raw_Data!R642)</f>
        <v>0</v>
      </c>
      <c r="Q639" s="12">
        <f t="shared" si="83"/>
        <v>0</v>
      </c>
      <c r="R639" s="12" t="str">
        <f>IF(Raw_Data!AM642="","",Raw_Data!AM642)</f>
        <v/>
      </c>
      <c r="S639" s="12" t="str">
        <f t="shared" si="84"/>
        <v/>
      </c>
      <c r="T639" s="12" t="str">
        <f>IF(Raw_Data!AN642="","",Raw_Data!AN642)</f>
        <v/>
      </c>
      <c r="U639" s="12" t="str">
        <f t="shared" si="85"/>
        <v/>
      </c>
      <c r="V639" s="12" t="str">
        <f>IF(Raw_Data!AP642="","",IF(Raw_Data!AP642="oui",1,0))</f>
        <v/>
      </c>
      <c r="W639" s="12" t="str">
        <f>IF(Raw_Data!AQ642="","",IF(Raw_Data!AQ642="oui",1,0))</f>
        <v/>
      </c>
      <c r="X639" s="12" t="str">
        <f>IF(Raw_Data!AR642="","",IF(Raw_Data!AR642="oui",1,0))</f>
        <v/>
      </c>
      <c r="Y639" s="12" t="str">
        <f>IF(Raw_Data!AS642="","",IF(Raw_Data!AS642="oui",1,0))</f>
        <v/>
      </c>
      <c r="Z639" s="12" t="str">
        <f>IF(Raw_Data!V642="","",IF(Raw_Data!V642="oui",1,0))</f>
        <v/>
      </c>
      <c r="AA639" s="12" t="str">
        <f>IF(Raw_Data!W642="","",IF(Raw_Data!W642="oui",1,0))</f>
        <v/>
      </c>
      <c r="AB639" s="12" t="str">
        <f>IF(Raw_Data!Q642="","",IF(Raw_Data!Q642="oui",1,0))</f>
        <v/>
      </c>
      <c r="AC639" s="12">
        <f>Raw_Data!AF642</f>
        <v>0</v>
      </c>
      <c r="AD639" s="12" t="str">
        <f t="shared" si="86"/>
        <v/>
      </c>
      <c r="AE639" s="12" t="str">
        <f t="shared" si="87"/>
        <v/>
      </c>
      <c r="AF639" s="12" t="str">
        <f t="shared" si="88"/>
        <v/>
      </c>
      <c r="AG639" s="12">
        <f t="shared" si="89"/>
        <v>0</v>
      </c>
    </row>
    <row r="640" spans="1:33" ht="15" customHeight="1" x14ac:dyDescent="0.25">
      <c r="A640" s="12" t="str">
        <f>IF(Raw_Data!B643="","",Raw_Data!B643)</f>
        <v/>
      </c>
      <c r="B640" s="12">
        <f>IF(Raw_Data!X643&lt;&gt;"",Raw_Data!X643,Raw_Data!C643)</f>
        <v>0</v>
      </c>
      <c r="C640" s="12" t="str">
        <f>IF(Raw_Data!G643="","",Raw_Data!G643)</f>
        <v/>
      </c>
      <c r="D640" s="12" t="str">
        <f>IF(Raw_Data!H643="","",Raw_Data!H643)</f>
        <v/>
      </c>
      <c r="E640" s="12" t="str">
        <f>IF(Raw_Data!I643="","",Raw_Data!I643)</f>
        <v/>
      </c>
      <c r="F640" s="12" t="str">
        <f>IF(Raw_Data!J643="","",Raw_Data!J643)</f>
        <v/>
      </c>
      <c r="G640" s="12" t="str">
        <f>IF(Raw_Data!AH643&lt;&gt;"",Raw_Data!AH643,IF(Raw_Data!K643&lt;&gt;"",Raw_Data!K643,""))</f>
        <v/>
      </c>
      <c r="H640" s="12" t="str">
        <f>IF(Raw_Data!AI643&lt;&gt;"",Raw_Data!AI643,IF(Raw_Data!L643&lt;&gt;"",Raw_Data!L643,""))</f>
        <v/>
      </c>
      <c r="I640" s="12" t="str">
        <f t="shared" si="81"/>
        <v/>
      </c>
      <c r="J640" s="12" t="str">
        <f>IF(Raw_Data!M643="","",Raw_Data!M643)</f>
        <v/>
      </c>
      <c r="K640" s="12">
        <f>IF(Raw_Data!AJ643&lt;&gt;"",Raw_Data!AJ643,Raw_Data!N643)</f>
        <v>0</v>
      </c>
      <c r="L640" s="12">
        <f t="shared" si="82"/>
        <v>1</v>
      </c>
      <c r="M640" s="12" t="str">
        <f>IF(Raw_Data!AK643="","",Raw_Data!AK643)</f>
        <v/>
      </c>
      <c r="N640" s="12" t="str">
        <f>IF(Raw_Data!T643="","",Raw_Data!T643)</f>
        <v/>
      </c>
      <c r="O640" s="12" t="str">
        <f>IF(Raw_Data!AB643&lt;&gt;"",Raw_Data!AB643,IF(N640="tres_insatisfait",1,IF(N640="insatisfait",2,IF(N640="neutre",3,IF(N640="satisfait",4,IF(N640="tres_satisfait",5,""))))))</f>
        <v/>
      </c>
      <c r="P640" s="12">
        <f>IF(Raw_Data!AL643&lt;&gt;"",Raw_Data!AL643,Raw_Data!R643)</f>
        <v>0</v>
      </c>
      <c r="Q640" s="12">
        <f t="shared" si="83"/>
        <v>0</v>
      </c>
      <c r="R640" s="12" t="str">
        <f>IF(Raw_Data!AM643="","",Raw_Data!AM643)</f>
        <v/>
      </c>
      <c r="S640" s="12" t="str">
        <f t="shared" si="84"/>
        <v/>
      </c>
      <c r="T640" s="12" t="str">
        <f>IF(Raw_Data!AN643="","",Raw_Data!AN643)</f>
        <v/>
      </c>
      <c r="U640" s="12" t="str">
        <f t="shared" si="85"/>
        <v/>
      </c>
      <c r="V640" s="12" t="str">
        <f>IF(Raw_Data!AP643="","",IF(Raw_Data!AP643="oui",1,0))</f>
        <v/>
      </c>
      <c r="W640" s="12" t="str">
        <f>IF(Raw_Data!AQ643="","",IF(Raw_Data!AQ643="oui",1,0))</f>
        <v/>
      </c>
      <c r="X640" s="12" t="str">
        <f>IF(Raw_Data!AR643="","",IF(Raw_Data!AR643="oui",1,0))</f>
        <v/>
      </c>
      <c r="Y640" s="12" t="str">
        <f>IF(Raw_Data!AS643="","",IF(Raw_Data!AS643="oui",1,0))</f>
        <v/>
      </c>
      <c r="Z640" s="12" t="str">
        <f>IF(Raw_Data!V643="","",IF(Raw_Data!V643="oui",1,0))</f>
        <v/>
      </c>
      <c r="AA640" s="12" t="str">
        <f>IF(Raw_Data!W643="","",IF(Raw_Data!W643="oui",1,0))</f>
        <v/>
      </c>
      <c r="AB640" s="12" t="str">
        <f>IF(Raw_Data!Q643="","",IF(Raw_Data!Q643="oui",1,0))</f>
        <v/>
      </c>
      <c r="AC640" s="12">
        <f>Raw_Data!AF643</f>
        <v>0</v>
      </c>
      <c r="AD640" s="12" t="str">
        <f t="shared" si="86"/>
        <v/>
      </c>
      <c r="AE640" s="12" t="str">
        <f t="shared" si="87"/>
        <v/>
      </c>
      <c r="AF640" s="12" t="str">
        <f t="shared" si="88"/>
        <v/>
      </c>
      <c r="AG640" s="12">
        <f t="shared" si="89"/>
        <v>0</v>
      </c>
    </row>
    <row r="641" spans="1:33" ht="15" customHeight="1" x14ac:dyDescent="0.25">
      <c r="A641" s="12" t="str">
        <f>IF(Raw_Data!B644="","",Raw_Data!B644)</f>
        <v/>
      </c>
      <c r="B641" s="12">
        <f>IF(Raw_Data!X644&lt;&gt;"",Raw_Data!X644,Raw_Data!C644)</f>
        <v>0</v>
      </c>
      <c r="C641" s="12" t="str">
        <f>IF(Raw_Data!G644="","",Raw_Data!G644)</f>
        <v/>
      </c>
      <c r="D641" s="12" t="str">
        <f>IF(Raw_Data!H644="","",Raw_Data!H644)</f>
        <v/>
      </c>
      <c r="E641" s="12" t="str">
        <f>IF(Raw_Data!I644="","",Raw_Data!I644)</f>
        <v/>
      </c>
      <c r="F641" s="12" t="str">
        <f>IF(Raw_Data!J644="","",Raw_Data!J644)</f>
        <v/>
      </c>
      <c r="G641" s="12" t="str">
        <f>IF(Raw_Data!AH644&lt;&gt;"",Raw_Data!AH644,IF(Raw_Data!K644&lt;&gt;"",Raw_Data!K644,""))</f>
        <v/>
      </c>
      <c r="H641" s="12" t="str">
        <f>IF(Raw_Data!AI644&lt;&gt;"",Raw_Data!AI644,IF(Raw_Data!L644&lt;&gt;"",Raw_Data!L644,""))</f>
        <v/>
      </c>
      <c r="I641" s="12" t="str">
        <f t="shared" si="81"/>
        <v/>
      </c>
      <c r="J641" s="12" t="str">
        <f>IF(Raw_Data!M644="","",Raw_Data!M644)</f>
        <v/>
      </c>
      <c r="K641" s="12">
        <f>IF(Raw_Data!AJ644&lt;&gt;"",Raw_Data!AJ644,Raw_Data!N644)</f>
        <v>0</v>
      </c>
      <c r="L641" s="12">
        <f t="shared" si="82"/>
        <v>1</v>
      </c>
      <c r="M641" s="12" t="str">
        <f>IF(Raw_Data!AK644="","",Raw_Data!AK644)</f>
        <v/>
      </c>
      <c r="N641" s="12" t="str">
        <f>IF(Raw_Data!T644="","",Raw_Data!T644)</f>
        <v/>
      </c>
      <c r="O641" s="12" t="str">
        <f>IF(Raw_Data!AB644&lt;&gt;"",Raw_Data!AB644,IF(N641="tres_insatisfait",1,IF(N641="insatisfait",2,IF(N641="neutre",3,IF(N641="satisfait",4,IF(N641="tres_satisfait",5,""))))))</f>
        <v/>
      </c>
      <c r="P641" s="12">
        <f>IF(Raw_Data!AL644&lt;&gt;"",Raw_Data!AL644,Raw_Data!R644)</f>
        <v>0</v>
      </c>
      <c r="Q641" s="12">
        <f t="shared" si="83"/>
        <v>0</v>
      </c>
      <c r="R641" s="12" t="str">
        <f>IF(Raw_Data!AM644="","",Raw_Data!AM644)</f>
        <v/>
      </c>
      <c r="S641" s="12" t="str">
        <f t="shared" si="84"/>
        <v/>
      </c>
      <c r="T641" s="12" t="str">
        <f>IF(Raw_Data!AN644="","",Raw_Data!AN644)</f>
        <v/>
      </c>
      <c r="U641" s="12" t="str">
        <f t="shared" si="85"/>
        <v/>
      </c>
      <c r="V641" s="12" t="str">
        <f>IF(Raw_Data!AP644="","",IF(Raw_Data!AP644="oui",1,0))</f>
        <v/>
      </c>
      <c r="W641" s="12" t="str">
        <f>IF(Raw_Data!AQ644="","",IF(Raw_Data!AQ644="oui",1,0))</f>
        <v/>
      </c>
      <c r="X641" s="12" t="str">
        <f>IF(Raw_Data!AR644="","",IF(Raw_Data!AR644="oui",1,0))</f>
        <v/>
      </c>
      <c r="Y641" s="12" t="str">
        <f>IF(Raw_Data!AS644="","",IF(Raw_Data!AS644="oui",1,0))</f>
        <v/>
      </c>
      <c r="Z641" s="12" t="str">
        <f>IF(Raw_Data!V644="","",IF(Raw_Data!V644="oui",1,0))</f>
        <v/>
      </c>
      <c r="AA641" s="12" t="str">
        <f>IF(Raw_Data!W644="","",IF(Raw_Data!W644="oui",1,0))</f>
        <v/>
      </c>
      <c r="AB641" s="12" t="str">
        <f>IF(Raw_Data!Q644="","",IF(Raw_Data!Q644="oui",1,0))</f>
        <v/>
      </c>
      <c r="AC641" s="12">
        <f>Raw_Data!AF644</f>
        <v>0</v>
      </c>
      <c r="AD641" s="12" t="str">
        <f t="shared" si="86"/>
        <v/>
      </c>
      <c r="AE641" s="12" t="str">
        <f t="shared" si="87"/>
        <v/>
      </c>
      <c r="AF641" s="12" t="str">
        <f t="shared" si="88"/>
        <v/>
      </c>
      <c r="AG641" s="12">
        <f t="shared" si="89"/>
        <v>0</v>
      </c>
    </row>
    <row r="642" spans="1:33" ht="15" customHeight="1" x14ac:dyDescent="0.25">
      <c r="A642" s="12" t="str">
        <f>IF(Raw_Data!B645="","",Raw_Data!B645)</f>
        <v/>
      </c>
      <c r="B642" s="12">
        <f>IF(Raw_Data!X645&lt;&gt;"",Raw_Data!X645,Raw_Data!C645)</f>
        <v>0</v>
      </c>
      <c r="C642" s="12" t="str">
        <f>IF(Raw_Data!G645="","",Raw_Data!G645)</f>
        <v/>
      </c>
      <c r="D642" s="12" t="str">
        <f>IF(Raw_Data!H645="","",Raw_Data!H645)</f>
        <v/>
      </c>
      <c r="E642" s="12" t="str">
        <f>IF(Raw_Data!I645="","",Raw_Data!I645)</f>
        <v/>
      </c>
      <c r="F642" s="12" t="str">
        <f>IF(Raw_Data!J645="","",Raw_Data!J645)</f>
        <v/>
      </c>
      <c r="G642" s="12" t="str">
        <f>IF(Raw_Data!AH645&lt;&gt;"",Raw_Data!AH645,IF(Raw_Data!K645&lt;&gt;"",Raw_Data!K645,""))</f>
        <v/>
      </c>
      <c r="H642" s="12" t="str">
        <f>IF(Raw_Data!AI645&lt;&gt;"",Raw_Data!AI645,IF(Raw_Data!L645&lt;&gt;"",Raw_Data!L645,""))</f>
        <v/>
      </c>
      <c r="I642" s="12" t="str">
        <f t="shared" ref="I642:I705" si="90">IF(H642="","",IF(H642&lt;18,"&lt;18 ans",IF(H642&lt;60,"18-59 ans","60 ans et +")))</f>
        <v/>
      </c>
      <c r="J642" s="12" t="str">
        <f>IF(Raw_Data!M645="","",Raw_Data!M645)</f>
        <v/>
      </c>
      <c r="K642" s="12">
        <f>IF(Raw_Data!AJ645&lt;&gt;"",Raw_Data!AJ645,Raw_Data!N645)</f>
        <v>0</v>
      </c>
      <c r="L642" s="12">
        <f t="shared" ref="L642:L705" si="91">IF(K642="",0,1)</f>
        <v>1</v>
      </c>
      <c r="M642" s="12" t="str">
        <f>IF(Raw_Data!AK645="","",Raw_Data!AK645)</f>
        <v/>
      </c>
      <c r="N642" s="12" t="str">
        <f>IF(Raw_Data!T645="","",Raw_Data!T645)</f>
        <v/>
      </c>
      <c r="O642" s="12" t="str">
        <f>IF(Raw_Data!AB645&lt;&gt;"",Raw_Data!AB645,IF(N642="tres_insatisfait",1,IF(N642="insatisfait",2,IF(N642="neutre",3,IF(N642="satisfait",4,IF(N642="tres_satisfait",5,""))))))</f>
        <v/>
      </c>
      <c r="P642" s="12">
        <f>IF(Raw_Data!AL645&lt;&gt;"",Raw_Data!AL645,Raw_Data!R645)</f>
        <v>0</v>
      </c>
      <c r="Q642" s="12">
        <f t="shared" ref="Q642:Q705" si="92">IF(P642="","",IF(P642="oui",1,0))</f>
        <v>0</v>
      </c>
      <c r="R642" s="12" t="str">
        <f>IF(Raw_Data!AM645="","",Raw_Data!AM645)</f>
        <v/>
      </c>
      <c r="S642" s="12" t="str">
        <f t="shared" ref="S642:S705" si="93">IF(R642="","",IF(R642="oui",1,0))</f>
        <v/>
      </c>
      <c r="T642" s="12" t="str">
        <f>IF(Raw_Data!AN645="","",Raw_Data!AN645)</f>
        <v/>
      </c>
      <c r="U642" s="12" t="str">
        <f t="shared" ref="U642:U705" si="94">IF(T642="","",IF(T642="oui",1,0))</f>
        <v/>
      </c>
      <c r="V642" s="12" t="str">
        <f>IF(Raw_Data!AP645="","",IF(Raw_Data!AP645="oui",1,0))</f>
        <v/>
      </c>
      <c r="W642" s="12" t="str">
        <f>IF(Raw_Data!AQ645="","",IF(Raw_Data!AQ645="oui",1,0))</f>
        <v/>
      </c>
      <c r="X642" s="12" t="str">
        <f>IF(Raw_Data!AR645="","",IF(Raw_Data!AR645="oui",1,0))</f>
        <v/>
      </c>
      <c r="Y642" s="12" t="str">
        <f>IF(Raw_Data!AS645="","",IF(Raw_Data!AS645="oui",1,0))</f>
        <v/>
      </c>
      <c r="Z642" s="12" t="str">
        <f>IF(Raw_Data!V645="","",IF(Raw_Data!V645="oui",1,0))</f>
        <v/>
      </c>
      <c r="AA642" s="12" t="str">
        <f>IF(Raw_Data!W645="","",IF(Raw_Data!W645="oui",1,0))</f>
        <v/>
      </c>
      <c r="AB642" s="12" t="str">
        <f>IF(Raw_Data!Q645="","",IF(Raw_Data!Q645="oui",1,0))</f>
        <v/>
      </c>
      <c r="AC642" s="12">
        <f>Raw_Data!AF645</f>
        <v>0</v>
      </c>
      <c r="AD642" s="12" t="str">
        <f t="shared" ref="AD642:AD705" si="95">IF(A642="","",F642&amp;"|"&amp;E642&amp;"|"&amp;TEXT(B642,"YYYY-MM-DD"))</f>
        <v/>
      </c>
      <c r="AE642" s="12" t="str">
        <f t="shared" ref="AE642:AE705" si="96">IF(AD642="","",IF(COUNTIF($AD$2:$AD$1000,AD642)&gt;1,1,0))</f>
        <v/>
      </c>
      <c r="AF642" s="12" t="str">
        <f t="shared" ref="AF642:AF705" si="97">IF(A642="","",IF(OR(C642="",D642="",G642="",H642="",N642=""),1,0))</f>
        <v/>
      </c>
      <c r="AG642" s="12">
        <f t="shared" ref="AG642:AG705" si="98">IF(A642="",0,1)</f>
        <v>0</v>
      </c>
    </row>
    <row r="643" spans="1:33" ht="15" customHeight="1" x14ac:dyDescent="0.25">
      <c r="A643" s="12" t="str">
        <f>IF(Raw_Data!B646="","",Raw_Data!B646)</f>
        <v/>
      </c>
      <c r="B643" s="12">
        <f>IF(Raw_Data!X646&lt;&gt;"",Raw_Data!X646,Raw_Data!C646)</f>
        <v>0</v>
      </c>
      <c r="C643" s="12" t="str">
        <f>IF(Raw_Data!G646="","",Raw_Data!G646)</f>
        <v/>
      </c>
      <c r="D643" s="12" t="str">
        <f>IF(Raw_Data!H646="","",Raw_Data!H646)</f>
        <v/>
      </c>
      <c r="E643" s="12" t="str">
        <f>IF(Raw_Data!I646="","",Raw_Data!I646)</f>
        <v/>
      </c>
      <c r="F643" s="12" t="str">
        <f>IF(Raw_Data!J646="","",Raw_Data!J646)</f>
        <v/>
      </c>
      <c r="G643" s="12" t="str">
        <f>IF(Raw_Data!AH646&lt;&gt;"",Raw_Data!AH646,IF(Raw_Data!K646&lt;&gt;"",Raw_Data!K646,""))</f>
        <v/>
      </c>
      <c r="H643" s="12" t="str">
        <f>IF(Raw_Data!AI646&lt;&gt;"",Raw_Data!AI646,IF(Raw_Data!L646&lt;&gt;"",Raw_Data!L646,""))</f>
        <v/>
      </c>
      <c r="I643" s="12" t="str">
        <f t="shared" si="90"/>
        <v/>
      </c>
      <c r="J643" s="12" t="str">
        <f>IF(Raw_Data!M646="","",Raw_Data!M646)</f>
        <v/>
      </c>
      <c r="K643" s="12">
        <f>IF(Raw_Data!AJ646&lt;&gt;"",Raw_Data!AJ646,Raw_Data!N646)</f>
        <v>0</v>
      </c>
      <c r="L643" s="12">
        <f t="shared" si="91"/>
        <v>1</v>
      </c>
      <c r="M643" s="12" t="str">
        <f>IF(Raw_Data!AK646="","",Raw_Data!AK646)</f>
        <v/>
      </c>
      <c r="N643" s="12" t="str">
        <f>IF(Raw_Data!T646="","",Raw_Data!T646)</f>
        <v/>
      </c>
      <c r="O643" s="12" t="str">
        <f>IF(Raw_Data!AB646&lt;&gt;"",Raw_Data!AB646,IF(N643="tres_insatisfait",1,IF(N643="insatisfait",2,IF(N643="neutre",3,IF(N643="satisfait",4,IF(N643="tres_satisfait",5,""))))))</f>
        <v/>
      </c>
      <c r="P643" s="12">
        <f>IF(Raw_Data!AL646&lt;&gt;"",Raw_Data!AL646,Raw_Data!R646)</f>
        <v>0</v>
      </c>
      <c r="Q643" s="12">
        <f t="shared" si="92"/>
        <v>0</v>
      </c>
      <c r="R643" s="12" t="str">
        <f>IF(Raw_Data!AM646="","",Raw_Data!AM646)</f>
        <v/>
      </c>
      <c r="S643" s="12" t="str">
        <f t="shared" si="93"/>
        <v/>
      </c>
      <c r="T643" s="12" t="str">
        <f>IF(Raw_Data!AN646="","",Raw_Data!AN646)</f>
        <v/>
      </c>
      <c r="U643" s="12" t="str">
        <f t="shared" si="94"/>
        <v/>
      </c>
      <c r="V643" s="12" t="str">
        <f>IF(Raw_Data!AP646="","",IF(Raw_Data!AP646="oui",1,0))</f>
        <v/>
      </c>
      <c r="W643" s="12" t="str">
        <f>IF(Raw_Data!AQ646="","",IF(Raw_Data!AQ646="oui",1,0))</f>
        <v/>
      </c>
      <c r="X643" s="12" t="str">
        <f>IF(Raw_Data!AR646="","",IF(Raw_Data!AR646="oui",1,0))</f>
        <v/>
      </c>
      <c r="Y643" s="12" t="str">
        <f>IF(Raw_Data!AS646="","",IF(Raw_Data!AS646="oui",1,0))</f>
        <v/>
      </c>
      <c r="Z643" s="12" t="str">
        <f>IF(Raw_Data!V646="","",IF(Raw_Data!V646="oui",1,0))</f>
        <v/>
      </c>
      <c r="AA643" s="12" t="str">
        <f>IF(Raw_Data!W646="","",IF(Raw_Data!W646="oui",1,0))</f>
        <v/>
      </c>
      <c r="AB643" s="12" t="str">
        <f>IF(Raw_Data!Q646="","",IF(Raw_Data!Q646="oui",1,0))</f>
        <v/>
      </c>
      <c r="AC643" s="12">
        <f>Raw_Data!AF646</f>
        <v>0</v>
      </c>
      <c r="AD643" s="12" t="str">
        <f t="shared" si="95"/>
        <v/>
      </c>
      <c r="AE643" s="12" t="str">
        <f t="shared" si="96"/>
        <v/>
      </c>
      <c r="AF643" s="12" t="str">
        <f t="shared" si="97"/>
        <v/>
      </c>
      <c r="AG643" s="12">
        <f t="shared" si="98"/>
        <v>0</v>
      </c>
    </row>
    <row r="644" spans="1:33" ht="15" customHeight="1" x14ac:dyDescent="0.25">
      <c r="A644" s="12" t="str">
        <f>IF(Raw_Data!B647="","",Raw_Data!B647)</f>
        <v/>
      </c>
      <c r="B644" s="12">
        <f>IF(Raw_Data!X647&lt;&gt;"",Raw_Data!X647,Raw_Data!C647)</f>
        <v>0</v>
      </c>
      <c r="C644" s="12" t="str">
        <f>IF(Raw_Data!G647="","",Raw_Data!G647)</f>
        <v/>
      </c>
      <c r="D644" s="12" t="str">
        <f>IF(Raw_Data!H647="","",Raw_Data!H647)</f>
        <v/>
      </c>
      <c r="E644" s="12" t="str">
        <f>IF(Raw_Data!I647="","",Raw_Data!I647)</f>
        <v/>
      </c>
      <c r="F644" s="12" t="str">
        <f>IF(Raw_Data!J647="","",Raw_Data!J647)</f>
        <v/>
      </c>
      <c r="G644" s="12" t="str">
        <f>IF(Raw_Data!AH647&lt;&gt;"",Raw_Data!AH647,IF(Raw_Data!K647&lt;&gt;"",Raw_Data!K647,""))</f>
        <v/>
      </c>
      <c r="H644" s="12" t="str">
        <f>IF(Raw_Data!AI647&lt;&gt;"",Raw_Data!AI647,IF(Raw_Data!L647&lt;&gt;"",Raw_Data!L647,""))</f>
        <v/>
      </c>
      <c r="I644" s="12" t="str">
        <f t="shared" si="90"/>
        <v/>
      </c>
      <c r="J644" s="12" t="str">
        <f>IF(Raw_Data!M647="","",Raw_Data!M647)</f>
        <v/>
      </c>
      <c r="K644" s="12">
        <f>IF(Raw_Data!AJ647&lt;&gt;"",Raw_Data!AJ647,Raw_Data!N647)</f>
        <v>0</v>
      </c>
      <c r="L644" s="12">
        <f t="shared" si="91"/>
        <v>1</v>
      </c>
      <c r="M644" s="12" t="str">
        <f>IF(Raw_Data!AK647="","",Raw_Data!AK647)</f>
        <v/>
      </c>
      <c r="N644" s="12" t="str">
        <f>IF(Raw_Data!T647="","",Raw_Data!T647)</f>
        <v/>
      </c>
      <c r="O644" s="12" t="str">
        <f>IF(Raw_Data!AB647&lt;&gt;"",Raw_Data!AB647,IF(N644="tres_insatisfait",1,IF(N644="insatisfait",2,IF(N644="neutre",3,IF(N644="satisfait",4,IF(N644="tres_satisfait",5,""))))))</f>
        <v/>
      </c>
      <c r="P644" s="12">
        <f>IF(Raw_Data!AL647&lt;&gt;"",Raw_Data!AL647,Raw_Data!R647)</f>
        <v>0</v>
      </c>
      <c r="Q644" s="12">
        <f t="shared" si="92"/>
        <v>0</v>
      </c>
      <c r="R644" s="12" t="str">
        <f>IF(Raw_Data!AM647="","",Raw_Data!AM647)</f>
        <v/>
      </c>
      <c r="S644" s="12" t="str">
        <f t="shared" si="93"/>
        <v/>
      </c>
      <c r="T644" s="12" t="str">
        <f>IF(Raw_Data!AN647="","",Raw_Data!AN647)</f>
        <v/>
      </c>
      <c r="U644" s="12" t="str">
        <f t="shared" si="94"/>
        <v/>
      </c>
      <c r="V644" s="12" t="str">
        <f>IF(Raw_Data!AP647="","",IF(Raw_Data!AP647="oui",1,0))</f>
        <v/>
      </c>
      <c r="W644" s="12" t="str">
        <f>IF(Raw_Data!AQ647="","",IF(Raw_Data!AQ647="oui",1,0))</f>
        <v/>
      </c>
      <c r="X644" s="12" t="str">
        <f>IF(Raw_Data!AR647="","",IF(Raw_Data!AR647="oui",1,0))</f>
        <v/>
      </c>
      <c r="Y644" s="12" t="str">
        <f>IF(Raw_Data!AS647="","",IF(Raw_Data!AS647="oui",1,0))</f>
        <v/>
      </c>
      <c r="Z644" s="12" t="str">
        <f>IF(Raw_Data!V647="","",IF(Raw_Data!V647="oui",1,0))</f>
        <v/>
      </c>
      <c r="AA644" s="12" t="str">
        <f>IF(Raw_Data!W647="","",IF(Raw_Data!W647="oui",1,0))</f>
        <v/>
      </c>
      <c r="AB644" s="12" t="str">
        <f>IF(Raw_Data!Q647="","",IF(Raw_Data!Q647="oui",1,0))</f>
        <v/>
      </c>
      <c r="AC644" s="12">
        <f>Raw_Data!AF647</f>
        <v>0</v>
      </c>
      <c r="AD644" s="12" t="str">
        <f t="shared" si="95"/>
        <v/>
      </c>
      <c r="AE644" s="12" t="str">
        <f t="shared" si="96"/>
        <v/>
      </c>
      <c r="AF644" s="12" t="str">
        <f t="shared" si="97"/>
        <v/>
      </c>
      <c r="AG644" s="12">
        <f t="shared" si="98"/>
        <v>0</v>
      </c>
    </row>
    <row r="645" spans="1:33" ht="15" customHeight="1" x14ac:dyDescent="0.25">
      <c r="A645" s="12" t="str">
        <f>IF(Raw_Data!B648="","",Raw_Data!B648)</f>
        <v/>
      </c>
      <c r="B645" s="12">
        <f>IF(Raw_Data!X648&lt;&gt;"",Raw_Data!X648,Raw_Data!C648)</f>
        <v>0</v>
      </c>
      <c r="C645" s="12" t="str">
        <f>IF(Raw_Data!G648="","",Raw_Data!G648)</f>
        <v/>
      </c>
      <c r="D645" s="12" t="str">
        <f>IF(Raw_Data!H648="","",Raw_Data!H648)</f>
        <v/>
      </c>
      <c r="E645" s="12" t="str">
        <f>IF(Raw_Data!I648="","",Raw_Data!I648)</f>
        <v/>
      </c>
      <c r="F645" s="12" t="str">
        <f>IF(Raw_Data!J648="","",Raw_Data!J648)</f>
        <v/>
      </c>
      <c r="G645" s="12" t="str">
        <f>IF(Raw_Data!AH648&lt;&gt;"",Raw_Data!AH648,IF(Raw_Data!K648&lt;&gt;"",Raw_Data!K648,""))</f>
        <v/>
      </c>
      <c r="H645" s="12" t="str">
        <f>IF(Raw_Data!AI648&lt;&gt;"",Raw_Data!AI648,IF(Raw_Data!L648&lt;&gt;"",Raw_Data!L648,""))</f>
        <v/>
      </c>
      <c r="I645" s="12" t="str">
        <f t="shared" si="90"/>
        <v/>
      </c>
      <c r="J645" s="12" t="str">
        <f>IF(Raw_Data!M648="","",Raw_Data!M648)</f>
        <v/>
      </c>
      <c r="K645" s="12">
        <f>IF(Raw_Data!AJ648&lt;&gt;"",Raw_Data!AJ648,Raw_Data!N648)</f>
        <v>0</v>
      </c>
      <c r="L645" s="12">
        <f t="shared" si="91"/>
        <v>1</v>
      </c>
      <c r="M645" s="12" t="str">
        <f>IF(Raw_Data!AK648="","",Raw_Data!AK648)</f>
        <v/>
      </c>
      <c r="N645" s="12" t="str">
        <f>IF(Raw_Data!T648="","",Raw_Data!T648)</f>
        <v/>
      </c>
      <c r="O645" s="12" t="str">
        <f>IF(Raw_Data!AB648&lt;&gt;"",Raw_Data!AB648,IF(N645="tres_insatisfait",1,IF(N645="insatisfait",2,IF(N645="neutre",3,IF(N645="satisfait",4,IF(N645="tres_satisfait",5,""))))))</f>
        <v/>
      </c>
      <c r="P645" s="12">
        <f>IF(Raw_Data!AL648&lt;&gt;"",Raw_Data!AL648,Raw_Data!R648)</f>
        <v>0</v>
      </c>
      <c r="Q645" s="12">
        <f t="shared" si="92"/>
        <v>0</v>
      </c>
      <c r="R645" s="12" t="str">
        <f>IF(Raw_Data!AM648="","",Raw_Data!AM648)</f>
        <v/>
      </c>
      <c r="S645" s="12" t="str">
        <f t="shared" si="93"/>
        <v/>
      </c>
      <c r="T645" s="12" t="str">
        <f>IF(Raw_Data!AN648="","",Raw_Data!AN648)</f>
        <v/>
      </c>
      <c r="U645" s="12" t="str">
        <f t="shared" si="94"/>
        <v/>
      </c>
      <c r="V645" s="12" t="str">
        <f>IF(Raw_Data!AP648="","",IF(Raw_Data!AP648="oui",1,0))</f>
        <v/>
      </c>
      <c r="W645" s="12" t="str">
        <f>IF(Raw_Data!AQ648="","",IF(Raw_Data!AQ648="oui",1,0))</f>
        <v/>
      </c>
      <c r="X645" s="12" t="str">
        <f>IF(Raw_Data!AR648="","",IF(Raw_Data!AR648="oui",1,0))</f>
        <v/>
      </c>
      <c r="Y645" s="12" t="str">
        <f>IF(Raw_Data!AS648="","",IF(Raw_Data!AS648="oui",1,0))</f>
        <v/>
      </c>
      <c r="Z645" s="12" t="str">
        <f>IF(Raw_Data!V648="","",IF(Raw_Data!V648="oui",1,0))</f>
        <v/>
      </c>
      <c r="AA645" s="12" t="str">
        <f>IF(Raw_Data!W648="","",IF(Raw_Data!W648="oui",1,0))</f>
        <v/>
      </c>
      <c r="AB645" s="12" t="str">
        <f>IF(Raw_Data!Q648="","",IF(Raw_Data!Q648="oui",1,0))</f>
        <v/>
      </c>
      <c r="AC645" s="12">
        <f>Raw_Data!AF648</f>
        <v>0</v>
      </c>
      <c r="AD645" s="12" t="str">
        <f t="shared" si="95"/>
        <v/>
      </c>
      <c r="AE645" s="12" t="str">
        <f t="shared" si="96"/>
        <v/>
      </c>
      <c r="AF645" s="12" t="str">
        <f t="shared" si="97"/>
        <v/>
      </c>
      <c r="AG645" s="12">
        <f t="shared" si="98"/>
        <v>0</v>
      </c>
    </row>
    <row r="646" spans="1:33" ht="15" customHeight="1" x14ac:dyDescent="0.25">
      <c r="A646" s="12" t="str">
        <f>IF(Raw_Data!B649="","",Raw_Data!B649)</f>
        <v/>
      </c>
      <c r="B646" s="12">
        <f>IF(Raw_Data!X649&lt;&gt;"",Raw_Data!X649,Raw_Data!C649)</f>
        <v>0</v>
      </c>
      <c r="C646" s="12" t="str">
        <f>IF(Raw_Data!G649="","",Raw_Data!G649)</f>
        <v/>
      </c>
      <c r="D646" s="12" t="str">
        <f>IF(Raw_Data!H649="","",Raw_Data!H649)</f>
        <v/>
      </c>
      <c r="E646" s="12" t="str">
        <f>IF(Raw_Data!I649="","",Raw_Data!I649)</f>
        <v/>
      </c>
      <c r="F646" s="12" t="str">
        <f>IF(Raw_Data!J649="","",Raw_Data!J649)</f>
        <v/>
      </c>
      <c r="G646" s="12" t="str">
        <f>IF(Raw_Data!AH649&lt;&gt;"",Raw_Data!AH649,IF(Raw_Data!K649&lt;&gt;"",Raw_Data!K649,""))</f>
        <v/>
      </c>
      <c r="H646" s="12" t="str">
        <f>IF(Raw_Data!AI649&lt;&gt;"",Raw_Data!AI649,IF(Raw_Data!L649&lt;&gt;"",Raw_Data!L649,""))</f>
        <v/>
      </c>
      <c r="I646" s="12" t="str">
        <f t="shared" si="90"/>
        <v/>
      </c>
      <c r="J646" s="12" t="str">
        <f>IF(Raw_Data!M649="","",Raw_Data!M649)</f>
        <v/>
      </c>
      <c r="K646" s="12">
        <f>IF(Raw_Data!AJ649&lt;&gt;"",Raw_Data!AJ649,Raw_Data!N649)</f>
        <v>0</v>
      </c>
      <c r="L646" s="12">
        <f t="shared" si="91"/>
        <v>1</v>
      </c>
      <c r="M646" s="12" t="str">
        <f>IF(Raw_Data!AK649="","",Raw_Data!AK649)</f>
        <v/>
      </c>
      <c r="N646" s="12" t="str">
        <f>IF(Raw_Data!T649="","",Raw_Data!T649)</f>
        <v/>
      </c>
      <c r="O646" s="12" t="str">
        <f>IF(Raw_Data!AB649&lt;&gt;"",Raw_Data!AB649,IF(N646="tres_insatisfait",1,IF(N646="insatisfait",2,IF(N646="neutre",3,IF(N646="satisfait",4,IF(N646="tres_satisfait",5,""))))))</f>
        <v/>
      </c>
      <c r="P646" s="12">
        <f>IF(Raw_Data!AL649&lt;&gt;"",Raw_Data!AL649,Raw_Data!R649)</f>
        <v>0</v>
      </c>
      <c r="Q646" s="12">
        <f t="shared" si="92"/>
        <v>0</v>
      </c>
      <c r="R646" s="12" t="str">
        <f>IF(Raw_Data!AM649="","",Raw_Data!AM649)</f>
        <v/>
      </c>
      <c r="S646" s="12" t="str">
        <f t="shared" si="93"/>
        <v/>
      </c>
      <c r="T646" s="12" t="str">
        <f>IF(Raw_Data!AN649="","",Raw_Data!AN649)</f>
        <v/>
      </c>
      <c r="U646" s="12" t="str">
        <f t="shared" si="94"/>
        <v/>
      </c>
      <c r="V646" s="12" t="str">
        <f>IF(Raw_Data!AP649="","",IF(Raw_Data!AP649="oui",1,0))</f>
        <v/>
      </c>
      <c r="W646" s="12" t="str">
        <f>IF(Raw_Data!AQ649="","",IF(Raw_Data!AQ649="oui",1,0))</f>
        <v/>
      </c>
      <c r="X646" s="12" t="str">
        <f>IF(Raw_Data!AR649="","",IF(Raw_Data!AR649="oui",1,0))</f>
        <v/>
      </c>
      <c r="Y646" s="12" t="str">
        <f>IF(Raw_Data!AS649="","",IF(Raw_Data!AS649="oui",1,0))</f>
        <v/>
      </c>
      <c r="Z646" s="12" t="str">
        <f>IF(Raw_Data!V649="","",IF(Raw_Data!V649="oui",1,0))</f>
        <v/>
      </c>
      <c r="AA646" s="12" t="str">
        <f>IF(Raw_Data!W649="","",IF(Raw_Data!W649="oui",1,0))</f>
        <v/>
      </c>
      <c r="AB646" s="12" t="str">
        <f>IF(Raw_Data!Q649="","",IF(Raw_Data!Q649="oui",1,0))</f>
        <v/>
      </c>
      <c r="AC646" s="12">
        <f>Raw_Data!AF649</f>
        <v>0</v>
      </c>
      <c r="AD646" s="12" t="str">
        <f t="shared" si="95"/>
        <v/>
      </c>
      <c r="AE646" s="12" t="str">
        <f t="shared" si="96"/>
        <v/>
      </c>
      <c r="AF646" s="12" t="str">
        <f t="shared" si="97"/>
        <v/>
      </c>
      <c r="AG646" s="12">
        <f t="shared" si="98"/>
        <v>0</v>
      </c>
    </row>
    <row r="647" spans="1:33" ht="15" customHeight="1" x14ac:dyDescent="0.25">
      <c r="A647" s="12" t="str">
        <f>IF(Raw_Data!B650="","",Raw_Data!B650)</f>
        <v/>
      </c>
      <c r="B647" s="12">
        <f>IF(Raw_Data!X650&lt;&gt;"",Raw_Data!X650,Raw_Data!C650)</f>
        <v>0</v>
      </c>
      <c r="C647" s="12" t="str">
        <f>IF(Raw_Data!G650="","",Raw_Data!G650)</f>
        <v/>
      </c>
      <c r="D647" s="12" t="str">
        <f>IF(Raw_Data!H650="","",Raw_Data!H650)</f>
        <v/>
      </c>
      <c r="E647" s="12" t="str">
        <f>IF(Raw_Data!I650="","",Raw_Data!I650)</f>
        <v/>
      </c>
      <c r="F647" s="12" t="str">
        <f>IF(Raw_Data!J650="","",Raw_Data!J650)</f>
        <v/>
      </c>
      <c r="G647" s="12" t="str">
        <f>IF(Raw_Data!AH650&lt;&gt;"",Raw_Data!AH650,IF(Raw_Data!K650&lt;&gt;"",Raw_Data!K650,""))</f>
        <v/>
      </c>
      <c r="H647" s="12" t="str">
        <f>IF(Raw_Data!AI650&lt;&gt;"",Raw_Data!AI650,IF(Raw_Data!L650&lt;&gt;"",Raw_Data!L650,""))</f>
        <v/>
      </c>
      <c r="I647" s="12" t="str">
        <f t="shared" si="90"/>
        <v/>
      </c>
      <c r="J647" s="12" t="str">
        <f>IF(Raw_Data!M650="","",Raw_Data!M650)</f>
        <v/>
      </c>
      <c r="K647" s="12">
        <f>IF(Raw_Data!AJ650&lt;&gt;"",Raw_Data!AJ650,Raw_Data!N650)</f>
        <v>0</v>
      </c>
      <c r="L647" s="12">
        <f t="shared" si="91"/>
        <v>1</v>
      </c>
      <c r="M647" s="12" t="str">
        <f>IF(Raw_Data!AK650="","",Raw_Data!AK650)</f>
        <v/>
      </c>
      <c r="N647" s="12" t="str">
        <f>IF(Raw_Data!T650="","",Raw_Data!T650)</f>
        <v/>
      </c>
      <c r="O647" s="12" t="str">
        <f>IF(Raw_Data!AB650&lt;&gt;"",Raw_Data!AB650,IF(N647="tres_insatisfait",1,IF(N647="insatisfait",2,IF(N647="neutre",3,IF(N647="satisfait",4,IF(N647="tres_satisfait",5,""))))))</f>
        <v/>
      </c>
      <c r="P647" s="12">
        <f>IF(Raw_Data!AL650&lt;&gt;"",Raw_Data!AL650,Raw_Data!R650)</f>
        <v>0</v>
      </c>
      <c r="Q647" s="12">
        <f t="shared" si="92"/>
        <v>0</v>
      </c>
      <c r="R647" s="12" t="str">
        <f>IF(Raw_Data!AM650="","",Raw_Data!AM650)</f>
        <v/>
      </c>
      <c r="S647" s="12" t="str">
        <f t="shared" si="93"/>
        <v/>
      </c>
      <c r="T647" s="12" t="str">
        <f>IF(Raw_Data!AN650="","",Raw_Data!AN650)</f>
        <v/>
      </c>
      <c r="U647" s="12" t="str">
        <f t="shared" si="94"/>
        <v/>
      </c>
      <c r="V647" s="12" t="str">
        <f>IF(Raw_Data!AP650="","",IF(Raw_Data!AP650="oui",1,0))</f>
        <v/>
      </c>
      <c r="W647" s="12" t="str">
        <f>IF(Raw_Data!AQ650="","",IF(Raw_Data!AQ650="oui",1,0))</f>
        <v/>
      </c>
      <c r="X647" s="12" t="str">
        <f>IF(Raw_Data!AR650="","",IF(Raw_Data!AR650="oui",1,0))</f>
        <v/>
      </c>
      <c r="Y647" s="12" t="str">
        <f>IF(Raw_Data!AS650="","",IF(Raw_Data!AS650="oui",1,0))</f>
        <v/>
      </c>
      <c r="Z647" s="12" t="str">
        <f>IF(Raw_Data!V650="","",IF(Raw_Data!V650="oui",1,0))</f>
        <v/>
      </c>
      <c r="AA647" s="12" t="str">
        <f>IF(Raw_Data!W650="","",IF(Raw_Data!W650="oui",1,0))</f>
        <v/>
      </c>
      <c r="AB647" s="12" t="str">
        <f>IF(Raw_Data!Q650="","",IF(Raw_Data!Q650="oui",1,0))</f>
        <v/>
      </c>
      <c r="AC647" s="12">
        <f>Raw_Data!AF650</f>
        <v>0</v>
      </c>
      <c r="AD647" s="12" t="str">
        <f t="shared" si="95"/>
        <v/>
      </c>
      <c r="AE647" s="12" t="str">
        <f t="shared" si="96"/>
        <v/>
      </c>
      <c r="AF647" s="12" t="str">
        <f t="shared" si="97"/>
        <v/>
      </c>
      <c r="AG647" s="12">
        <f t="shared" si="98"/>
        <v>0</v>
      </c>
    </row>
    <row r="648" spans="1:33" ht="15" customHeight="1" x14ac:dyDescent="0.25">
      <c r="A648" s="12" t="str">
        <f>IF(Raw_Data!B651="","",Raw_Data!B651)</f>
        <v/>
      </c>
      <c r="B648" s="12">
        <f>IF(Raw_Data!X651&lt;&gt;"",Raw_Data!X651,Raw_Data!C651)</f>
        <v>0</v>
      </c>
      <c r="C648" s="12" t="str">
        <f>IF(Raw_Data!G651="","",Raw_Data!G651)</f>
        <v/>
      </c>
      <c r="D648" s="12" t="str">
        <f>IF(Raw_Data!H651="","",Raw_Data!H651)</f>
        <v/>
      </c>
      <c r="E648" s="12" t="str">
        <f>IF(Raw_Data!I651="","",Raw_Data!I651)</f>
        <v/>
      </c>
      <c r="F648" s="12" t="str">
        <f>IF(Raw_Data!J651="","",Raw_Data!J651)</f>
        <v/>
      </c>
      <c r="G648" s="12" t="str">
        <f>IF(Raw_Data!AH651&lt;&gt;"",Raw_Data!AH651,IF(Raw_Data!K651&lt;&gt;"",Raw_Data!K651,""))</f>
        <v/>
      </c>
      <c r="H648" s="12" t="str">
        <f>IF(Raw_Data!AI651&lt;&gt;"",Raw_Data!AI651,IF(Raw_Data!L651&lt;&gt;"",Raw_Data!L651,""))</f>
        <v/>
      </c>
      <c r="I648" s="12" t="str">
        <f t="shared" si="90"/>
        <v/>
      </c>
      <c r="J648" s="12" t="str">
        <f>IF(Raw_Data!M651="","",Raw_Data!M651)</f>
        <v/>
      </c>
      <c r="K648" s="12">
        <f>IF(Raw_Data!AJ651&lt;&gt;"",Raw_Data!AJ651,Raw_Data!N651)</f>
        <v>0</v>
      </c>
      <c r="L648" s="12">
        <f t="shared" si="91"/>
        <v>1</v>
      </c>
      <c r="M648" s="12" t="str">
        <f>IF(Raw_Data!AK651="","",Raw_Data!AK651)</f>
        <v/>
      </c>
      <c r="N648" s="12" t="str">
        <f>IF(Raw_Data!T651="","",Raw_Data!T651)</f>
        <v/>
      </c>
      <c r="O648" s="12" t="str">
        <f>IF(Raw_Data!AB651&lt;&gt;"",Raw_Data!AB651,IF(N648="tres_insatisfait",1,IF(N648="insatisfait",2,IF(N648="neutre",3,IF(N648="satisfait",4,IF(N648="tres_satisfait",5,""))))))</f>
        <v/>
      </c>
      <c r="P648" s="12">
        <f>IF(Raw_Data!AL651&lt;&gt;"",Raw_Data!AL651,Raw_Data!R651)</f>
        <v>0</v>
      </c>
      <c r="Q648" s="12">
        <f t="shared" si="92"/>
        <v>0</v>
      </c>
      <c r="R648" s="12" t="str">
        <f>IF(Raw_Data!AM651="","",Raw_Data!AM651)</f>
        <v/>
      </c>
      <c r="S648" s="12" t="str">
        <f t="shared" si="93"/>
        <v/>
      </c>
      <c r="T648" s="12" t="str">
        <f>IF(Raw_Data!AN651="","",Raw_Data!AN651)</f>
        <v/>
      </c>
      <c r="U648" s="12" t="str">
        <f t="shared" si="94"/>
        <v/>
      </c>
      <c r="V648" s="12" t="str">
        <f>IF(Raw_Data!AP651="","",IF(Raw_Data!AP651="oui",1,0))</f>
        <v/>
      </c>
      <c r="W648" s="12" t="str">
        <f>IF(Raw_Data!AQ651="","",IF(Raw_Data!AQ651="oui",1,0))</f>
        <v/>
      </c>
      <c r="X648" s="12" t="str">
        <f>IF(Raw_Data!AR651="","",IF(Raw_Data!AR651="oui",1,0))</f>
        <v/>
      </c>
      <c r="Y648" s="12" t="str">
        <f>IF(Raw_Data!AS651="","",IF(Raw_Data!AS651="oui",1,0))</f>
        <v/>
      </c>
      <c r="Z648" s="12" t="str">
        <f>IF(Raw_Data!V651="","",IF(Raw_Data!V651="oui",1,0))</f>
        <v/>
      </c>
      <c r="AA648" s="12" t="str">
        <f>IF(Raw_Data!W651="","",IF(Raw_Data!W651="oui",1,0))</f>
        <v/>
      </c>
      <c r="AB648" s="12" t="str">
        <f>IF(Raw_Data!Q651="","",IF(Raw_Data!Q651="oui",1,0))</f>
        <v/>
      </c>
      <c r="AC648" s="12">
        <f>Raw_Data!AF651</f>
        <v>0</v>
      </c>
      <c r="AD648" s="12" t="str">
        <f t="shared" si="95"/>
        <v/>
      </c>
      <c r="AE648" s="12" t="str">
        <f t="shared" si="96"/>
        <v/>
      </c>
      <c r="AF648" s="12" t="str">
        <f t="shared" si="97"/>
        <v/>
      </c>
      <c r="AG648" s="12">
        <f t="shared" si="98"/>
        <v>0</v>
      </c>
    </row>
    <row r="649" spans="1:33" ht="15" customHeight="1" x14ac:dyDescent="0.25">
      <c r="A649" s="12" t="str">
        <f>IF(Raw_Data!B652="","",Raw_Data!B652)</f>
        <v/>
      </c>
      <c r="B649" s="12">
        <f>IF(Raw_Data!X652&lt;&gt;"",Raw_Data!X652,Raw_Data!C652)</f>
        <v>0</v>
      </c>
      <c r="C649" s="12" t="str">
        <f>IF(Raw_Data!G652="","",Raw_Data!G652)</f>
        <v/>
      </c>
      <c r="D649" s="12" t="str">
        <f>IF(Raw_Data!H652="","",Raw_Data!H652)</f>
        <v/>
      </c>
      <c r="E649" s="12" t="str">
        <f>IF(Raw_Data!I652="","",Raw_Data!I652)</f>
        <v/>
      </c>
      <c r="F649" s="12" t="str">
        <f>IF(Raw_Data!J652="","",Raw_Data!J652)</f>
        <v/>
      </c>
      <c r="G649" s="12" t="str">
        <f>IF(Raw_Data!AH652&lt;&gt;"",Raw_Data!AH652,IF(Raw_Data!K652&lt;&gt;"",Raw_Data!K652,""))</f>
        <v/>
      </c>
      <c r="H649" s="12" t="str">
        <f>IF(Raw_Data!AI652&lt;&gt;"",Raw_Data!AI652,IF(Raw_Data!L652&lt;&gt;"",Raw_Data!L652,""))</f>
        <v/>
      </c>
      <c r="I649" s="12" t="str">
        <f t="shared" si="90"/>
        <v/>
      </c>
      <c r="J649" s="12" t="str">
        <f>IF(Raw_Data!M652="","",Raw_Data!M652)</f>
        <v/>
      </c>
      <c r="K649" s="12">
        <f>IF(Raw_Data!AJ652&lt;&gt;"",Raw_Data!AJ652,Raw_Data!N652)</f>
        <v>0</v>
      </c>
      <c r="L649" s="12">
        <f t="shared" si="91"/>
        <v>1</v>
      </c>
      <c r="M649" s="12" t="str">
        <f>IF(Raw_Data!AK652="","",Raw_Data!AK652)</f>
        <v/>
      </c>
      <c r="N649" s="12" t="str">
        <f>IF(Raw_Data!T652="","",Raw_Data!T652)</f>
        <v/>
      </c>
      <c r="O649" s="12" t="str">
        <f>IF(Raw_Data!AB652&lt;&gt;"",Raw_Data!AB652,IF(N649="tres_insatisfait",1,IF(N649="insatisfait",2,IF(N649="neutre",3,IF(N649="satisfait",4,IF(N649="tres_satisfait",5,""))))))</f>
        <v/>
      </c>
      <c r="P649" s="12">
        <f>IF(Raw_Data!AL652&lt;&gt;"",Raw_Data!AL652,Raw_Data!R652)</f>
        <v>0</v>
      </c>
      <c r="Q649" s="12">
        <f t="shared" si="92"/>
        <v>0</v>
      </c>
      <c r="R649" s="12" t="str">
        <f>IF(Raw_Data!AM652="","",Raw_Data!AM652)</f>
        <v/>
      </c>
      <c r="S649" s="12" t="str">
        <f t="shared" si="93"/>
        <v/>
      </c>
      <c r="T649" s="12" t="str">
        <f>IF(Raw_Data!AN652="","",Raw_Data!AN652)</f>
        <v/>
      </c>
      <c r="U649" s="12" t="str">
        <f t="shared" si="94"/>
        <v/>
      </c>
      <c r="V649" s="12" t="str">
        <f>IF(Raw_Data!AP652="","",IF(Raw_Data!AP652="oui",1,0))</f>
        <v/>
      </c>
      <c r="W649" s="12" t="str">
        <f>IF(Raw_Data!AQ652="","",IF(Raw_Data!AQ652="oui",1,0))</f>
        <v/>
      </c>
      <c r="X649" s="12" t="str">
        <f>IF(Raw_Data!AR652="","",IF(Raw_Data!AR652="oui",1,0))</f>
        <v/>
      </c>
      <c r="Y649" s="12" t="str">
        <f>IF(Raw_Data!AS652="","",IF(Raw_Data!AS652="oui",1,0))</f>
        <v/>
      </c>
      <c r="Z649" s="12" t="str">
        <f>IF(Raw_Data!V652="","",IF(Raw_Data!V652="oui",1,0))</f>
        <v/>
      </c>
      <c r="AA649" s="12" t="str">
        <f>IF(Raw_Data!W652="","",IF(Raw_Data!W652="oui",1,0))</f>
        <v/>
      </c>
      <c r="AB649" s="12" t="str">
        <f>IF(Raw_Data!Q652="","",IF(Raw_Data!Q652="oui",1,0))</f>
        <v/>
      </c>
      <c r="AC649" s="12">
        <f>Raw_Data!AF652</f>
        <v>0</v>
      </c>
      <c r="AD649" s="12" t="str">
        <f t="shared" si="95"/>
        <v/>
      </c>
      <c r="AE649" s="12" t="str">
        <f t="shared" si="96"/>
        <v/>
      </c>
      <c r="AF649" s="12" t="str">
        <f t="shared" si="97"/>
        <v/>
      </c>
      <c r="AG649" s="12">
        <f t="shared" si="98"/>
        <v>0</v>
      </c>
    </row>
    <row r="650" spans="1:33" ht="15" customHeight="1" x14ac:dyDescent="0.25">
      <c r="A650" s="12" t="str">
        <f>IF(Raw_Data!B653="","",Raw_Data!B653)</f>
        <v/>
      </c>
      <c r="B650" s="12">
        <f>IF(Raw_Data!X653&lt;&gt;"",Raw_Data!X653,Raw_Data!C653)</f>
        <v>0</v>
      </c>
      <c r="C650" s="12" t="str">
        <f>IF(Raw_Data!G653="","",Raw_Data!G653)</f>
        <v/>
      </c>
      <c r="D650" s="12" t="str">
        <f>IF(Raw_Data!H653="","",Raw_Data!H653)</f>
        <v/>
      </c>
      <c r="E650" s="12" t="str">
        <f>IF(Raw_Data!I653="","",Raw_Data!I653)</f>
        <v/>
      </c>
      <c r="F650" s="12" t="str">
        <f>IF(Raw_Data!J653="","",Raw_Data!J653)</f>
        <v/>
      </c>
      <c r="G650" s="12" t="str">
        <f>IF(Raw_Data!AH653&lt;&gt;"",Raw_Data!AH653,IF(Raw_Data!K653&lt;&gt;"",Raw_Data!K653,""))</f>
        <v/>
      </c>
      <c r="H650" s="12" t="str">
        <f>IF(Raw_Data!AI653&lt;&gt;"",Raw_Data!AI653,IF(Raw_Data!L653&lt;&gt;"",Raw_Data!L653,""))</f>
        <v/>
      </c>
      <c r="I650" s="12" t="str">
        <f t="shared" si="90"/>
        <v/>
      </c>
      <c r="J650" s="12" t="str">
        <f>IF(Raw_Data!M653="","",Raw_Data!M653)</f>
        <v/>
      </c>
      <c r="K650" s="12">
        <f>IF(Raw_Data!AJ653&lt;&gt;"",Raw_Data!AJ653,Raw_Data!N653)</f>
        <v>0</v>
      </c>
      <c r="L650" s="12">
        <f t="shared" si="91"/>
        <v>1</v>
      </c>
      <c r="M650" s="12" t="str">
        <f>IF(Raw_Data!AK653="","",Raw_Data!AK653)</f>
        <v/>
      </c>
      <c r="N650" s="12" t="str">
        <f>IF(Raw_Data!T653="","",Raw_Data!T653)</f>
        <v/>
      </c>
      <c r="O650" s="12" t="str">
        <f>IF(Raw_Data!AB653&lt;&gt;"",Raw_Data!AB653,IF(N650="tres_insatisfait",1,IF(N650="insatisfait",2,IF(N650="neutre",3,IF(N650="satisfait",4,IF(N650="tres_satisfait",5,""))))))</f>
        <v/>
      </c>
      <c r="P650" s="12">
        <f>IF(Raw_Data!AL653&lt;&gt;"",Raw_Data!AL653,Raw_Data!R653)</f>
        <v>0</v>
      </c>
      <c r="Q650" s="12">
        <f t="shared" si="92"/>
        <v>0</v>
      </c>
      <c r="R650" s="12" t="str">
        <f>IF(Raw_Data!AM653="","",Raw_Data!AM653)</f>
        <v/>
      </c>
      <c r="S650" s="12" t="str">
        <f t="shared" si="93"/>
        <v/>
      </c>
      <c r="T650" s="12" t="str">
        <f>IF(Raw_Data!AN653="","",Raw_Data!AN653)</f>
        <v/>
      </c>
      <c r="U650" s="12" t="str">
        <f t="shared" si="94"/>
        <v/>
      </c>
      <c r="V650" s="12" t="str">
        <f>IF(Raw_Data!AP653="","",IF(Raw_Data!AP653="oui",1,0))</f>
        <v/>
      </c>
      <c r="W650" s="12" t="str">
        <f>IF(Raw_Data!AQ653="","",IF(Raw_Data!AQ653="oui",1,0))</f>
        <v/>
      </c>
      <c r="X650" s="12" t="str">
        <f>IF(Raw_Data!AR653="","",IF(Raw_Data!AR653="oui",1,0))</f>
        <v/>
      </c>
      <c r="Y650" s="12" t="str">
        <f>IF(Raw_Data!AS653="","",IF(Raw_Data!AS653="oui",1,0))</f>
        <v/>
      </c>
      <c r="Z650" s="12" t="str">
        <f>IF(Raw_Data!V653="","",IF(Raw_Data!V653="oui",1,0))</f>
        <v/>
      </c>
      <c r="AA650" s="12" t="str">
        <f>IF(Raw_Data!W653="","",IF(Raw_Data!W653="oui",1,0))</f>
        <v/>
      </c>
      <c r="AB650" s="12" t="str">
        <f>IF(Raw_Data!Q653="","",IF(Raw_Data!Q653="oui",1,0))</f>
        <v/>
      </c>
      <c r="AC650" s="12">
        <f>Raw_Data!AF653</f>
        <v>0</v>
      </c>
      <c r="AD650" s="12" t="str">
        <f t="shared" si="95"/>
        <v/>
      </c>
      <c r="AE650" s="12" t="str">
        <f t="shared" si="96"/>
        <v/>
      </c>
      <c r="AF650" s="12" t="str">
        <f t="shared" si="97"/>
        <v/>
      </c>
      <c r="AG650" s="12">
        <f t="shared" si="98"/>
        <v>0</v>
      </c>
    </row>
    <row r="651" spans="1:33" ht="15" customHeight="1" x14ac:dyDescent="0.25">
      <c r="A651" s="12" t="str">
        <f>IF(Raw_Data!B654="","",Raw_Data!B654)</f>
        <v/>
      </c>
      <c r="B651" s="12">
        <f>IF(Raw_Data!X654&lt;&gt;"",Raw_Data!X654,Raw_Data!C654)</f>
        <v>0</v>
      </c>
      <c r="C651" s="12" t="str">
        <f>IF(Raw_Data!G654="","",Raw_Data!G654)</f>
        <v/>
      </c>
      <c r="D651" s="12" t="str">
        <f>IF(Raw_Data!H654="","",Raw_Data!H654)</f>
        <v/>
      </c>
      <c r="E651" s="12" t="str">
        <f>IF(Raw_Data!I654="","",Raw_Data!I654)</f>
        <v/>
      </c>
      <c r="F651" s="12" t="str">
        <f>IF(Raw_Data!J654="","",Raw_Data!J654)</f>
        <v/>
      </c>
      <c r="G651" s="12" t="str">
        <f>IF(Raw_Data!AH654&lt;&gt;"",Raw_Data!AH654,IF(Raw_Data!K654&lt;&gt;"",Raw_Data!K654,""))</f>
        <v/>
      </c>
      <c r="H651" s="12" t="str">
        <f>IF(Raw_Data!AI654&lt;&gt;"",Raw_Data!AI654,IF(Raw_Data!L654&lt;&gt;"",Raw_Data!L654,""))</f>
        <v/>
      </c>
      <c r="I651" s="12" t="str">
        <f t="shared" si="90"/>
        <v/>
      </c>
      <c r="J651" s="12" t="str">
        <f>IF(Raw_Data!M654="","",Raw_Data!M654)</f>
        <v/>
      </c>
      <c r="K651" s="12">
        <f>IF(Raw_Data!AJ654&lt;&gt;"",Raw_Data!AJ654,Raw_Data!N654)</f>
        <v>0</v>
      </c>
      <c r="L651" s="12">
        <f t="shared" si="91"/>
        <v>1</v>
      </c>
      <c r="M651" s="12" t="str">
        <f>IF(Raw_Data!AK654="","",Raw_Data!AK654)</f>
        <v/>
      </c>
      <c r="N651" s="12" t="str">
        <f>IF(Raw_Data!T654="","",Raw_Data!T654)</f>
        <v/>
      </c>
      <c r="O651" s="12" t="str">
        <f>IF(Raw_Data!AB654&lt;&gt;"",Raw_Data!AB654,IF(N651="tres_insatisfait",1,IF(N651="insatisfait",2,IF(N651="neutre",3,IF(N651="satisfait",4,IF(N651="tres_satisfait",5,""))))))</f>
        <v/>
      </c>
      <c r="P651" s="12">
        <f>IF(Raw_Data!AL654&lt;&gt;"",Raw_Data!AL654,Raw_Data!R654)</f>
        <v>0</v>
      </c>
      <c r="Q651" s="12">
        <f t="shared" si="92"/>
        <v>0</v>
      </c>
      <c r="R651" s="12" t="str">
        <f>IF(Raw_Data!AM654="","",Raw_Data!AM654)</f>
        <v/>
      </c>
      <c r="S651" s="12" t="str">
        <f t="shared" si="93"/>
        <v/>
      </c>
      <c r="T651" s="12" t="str">
        <f>IF(Raw_Data!AN654="","",Raw_Data!AN654)</f>
        <v/>
      </c>
      <c r="U651" s="12" t="str">
        <f t="shared" si="94"/>
        <v/>
      </c>
      <c r="V651" s="12" t="str">
        <f>IF(Raw_Data!AP654="","",IF(Raw_Data!AP654="oui",1,0))</f>
        <v/>
      </c>
      <c r="W651" s="12" t="str">
        <f>IF(Raw_Data!AQ654="","",IF(Raw_Data!AQ654="oui",1,0))</f>
        <v/>
      </c>
      <c r="X651" s="12" t="str">
        <f>IF(Raw_Data!AR654="","",IF(Raw_Data!AR654="oui",1,0))</f>
        <v/>
      </c>
      <c r="Y651" s="12" t="str">
        <f>IF(Raw_Data!AS654="","",IF(Raw_Data!AS654="oui",1,0))</f>
        <v/>
      </c>
      <c r="Z651" s="12" t="str">
        <f>IF(Raw_Data!V654="","",IF(Raw_Data!V654="oui",1,0))</f>
        <v/>
      </c>
      <c r="AA651" s="12" t="str">
        <f>IF(Raw_Data!W654="","",IF(Raw_Data!W654="oui",1,0))</f>
        <v/>
      </c>
      <c r="AB651" s="12" t="str">
        <f>IF(Raw_Data!Q654="","",IF(Raw_Data!Q654="oui",1,0))</f>
        <v/>
      </c>
      <c r="AC651" s="12">
        <f>Raw_Data!AF654</f>
        <v>0</v>
      </c>
      <c r="AD651" s="12" t="str">
        <f t="shared" si="95"/>
        <v/>
      </c>
      <c r="AE651" s="12" t="str">
        <f t="shared" si="96"/>
        <v/>
      </c>
      <c r="AF651" s="12" t="str">
        <f t="shared" si="97"/>
        <v/>
      </c>
      <c r="AG651" s="12">
        <f t="shared" si="98"/>
        <v>0</v>
      </c>
    </row>
    <row r="652" spans="1:33" ht="15" customHeight="1" x14ac:dyDescent="0.25">
      <c r="A652" s="12" t="str">
        <f>IF(Raw_Data!B655="","",Raw_Data!B655)</f>
        <v/>
      </c>
      <c r="B652" s="12">
        <f>IF(Raw_Data!X655&lt;&gt;"",Raw_Data!X655,Raw_Data!C655)</f>
        <v>0</v>
      </c>
      <c r="C652" s="12" t="str">
        <f>IF(Raw_Data!G655="","",Raw_Data!G655)</f>
        <v/>
      </c>
      <c r="D652" s="12" t="str">
        <f>IF(Raw_Data!H655="","",Raw_Data!H655)</f>
        <v/>
      </c>
      <c r="E652" s="12" t="str">
        <f>IF(Raw_Data!I655="","",Raw_Data!I655)</f>
        <v/>
      </c>
      <c r="F652" s="12" t="str">
        <f>IF(Raw_Data!J655="","",Raw_Data!J655)</f>
        <v/>
      </c>
      <c r="G652" s="12" t="str">
        <f>IF(Raw_Data!AH655&lt;&gt;"",Raw_Data!AH655,IF(Raw_Data!K655&lt;&gt;"",Raw_Data!K655,""))</f>
        <v/>
      </c>
      <c r="H652" s="12" t="str">
        <f>IF(Raw_Data!AI655&lt;&gt;"",Raw_Data!AI655,IF(Raw_Data!L655&lt;&gt;"",Raw_Data!L655,""))</f>
        <v/>
      </c>
      <c r="I652" s="12" t="str">
        <f t="shared" si="90"/>
        <v/>
      </c>
      <c r="J652" s="12" t="str">
        <f>IF(Raw_Data!M655="","",Raw_Data!M655)</f>
        <v/>
      </c>
      <c r="K652" s="12">
        <f>IF(Raw_Data!AJ655&lt;&gt;"",Raw_Data!AJ655,Raw_Data!N655)</f>
        <v>0</v>
      </c>
      <c r="L652" s="12">
        <f t="shared" si="91"/>
        <v>1</v>
      </c>
      <c r="M652" s="12" t="str">
        <f>IF(Raw_Data!AK655="","",Raw_Data!AK655)</f>
        <v/>
      </c>
      <c r="N652" s="12" t="str">
        <f>IF(Raw_Data!T655="","",Raw_Data!T655)</f>
        <v/>
      </c>
      <c r="O652" s="12" t="str">
        <f>IF(Raw_Data!AB655&lt;&gt;"",Raw_Data!AB655,IF(N652="tres_insatisfait",1,IF(N652="insatisfait",2,IF(N652="neutre",3,IF(N652="satisfait",4,IF(N652="tres_satisfait",5,""))))))</f>
        <v/>
      </c>
      <c r="P652" s="12">
        <f>IF(Raw_Data!AL655&lt;&gt;"",Raw_Data!AL655,Raw_Data!R655)</f>
        <v>0</v>
      </c>
      <c r="Q652" s="12">
        <f t="shared" si="92"/>
        <v>0</v>
      </c>
      <c r="R652" s="12" t="str">
        <f>IF(Raw_Data!AM655="","",Raw_Data!AM655)</f>
        <v/>
      </c>
      <c r="S652" s="12" t="str">
        <f t="shared" si="93"/>
        <v/>
      </c>
      <c r="T652" s="12" t="str">
        <f>IF(Raw_Data!AN655="","",Raw_Data!AN655)</f>
        <v/>
      </c>
      <c r="U652" s="12" t="str">
        <f t="shared" si="94"/>
        <v/>
      </c>
      <c r="V652" s="12" t="str">
        <f>IF(Raw_Data!AP655="","",IF(Raw_Data!AP655="oui",1,0))</f>
        <v/>
      </c>
      <c r="W652" s="12" t="str">
        <f>IF(Raw_Data!AQ655="","",IF(Raw_Data!AQ655="oui",1,0))</f>
        <v/>
      </c>
      <c r="X652" s="12" t="str">
        <f>IF(Raw_Data!AR655="","",IF(Raw_Data!AR655="oui",1,0))</f>
        <v/>
      </c>
      <c r="Y652" s="12" t="str">
        <f>IF(Raw_Data!AS655="","",IF(Raw_Data!AS655="oui",1,0))</f>
        <v/>
      </c>
      <c r="Z652" s="12" t="str">
        <f>IF(Raw_Data!V655="","",IF(Raw_Data!V655="oui",1,0))</f>
        <v/>
      </c>
      <c r="AA652" s="12" t="str">
        <f>IF(Raw_Data!W655="","",IF(Raw_Data!W655="oui",1,0))</f>
        <v/>
      </c>
      <c r="AB652" s="12" t="str">
        <f>IF(Raw_Data!Q655="","",IF(Raw_Data!Q655="oui",1,0))</f>
        <v/>
      </c>
      <c r="AC652" s="12">
        <f>Raw_Data!AF655</f>
        <v>0</v>
      </c>
      <c r="AD652" s="12" t="str">
        <f t="shared" si="95"/>
        <v/>
      </c>
      <c r="AE652" s="12" t="str">
        <f t="shared" si="96"/>
        <v/>
      </c>
      <c r="AF652" s="12" t="str">
        <f t="shared" si="97"/>
        <v/>
      </c>
      <c r="AG652" s="12">
        <f t="shared" si="98"/>
        <v>0</v>
      </c>
    </row>
    <row r="653" spans="1:33" ht="15" customHeight="1" x14ac:dyDescent="0.25">
      <c r="A653" s="12" t="str">
        <f>IF(Raw_Data!B656="","",Raw_Data!B656)</f>
        <v/>
      </c>
      <c r="B653" s="12">
        <f>IF(Raw_Data!X656&lt;&gt;"",Raw_Data!X656,Raw_Data!C656)</f>
        <v>0</v>
      </c>
      <c r="C653" s="12" t="str">
        <f>IF(Raw_Data!G656="","",Raw_Data!G656)</f>
        <v/>
      </c>
      <c r="D653" s="12" t="str">
        <f>IF(Raw_Data!H656="","",Raw_Data!H656)</f>
        <v/>
      </c>
      <c r="E653" s="12" t="str">
        <f>IF(Raw_Data!I656="","",Raw_Data!I656)</f>
        <v/>
      </c>
      <c r="F653" s="12" t="str">
        <f>IF(Raw_Data!J656="","",Raw_Data!J656)</f>
        <v/>
      </c>
      <c r="G653" s="12" t="str">
        <f>IF(Raw_Data!AH656&lt;&gt;"",Raw_Data!AH656,IF(Raw_Data!K656&lt;&gt;"",Raw_Data!K656,""))</f>
        <v/>
      </c>
      <c r="H653" s="12" t="str">
        <f>IF(Raw_Data!AI656&lt;&gt;"",Raw_Data!AI656,IF(Raw_Data!L656&lt;&gt;"",Raw_Data!L656,""))</f>
        <v/>
      </c>
      <c r="I653" s="12" t="str">
        <f t="shared" si="90"/>
        <v/>
      </c>
      <c r="J653" s="12" t="str">
        <f>IF(Raw_Data!M656="","",Raw_Data!M656)</f>
        <v/>
      </c>
      <c r="K653" s="12">
        <f>IF(Raw_Data!AJ656&lt;&gt;"",Raw_Data!AJ656,Raw_Data!N656)</f>
        <v>0</v>
      </c>
      <c r="L653" s="12">
        <f t="shared" si="91"/>
        <v>1</v>
      </c>
      <c r="M653" s="12" t="str">
        <f>IF(Raw_Data!AK656="","",Raw_Data!AK656)</f>
        <v/>
      </c>
      <c r="N653" s="12" t="str">
        <f>IF(Raw_Data!T656="","",Raw_Data!T656)</f>
        <v/>
      </c>
      <c r="O653" s="12" t="str">
        <f>IF(Raw_Data!AB656&lt;&gt;"",Raw_Data!AB656,IF(N653="tres_insatisfait",1,IF(N653="insatisfait",2,IF(N653="neutre",3,IF(N653="satisfait",4,IF(N653="tres_satisfait",5,""))))))</f>
        <v/>
      </c>
      <c r="P653" s="12">
        <f>IF(Raw_Data!AL656&lt;&gt;"",Raw_Data!AL656,Raw_Data!R656)</f>
        <v>0</v>
      </c>
      <c r="Q653" s="12">
        <f t="shared" si="92"/>
        <v>0</v>
      </c>
      <c r="R653" s="12" t="str">
        <f>IF(Raw_Data!AM656="","",Raw_Data!AM656)</f>
        <v/>
      </c>
      <c r="S653" s="12" t="str">
        <f t="shared" si="93"/>
        <v/>
      </c>
      <c r="T653" s="12" t="str">
        <f>IF(Raw_Data!AN656="","",Raw_Data!AN656)</f>
        <v/>
      </c>
      <c r="U653" s="12" t="str">
        <f t="shared" si="94"/>
        <v/>
      </c>
      <c r="V653" s="12" t="str">
        <f>IF(Raw_Data!AP656="","",IF(Raw_Data!AP656="oui",1,0))</f>
        <v/>
      </c>
      <c r="W653" s="12" t="str">
        <f>IF(Raw_Data!AQ656="","",IF(Raw_Data!AQ656="oui",1,0))</f>
        <v/>
      </c>
      <c r="X653" s="12" t="str">
        <f>IF(Raw_Data!AR656="","",IF(Raw_Data!AR656="oui",1,0))</f>
        <v/>
      </c>
      <c r="Y653" s="12" t="str">
        <f>IF(Raw_Data!AS656="","",IF(Raw_Data!AS656="oui",1,0))</f>
        <v/>
      </c>
      <c r="Z653" s="12" t="str">
        <f>IF(Raw_Data!V656="","",IF(Raw_Data!V656="oui",1,0))</f>
        <v/>
      </c>
      <c r="AA653" s="12" t="str">
        <f>IF(Raw_Data!W656="","",IF(Raw_Data!W656="oui",1,0))</f>
        <v/>
      </c>
      <c r="AB653" s="12" t="str">
        <f>IF(Raw_Data!Q656="","",IF(Raw_Data!Q656="oui",1,0))</f>
        <v/>
      </c>
      <c r="AC653" s="12">
        <f>Raw_Data!AF656</f>
        <v>0</v>
      </c>
      <c r="AD653" s="12" t="str">
        <f t="shared" si="95"/>
        <v/>
      </c>
      <c r="AE653" s="12" t="str">
        <f t="shared" si="96"/>
        <v/>
      </c>
      <c r="AF653" s="12" t="str">
        <f t="shared" si="97"/>
        <v/>
      </c>
      <c r="AG653" s="12">
        <f t="shared" si="98"/>
        <v>0</v>
      </c>
    </row>
    <row r="654" spans="1:33" ht="15" customHeight="1" x14ac:dyDescent="0.25">
      <c r="A654" s="12" t="str">
        <f>IF(Raw_Data!B657="","",Raw_Data!B657)</f>
        <v/>
      </c>
      <c r="B654" s="12">
        <f>IF(Raw_Data!X657&lt;&gt;"",Raw_Data!X657,Raw_Data!C657)</f>
        <v>0</v>
      </c>
      <c r="C654" s="12" t="str">
        <f>IF(Raw_Data!G657="","",Raw_Data!G657)</f>
        <v/>
      </c>
      <c r="D654" s="12" t="str">
        <f>IF(Raw_Data!H657="","",Raw_Data!H657)</f>
        <v/>
      </c>
      <c r="E654" s="12" t="str">
        <f>IF(Raw_Data!I657="","",Raw_Data!I657)</f>
        <v/>
      </c>
      <c r="F654" s="12" t="str">
        <f>IF(Raw_Data!J657="","",Raw_Data!J657)</f>
        <v/>
      </c>
      <c r="G654" s="12" t="str">
        <f>IF(Raw_Data!AH657&lt;&gt;"",Raw_Data!AH657,IF(Raw_Data!K657&lt;&gt;"",Raw_Data!K657,""))</f>
        <v/>
      </c>
      <c r="H654" s="12" t="str">
        <f>IF(Raw_Data!AI657&lt;&gt;"",Raw_Data!AI657,IF(Raw_Data!L657&lt;&gt;"",Raw_Data!L657,""))</f>
        <v/>
      </c>
      <c r="I654" s="12" t="str">
        <f t="shared" si="90"/>
        <v/>
      </c>
      <c r="J654" s="12" t="str">
        <f>IF(Raw_Data!M657="","",Raw_Data!M657)</f>
        <v/>
      </c>
      <c r="K654" s="12">
        <f>IF(Raw_Data!AJ657&lt;&gt;"",Raw_Data!AJ657,Raw_Data!N657)</f>
        <v>0</v>
      </c>
      <c r="L654" s="12">
        <f t="shared" si="91"/>
        <v>1</v>
      </c>
      <c r="M654" s="12" t="str">
        <f>IF(Raw_Data!AK657="","",Raw_Data!AK657)</f>
        <v/>
      </c>
      <c r="N654" s="12" t="str">
        <f>IF(Raw_Data!T657="","",Raw_Data!T657)</f>
        <v/>
      </c>
      <c r="O654" s="12" t="str">
        <f>IF(Raw_Data!AB657&lt;&gt;"",Raw_Data!AB657,IF(N654="tres_insatisfait",1,IF(N654="insatisfait",2,IF(N654="neutre",3,IF(N654="satisfait",4,IF(N654="tres_satisfait",5,""))))))</f>
        <v/>
      </c>
      <c r="P654" s="12">
        <f>IF(Raw_Data!AL657&lt;&gt;"",Raw_Data!AL657,Raw_Data!R657)</f>
        <v>0</v>
      </c>
      <c r="Q654" s="12">
        <f t="shared" si="92"/>
        <v>0</v>
      </c>
      <c r="R654" s="12" t="str">
        <f>IF(Raw_Data!AM657="","",Raw_Data!AM657)</f>
        <v/>
      </c>
      <c r="S654" s="12" t="str">
        <f t="shared" si="93"/>
        <v/>
      </c>
      <c r="T654" s="12" t="str">
        <f>IF(Raw_Data!AN657="","",Raw_Data!AN657)</f>
        <v/>
      </c>
      <c r="U654" s="12" t="str">
        <f t="shared" si="94"/>
        <v/>
      </c>
      <c r="V654" s="12" t="str">
        <f>IF(Raw_Data!AP657="","",IF(Raw_Data!AP657="oui",1,0))</f>
        <v/>
      </c>
      <c r="W654" s="12" t="str">
        <f>IF(Raw_Data!AQ657="","",IF(Raw_Data!AQ657="oui",1,0))</f>
        <v/>
      </c>
      <c r="X654" s="12" t="str">
        <f>IF(Raw_Data!AR657="","",IF(Raw_Data!AR657="oui",1,0))</f>
        <v/>
      </c>
      <c r="Y654" s="12" t="str">
        <f>IF(Raw_Data!AS657="","",IF(Raw_Data!AS657="oui",1,0))</f>
        <v/>
      </c>
      <c r="Z654" s="12" t="str">
        <f>IF(Raw_Data!V657="","",IF(Raw_Data!V657="oui",1,0))</f>
        <v/>
      </c>
      <c r="AA654" s="12" t="str">
        <f>IF(Raw_Data!W657="","",IF(Raw_Data!W657="oui",1,0))</f>
        <v/>
      </c>
      <c r="AB654" s="12" t="str">
        <f>IF(Raw_Data!Q657="","",IF(Raw_Data!Q657="oui",1,0))</f>
        <v/>
      </c>
      <c r="AC654" s="12">
        <f>Raw_Data!AF657</f>
        <v>0</v>
      </c>
      <c r="AD654" s="12" t="str">
        <f t="shared" si="95"/>
        <v/>
      </c>
      <c r="AE654" s="12" t="str">
        <f t="shared" si="96"/>
        <v/>
      </c>
      <c r="AF654" s="12" t="str">
        <f t="shared" si="97"/>
        <v/>
      </c>
      <c r="AG654" s="12">
        <f t="shared" si="98"/>
        <v>0</v>
      </c>
    </row>
    <row r="655" spans="1:33" ht="15" customHeight="1" x14ac:dyDescent="0.25">
      <c r="A655" s="12" t="str">
        <f>IF(Raw_Data!B658="","",Raw_Data!B658)</f>
        <v/>
      </c>
      <c r="B655" s="12">
        <f>IF(Raw_Data!X658&lt;&gt;"",Raw_Data!X658,Raw_Data!C658)</f>
        <v>0</v>
      </c>
      <c r="C655" s="12" t="str">
        <f>IF(Raw_Data!G658="","",Raw_Data!G658)</f>
        <v/>
      </c>
      <c r="D655" s="12" t="str">
        <f>IF(Raw_Data!H658="","",Raw_Data!H658)</f>
        <v/>
      </c>
      <c r="E655" s="12" t="str">
        <f>IF(Raw_Data!I658="","",Raw_Data!I658)</f>
        <v/>
      </c>
      <c r="F655" s="12" t="str">
        <f>IF(Raw_Data!J658="","",Raw_Data!J658)</f>
        <v/>
      </c>
      <c r="G655" s="12" t="str">
        <f>IF(Raw_Data!AH658&lt;&gt;"",Raw_Data!AH658,IF(Raw_Data!K658&lt;&gt;"",Raw_Data!K658,""))</f>
        <v/>
      </c>
      <c r="H655" s="12" t="str">
        <f>IF(Raw_Data!AI658&lt;&gt;"",Raw_Data!AI658,IF(Raw_Data!L658&lt;&gt;"",Raw_Data!L658,""))</f>
        <v/>
      </c>
      <c r="I655" s="12" t="str">
        <f t="shared" si="90"/>
        <v/>
      </c>
      <c r="J655" s="12" t="str">
        <f>IF(Raw_Data!M658="","",Raw_Data!M658)</f>
        <v/>
      </c>
      <c r="K655" s="12">
        <f>IF(Raw_Data!AJ658&lt;&gt;"",Raw_Data!AJ658,Raw_Data!N658)</f>
        <v>0</v>
      </c>
      <c r="L655" s="12">
        <f t="shared" si="91"/>
        <v>1</v>
      </c>
      <c r="M655" s="12" t="str">
        <f>IF(Raw_Data!AK658="","",Raw_Data!AK658)</f>
        <v/>
      </c>
      <c r="N655" s="12" t="str">
        <f>IF(Raw_Data!T658="","",Raw_Data!T658)</f>
        <v/>
      </c>
      <c r="O655" s="12" t="str">
        <f>IF(Raw_Data!AB658&lt;&gt;"",Raw_Data!AB658,IF(N655="tres_insatisfait",1,IF(N655="insatisfait",2,IF(N655="neutre",3,IF(N655="satisfait",4,IF(N655="tres_satisfait",5,""))))))</f>
        <v/>
      </c>
      <c r="P655" s="12">
        <f>IF(Raw_Data!AL658&lt;&gt;"",Raw_Data!AL658,Raw_Data!R658)</f>
        <v>0</v>
      </c>
      <c r="Q655" s="12">
        <f t="shared" si="92"/>
        <v>0</v>
      </c>
      <c r="R655" s="12" t="str">
        <f>IF(Raw_Data!AM658="","",Raw_Data!AM658)</f>
        <v/>
      </c>
      <c r="S655" s="12" t="str">
        <f t="shared" si="93"/>
        <v/>
      </c>
      <c r="T655" s="12" t="str">
        <f>IF(Raw_Data!AN658="","",Raw_Data!AN658)</f>
        <v/>
      </c>
      <c r="U655" s="12" t="str">
        <f t="shared" si="94"/>
        <v/>
      </c>
      <c r="V655" s="12" t="str">
        <f>IF(Raw_Data!AP658="","",IF(Raw_Data!AP658="oui",1,0))</f>
        <v/>
      </c>
      <c r="W655" s="12" t="str">
        <f>IF(Raw_Data!AQ658="","",IF(Raw_Data!AQ658="oui",1,0))</f>
        <v/>
      </c>
      <c r="X655" s="12" t="str">
        <f>IF(Raw_Data!AR658="","",IF(Raw_Data!AR658="oui",1,0))</f>
        <v/>
      </c>
      <c r="Y655" s="12" t="str">
        <f>IF(Raw_Data!AS658="","",IF(Raw_Data!AS658="oui",1,0))</f>
        <v/>
      </c>
      <c r="Z655" s="12" t="str">
        <f>IF(Raw_Data!V658="","",IF(Raw_Data!V658="oui",1,0))</f>
        <v/>
      </c>
      <c r="AA655" s="12" t="str">
        <f>IF(Raw_Data!W658="","",IF(Raw_Data!W658="oui",1,0))</f>
        <v/>
      </c>
      <c r="AB655" s="12" t="str">
        <f>IF(Raw_Data!Q658="","",IF(Raw_Data!Q658="oui",1,0))</f>
        <v/>
      </c>
      <c r="AC655" s="12">
        <f>Raw_Data!AF658</f>
        <v>0</v>
      </c>
      <c r="AD655" s="12" t="str">
        <f t="shared" si="95"/>
        <v/>
      </c>
      <c r="AE655" s="12" t="str">
        <f t="shared" si="96"/>
        <v/>
      </c>
      <c r="AF655" s="12" t="str">
        <f t="shared" si="97"/>
        <v/>
      </c>
      <c r="AG655" s="12">
        <f t="shared" si="98"/>
        <v>0</v>
      </c>
    </row>
    <row r="656" spans="1:33" ht="15" customHeight="1" x14ac:dyDescent="0.25">
      <c r="A656" s="12" t="str">
        <f>IF(Raw_Data!B659="","",Raw_Data!B659)</f>
        <v/>
      </c>
      <c r="B656" s="12">
        <f>IF(Raw_Data!X659&lt;&gt;"",Raw_Data!X659,Raw_Data!C659)</f>
        <v>0</v>
      </c>
      <c r="C656" s="12" t="str">
        <f>IF(Raw_Data!G659="","",Raw_Data!G659)</f>
        <v/>
      </c>
      <c r="D656" s="12" t="str">
        <f>IF(Raw_Data!H659="","",Raw_Data!H659)</f>
        <v/>
      </c>
      <c r="E656" s="12" t="str">
        <f>IF(Raw_Data!I659="","",Raw_Data!I659)</f>
        <v/>
      </c>
      <c r="F656" s="12" t="str">
        <f>IF(Raw_Data!J659="","",Raw_Data!J659)</f>
        <v/>
      </c>
      <c r="G656" s="12" t="str">
        <f>IF(Raw_Data!AH659&lt;&gt;"",Raw_Data!AH659,IF(Raw_Data!K659&lt;&gt;"",Raw_Data!K659,""))</f>
        <v/>
      </c>
      <c r="H656" s="12" t="str">
        <f>IF(Raw_Data!AI659&lt;&gt;"",Raw_Data!AI659,IF(Raw_Data!L659&lt;&gt;"",Raw_Data!L659,""))</f>
        <v/>
      </c>
      <c r="I656" s="12" t="str">
        <f t="shared" si="90"/>
        <v/>
      </c>
      <c r="J656" s="12" t="str">
        <f>IF(Raw_Data!M659="","",Raw_Data!M659)</f>
        <v/>
      </c>
      <c r="K656" s="12">
        <f>IF(Raw_Data!AJ659&lt;&gt;"",Raw_Data!AJ659,Raw_Data!N659)</f>
        <v>0</v>
      </c>
      <c r="L656" s="12">
        <f t="shared" si="91"/>
        <v>1</v>
      </c>
      <c r="M656" s="12" t="str">
        <f>IF(Raw_Data!AK659="","",Raw_Data!AK659)</f>
        <v/>
      </c>
      <c r="N656" s="12" t="str">
        <f>IF(Raw_Data!T659="","",Raw_Data!T659)</f>
        <v/>
      </c>
      <c r="O656" s="12" t="str">
        <f>IF(Raw_Data!AB659&lt;&gt;"",Raw_Data!AB659,IF(N656="tres_insatisfait",1,IF(N656="insatisfait",2,IF(N656="neutre",3,IF(N656="satisfait",4,IF(N656="tres_satisfait",5,""))))))</f>
        <v/>
      </c>
      <c r="P656" s="12">
        <f>IF(Raw_Data!AL659&lt;&gt;"",Raw_Data!AL659,Raw_Data!R659)</f>
        <v>0</v>
      </c>
      <c r="Q656" s="12">
        <f t="shared" si="92"/>
        <v>0</v>
      </c>
      <c r="R656" s="12" t="str">
        <f>IF(Raw_Data!AM659="","",Raw_Data!AM659)</f>
        <v/>
      </c>
      <c r="S656" s="12" t="str">
        <f t="shared" si="93"/>
        <v/>
      </c>
      <c r="T656" s="12" t="str">
        <f>IF(Raw_Data!AN659="","",Raw_Data!AN659)</f>
        <v/>
      </c>
      <c r="U656" s="12" t="str">
        <f t="shared" si="94"/>
        <v/>
      </c>
      <c r="V656" s="12" t="str">
        <f>IF(Raw_Data!AP659="","",IF(Raw_Data!AP659="oui",1,0))</f>
        <v/>
      </c>
      <c r="W656" s="12" t="str">
        <f>IF(Raw_Data!AQ659="","",IF(Raw_Data!AQ659="oui",1,0))</f>
        <v/>
      </c>
      <c r="X656" s="12" t="str">
        <f>IF(Raw_Data!AR659="","",IF(Raw_Data!AR659="oui",1,0))</f>
        <v/>
      </c>
      <c r="Y656" s="12" t="str">
        <f>IF(Raw_Data!AS659="","",IF(Raw_Data!AS659="oui",1,0))</f>
        <v/>
      </c>
      <c r="Z656" s="12" t="str">
        <f>IF(Raw_Data!V659="","",IF(Raw_Data!V659="oui",1,0))</f>
        <v/>
      </c>
      <c r="AA656" s="12" t="str">
        <f>IF(Raw_Data!W659="","",IF(Raw_Data!W659="oui",1,0))</f>
        <v/>
      </c>
      <c r="AB656" s="12" t="str">
        <f>IF(Raw_Data!Q659="","",IF(Raw_Data!Q659="oui",1,0))</f>
        <v/>
      </c>
      <c r="AC656" s="12">
        <f>Raw_Data!AF659</f>
        <v>0</v>
      </c>
      <c r="AD656" s="12" t="str">
        <f t="shared" si="95"/>
        <v/>
      </c>
      <c r="AE656" s="12" t="str">
        <f t="shared" si="96"/>
        <v/>
      </c>
      <c r="AF656" s="12" t="str">
        <f t="shared" si="97"/>
        <v/>
      </c>
      <c r="AG656" s="12">
        <f t="shared" si="98"/>
        <v>0</v>
      </c>
    </row>
    <row r="657" spans="1:33" ht="15" customHeight="1" x14ac:dyDescent="0.25">
      <c r="A657" s="12" t="str">
        <f>IF(Raw_Data!B660="","",Raw_Data!B660)</f>
        <v/>
      </c>
      <c r="B657" s="12">
        <f>IF(Raw_Data!X660&lt;&gt;"",Raw_Data!X660,Raw_Data!C660)</f>
        <v>0</v>
      </c>
      <c r="C657" s="12" t="str">
        <f>IF(Raw_Data!G660="","",Raw_Data!G660)</f>
        <v/>
      </c>
      <c r="D657" s="12" t="str">
        <f>IF(Raw_Data!H660="","",Raw_Data!H660)</f>
        <v/>
      </c>
      <c r="E657" s="12" t="str">
        <f>IF(Raw_Data!I660="","",Raw_Data!I660)</f>
        <v/>
      </c>
      <c r="F657" s="12" t="str">
        <f>IF(Raw_Data!J660="","",Raw_Data!J660)</f>
        <v/>
      </c>
      <c r="G657" s="12" t="str">
        <f>IF(Raw_Data!AH660&lt;&gt;"",Raw_Data!AH660,IF(Raw_Data!K660&lt;&gt;"",Raw_Data!K660,""))</f>
        <v/>
      </c>
      <c r="H657" s="12" t="str">
        <f>IF(Raw_Data!AI660&lt;&gt;"",Raw_Data!AI660,IF(Raw_Data!L660&lt;&gt;"",Raw_Data!L660,""))</f>
        <v/>
      </c>
      <c r="I657" s="12" t="str">
        <f t="shared" si="90"/>
        <v/>
      </c>
      <c r="J657" s="12" t="str">
        <f>IF(Raw_Data!M660="","",Raw_Data!M660)</f>
        <v/>
      </c>
      <c r="K657" s="12">
        <f>IF(Raw_Data!AJ660&lt;&gt;"",Raw_Data!AJ660,Raw_Data!N660)</f>
        <v>0</v>
      </c>
      <c r="L657" s="12">
        <f t="shared" si="91"/>
        <v>1</v>
      </c>
      <c r="M657" s="12" t="str">
        <f>IF(Raw_Data!AK660="","",Raw_Data!AK660)</f>
        <v/>
      </c>
      <c r="N657" s="12" t="str">
        <f>IF(Raw_Data!T660="","",Raw_Data!T660)</f>
        <v/>
      </c>
      <c r="O657" s="12" t="str">
        <f>IF(Raw_Data!AB660&lt;&gt;"",Raw_Data!AB660,IF(N657="tres_insatisfait",1,IF(N657="insatisfait",2,IF(N657="neutre",3,IF(N657="satisfait",4,IF(N657="tres_satisfait",5,""))))))</f>
        <v/>
      </c>
      <c r="P657" s="12">
        <f>IF(Raw_Data!AL660&lt;&gt;"",Raw_Data!AL660,Raw_Data!R660)</f>
        <v>0</v>
      </c>
      <c r="Q657" s="12">
        <f t="shared" si="92"/>
        <v>0</v>
      </c>
      <c r="R657" s="12" t="str">
        <f>IF(Raw_Data!AM660="","",Raw_Data!AM660)</f>
        <v/>
      </c>
      <c r="S657" s="12" t="str">
        <f t="shared" si="93"/>
        <v/>
      </c>
      <c r="T657" s="12" t="str">
        <f>IF(Raw_Data!AN660="","",Raw_Data!AN660)</f>
        <v/>
      </c>
      <c r="U657" s="12" t="str">
        <f t="shared" si="94"/>
        <v/>
      </c>
      <c r="V657" s="12" t="str">
        <f>IF(Raw_Data!AP660="","",IF(Raw_Data!AP660="oui",1,0))</f>
        <v/>
      </c>
      <c r="W657" s="12" t="str">
        <f>IF(Raw_Data!AQ660="","",IF(Raw_Data!AQ660="oui",1,0))</f>
        <v/>
      </c>
      <c r="X657" s="12" t="str">
        <f>IF(Raw_Data!AR660="","",IF(Raw_Data!AR660="oui",1,0))</f>
        <v/>
      </c>
      <c r="Y657" s="12" t="str">
        <f>IF(Raw_Data!AS660="","",IF(Raw_Data!AS660="oui",1,0))</f>
        <v/>
      </c>
      <c r="Z657" s="12" t="str">
        <f>IF(Raw_Data!V660="","",IF(Raw_Data!V660="oui",1,0))</f>
        <v/>
      </c>
      <c r="AA657" s="12" t="str">
        <f>IF(Raw_Data!W660="","",IF(Raw_Data!W660="oui",1,0))</f>
        <v/>
      </c>
      <c r="AB657" s="12" t="str">
        <f>IF(Raw_Data!Q660="","",IF(Raw_Data!Q660="oui",1,0))</f>
        <v/>
      </c>
      <c r="AC657" s="12">
        <f>Raw_Data!AF660</f>
        <v>0</v>
      </c>
      <c r="AD657" s="12" t="str">
        <f t="shared" si="95"/>
        <v/>
      </c>
      <c r="AE657" s="12" t="str">
        <f t="shared" si="96"/>
        <v/>
      </c>
      <c r="AF657" s="12" t="str">
        <f t="shared" si="97"/>
        <v/>
      </c>
      <c r="AG657" s="12">
        <f t="shared" si="98"/>
        <v>0</v>
      </c>
    </row>
    <row r="658" spans="1:33" ht="15" customHeight="1" x14ac:dyDescent="0.25">
      <c r="A658" s="12" t="str">
        <f>IF(Raw_Data!B661="","",Raw_Data!B661)</f>
        <v/>
      </c>
      <c r="B658" s="12">
        <f>IF(Raw_Data!X661&lt;&gt;"",Raw_Data!X661,Raw_Data!C661)</f>
        <v>0</v>
      </c>
      <c r="C658" s="12" t="str">
        <f>IF(Raw_Data!G661="","",Raw_Data!G661)</f>
        <v/>
      </c>
      <c r="D658" s="12" t="str">
        <f>IF(Raw_Data!H661="","",Raw_Data!H661)</f>
        <v/>
      </c>
      <c r="E658" s="12" t="str">
        <f>IF(Raw_Data!I661="","",Raw_Data!I661)</f>
        <v/>
      </c>
      <c r="F658" s="12" t="str">
        <f>IF(Raw_Data!J661="","",Raw_Data!J661)</f>
        <v/>
      </c>
      <c r="G658" s="12" t="str">
        <f>IF(Raw_Data!AH661&lt;&gt;"",Raw_Data!AH661,IF(Raw_Data!K661&lt;&gt;"",Raw_Data!K661,""))</f>
        <v/>
      </c>
      <c r="H658" s="12" t="str">
        <f>IF(Raw_Data!AI661&lt;&gt;"",Raw_Data!AI661,IF(Raw_Data!L661&lt;&gt;"",Raw_Data!L661,""))</f>
        <v/>
      </c>
      <c r="I658" s="12" t="str">
        <f t="shared" si="90"/>
        <v/>
      </c>
      <c r="J658" s="12" t="str">
        <f>IF(Raw_Data!M661="","",Raw_Data!M661)</f>
        <v/>
      </c>
      <c r="K658" s="12">
        <f>IF(Raw_Data!AJ661&lt;&gt;"",Raw_Data!AJ661,Raw_Data!N661)</f>
        <v>0</v>
      </c>
      <c r="L658" s="12">
        <f t="shared" si="91"/>
        <v>1</v>
      </c>
      <c r="M658" s="12" t="str">
        <f>IF(Raw_Data!AK661="","",Raw_Data!AK661)</f>
        <v/>
      </c>
      <c r="N658" s="12" t="str">
        <f>IF(Raw_Data!T661="","",Raw_Data!T661)</f>
        <v/>
      </c>
      <c r="O658" s="12" t="str">
        <f>IF(Raw_Data!AB661&lt;&gt;"",Raw_Data!AB661,IF(N658="tres_insatisfait",1,IF(N658="insatisfait",2,IF(N658="neutre",3,IF(N658="satisfait",4,IF(N658="tres_satisfait",5,""))))))</f>
        <v/>
      </c>
      <c r="P658" s="12">
        <f>IF(Raw_Data!AL661&lt;&gt;"",Raw_Data!AL661,Raw_Data!R661)</f>
        <v>0</v>
      </c>
      <c r="Q658" s="12">
        <f t="shared" si="92"/>
        <v>0</v>
      </c>
      <c r="R658" s="12" t="str">
        <f>IF(Raw_Data!AM661="","",Raw_Data!AM661)</f>
        <v/>
      </c>
      <c r="S658" s="12" t="str">
        <f t="shared" si="93"/>
        <v/>
      </c>
      <c r="T658" s="12" t="str">
        <f>IF(Raw_Data!AN661="","",Raw_Data!AN661)</f>
        <v/>
      </c>
      <c r="U658" s="12" t="str">
        <f t="shared" si="94"/>
        <v/>
      </c>
      <c r="V658" s="12" t="str">
        <f>IF(Raw_Data!AP661="","",IF(Raw_Data!AP661="oui",1,0))</f>
        <v/>
      </c>
      <c r="W658" s="12" t="str">
        <f>IF(Raw_Data!AQ661="","",IF(Raw_Data!AQ661="oui",1,0))</f>
        <v/>
      </c>
      <c r="X658" s="12" t="str">
        <f>IF(Raw_Data!AR661="","",IF(Raw_Data!AR661="oui",1,0))</f>
        <v/>
      </c>
      <c r="Y658" s="12" t="str">
        <f>IF(Raw_Data!AS661="","",IF(Raw_Data!AS661="oui",1,0))</f>
        <v/>
      </c>
      <c r="Z658" s="12" t="str">
        <f>IF(Raw_Data!V661="","",IF(Raw_Data!V661="oui",1,0))</f>
        <v/>
      </c>
      <c r="AA658" s="12" t="str">
        <f>IF(Raw_Data!W661="","",IF(Raw_Data!W661="oui",1,0))</f>
        <v/>
      </c>
      <c r="AB658" s="12" t="str">
        <f>IF(Raw_Data!Q661="","",IF(Raw_Data!Q661="oui",1,0))</f>
        <v/>
      </c>
      <c r="AC658" s="12">
        <f>Raw_Data!AF661</f>
        <v>0</v>
      </c>
      <c r="AD658" s="12" t="str">
        <f t="shared" si="95"/>
        <v/>
      </c>
      <c r="AE658" s="12" t="str">
        <f t="shared" si="96"/>
        <v/>
      </c>
      <c r="AF658" s="12" t="str">
        <f t="shared" si="97"/>
        <v/>
      </c>
      <c r="AG658" s="12">
        <f t="shared" si="98"/>
        <v>0</v>
      </c>
    </row>
    <row r="659" spans="1:33" ht="15" customHeight="1" x14ac:dyDescent="0.25">
      <c r="A659" s="12" t="str">
        <f>IF(Raw_Data!B662="","",Raw_Data!B662)</f>
        <v/>
      </c>
      <c r="B659" s="12">
        <f>IF(Raw_Data!X662&lt;&gt;"",Raw_Data!X662,Raw_Data!C662)</f>
        <v>0</v>
      </c>
      <c r="C659" s="12" t="str">
        <f>IF(Raw_Data!G662="","",Raw_Data!G662)</f>
        <v/>
      </c>
      <c r="D659" s="12" t="str">
        <f>IF(Raw_Data!H662="","",Raw_Data!H662)</f>
        <v/>
      </c>
      <c r="E659" s="12" t="str">
        <f>IF(Raw_Data!I662="","",Raw_Data!I662)</f>
        <v/>
      </c>
      <c r="F659" s="12" t="str">
        <f>IF(Raw_Data!J662="","",Raw_Data!J662)</f>
        <v/>
      </c>
      <c r="G659" s="12" t="str">
        <f>IF(Raw_Data!AH662&lt;&gt;"",Raw_Data!AH662,IF(Raw_Data!K662&lt;&gt;"",Raw_Data!K662,""))</f>
        <v/>
      </c>
      <c r="H659" s="12" t="str">
        <f>IF(Raw_Data!AI662&lt;&gt;"",Raw_Data!AI662,IF(Raw_Data!L662&lt;&gt;"",Raw_Data!L662,""))</f>
        <v/>
      </c>
      <c r="I659" s="12" t="str">
        <f t="shared" si="90"/>
        <v/>
      </c>
      <c r="J659" s="12" t="str">
        <f>IF(Raw_Data!M662="","",Raw_Data!M662)</f>
        <v/>
      </c>
      <c r="K659" s="12">
        <f>IF(Raw_Data!AJ662&lt;&gt;"",Raw_Data!AJ662,Raw_Data!N662)</f>
        <v>0</v>
      </c>
      <c r="L659" s="12">
        <f t="shared" si="91"/>
        <v>1</v>
      </c>
      <c r="M659" s="12" t="str">
        <f>IF(Raw_Data!AK662="","",Raw_Data!AK662)</f>
        <v/>
      </c>
      <c r="N659" s="12" t="str">
        <f>IF(Raw_Data!T662="","",Raw_Data!T662)</f>
        <v/>
      </c>
      <c r="O659" s="12" t="str">
        <f>IF(Raw_Data!AB662&lt;&gt;"",Raw_Data!AB662,IF(N659="tres_insatisfait",1,IF(N659="insatisfait",2,IF(N659="neutre",3,IF(N659="satisfait",4,IF(N659="tres_satisfait",5,""))))))</f>
        <v/>
      </c>
      <c r="P659" s="12">
        <f>IF(Raw_Data!AL662&lt;&gt;"",Raw_Data!AL662,Raw_Data!R662)</f>
        <v>0</v>
      </c>
      <c r="Q659" s="12">
        <f t="shared" si="92"/>
        <v>0</v>
      </c>
      <c r="R659" s="12" t="str">
        <f>IF(Raw_Data!AM662="","",Raw_Data!AM662)</f>
        <v/>
      </c>
      <c r="S659" s="12" t="str">
        <f t="shared" si="93"/>
        <v/>
      </c>
      <c r="T659" s="12" t="str">
        <f>IF(Raw_Data!AN662="","",Raw_Data!AN662)</f>
        <v/>
      </c>
      <c r="U659" s="12" t="str">
        <f t="shared" si="94"/>
        <v/>
      </c>
      <c r="V659" s="12" t="str">
        <f>IF(Raw_Data!AP662="","",IF(Raw_Data!AP662="oui",1,0))</f>
        <v/>
      </c>
      <c r="W659" s="12" t="str">
        <f>IF(Raw_Data!AQ662="","",IF(Raw_Data!AQ662="oui",1,0))</f>
        <v/>
      </c>
      <c r="X659" s="12" t="str">
        <f>IF(Raw_Data!AR662="","",IF(Raw_Data!AR662="oui",1,0))</f>
        <v/>
      </c>
      <c r="Y659" s="12" t="str">
        <f>IF(Raw_Data!AS662="","",IF(Raw_Data!AS662="oui",1,0))</f>
        <v/>
      </c>
      <c r="Z659" s="12" t="str">
        <f>IF(Raw_Data!V662="","",IF(Raw_Data!V662="oui",1,0))</f>
        <v/>
      </c>
      <c r="AA659" s="12" t="str">
        <f>IF(Raw_Data!W662="","",IF(Raw_Data!W662="oui",1,0))</f>
        <v/>
      </c>
      <c r="AB659" s="12" t="str">
        <f>IF(Raw_Data!Q662="","",IF(Raw_Data!Q662="oui",1,0))</f>
        <v/>
      </c>
      <c r="AC659" s="12">
        <f>Raw_Data!AF662</f>
        <v>0</v>
      </c>
      <c r="AD659" s="12" t="str">
        <f t="shared" si="95"/>
        <v/>
      </c>
      <c r="AE659" s="12" t="str">
        <f t="shared" si="96"/>
        <v/>
      </c>
      <c r="AF659" s="12" t="str">
        <f t="shared" si="97"/>
        <v/>
      </c>
      <c r="AG659" s="12">
        <f t="shared" si="98"/>
        <v>0</v>
      </c>
    </row>
    <row r="660" spans="1:33" ht="15" customHeight="1" x14ac:dyDescent="0.25">
      <c r="A660" s="12" t="str">
        <f>IF(Raw_Data!B663="","",Raw_Data!B663)</f>
        <v/>
      </c>
      <c r="B660" s="12">
        <f>IF(Raw_Data!X663&lt;&gt;"",Raw_Data!X663,Raw_Data!C663)</f>
        <v>0</v>
      </c>
      <c r="C660" s="12" t="str">
        <f>IF(Raw_Data!G663="","",Raw_Data!G663)</f>
        <v/>
      </c>
      <c r="D660" s="12" t="str">
        <f>IF(Raw_Data!H663="","",Raw_Data!H663)</f>
        <v/>
      </c>
      <c r="E660" s="12" t="str">
        <f>IF(Raw_Data!I663="","",Raw_Data!I663)</f>
        <v/>
      </c>
      <c r="F660" s="12" t="str">
        <f>IF(Raw_Data!J663="","",Raw_Data!J663)</f>
        <v/>
      </c>
      <c r="G660" s="12" t="str">
        <f>IF(Raw_Data!AH663&lt;&gt;"",Raw_Data!AH663,IF(Raw_Data!K663&lt;&gt;"",Raw_Data!K663,""))</f>
        <v/>
      </c>
      <c r="H660" s="12" t="str">
        <f>IF(Raw_Data!AI663&lt;&gt;"",Raw_Data!AI663,IF(Raw_Data!L663&lt;&gt;"",Raw_Data!L663,""))</f>
        <v/>
      </c>
      <c r="I660" s="12" t="str">
        <f t="shared" si="90"/>
        <v/>
      </c>
      <c r="J660" s="12" t="str">
        <f>IF(Raw_Data!M663="","",Raw_Data!M663)</f>
        <v/>
      </c>
      <c r="K660" s="12">
        <f>IF(Raw_Data!AJ663&lt;&gt;"",Raw_Data!AJ663,Raw_Data!N663)</f>
        <v>0</v>
      </c>
      <c r="L660" s="12">
        <f t="shared" si="91"/>
        <v>1</v>
      </c>
      <c r="M660" s="12" t="str">
        <f>IF(Raw_Data!AK663="","",Raw_Data!AK663)</f>
        <v/>
      </c>
      <c r="N660" s="12" t="str">
        <f>IF(Raw_Data!T663="","",Raw_Data!T663)</f>
        <v/>
      </c>
      <c r="O660" s="12" t="str">
        <f>IF(Raw_Data!AB663&lt;&gt;"",Raw_Data!AB663,IF(N660="tres_insatisfait",1,IF(N660="insatisfait",2,IF(N660="neutre",3,IF(N660="satisfait",4,IF(N660="tres_satisfait",5,""))))))</f>
        <v/>
      </c>
      <c r="P660" s="12">
        <f>IF(Raw_Data!AL663&lt;&gt;"",Raw_Data!AL663,Raw_Data!R663)</f>
        <v>0</v>
      </c>
      <c r="Q660" s="12">
        <f t="shared" si="92"/>
        <v>0</v>
      </c>
      <c r="R660" s="12" t="str">
        <f>IF(Raw_Data!AM663="","",Raw_Data!AM663)</f>
        <v/>
      </c>
      <c r="S660" s="12" t="str">
        <f t="shared" si="93"/>
        <v/>
      </c>
      <c r="T660" s="12" t="str">
        <f>IF(Raw_Data!AN663="","",Raw_Data!AN663)</f>
        <v/>
      </c>
      <c r="U660" s="12" t="str">
        <f t="shared" si="94"/>
        <v/>
      </c>
      <c r="V660" s="12" t="str">
        <f>IF(Raw_Data!AP663="","",IF(Raw_Data!AP663="oui",1,0))</f>
        <v/>
      </c>
      <c r="W660" s="12" t="str">
        <f>IF(Raw_Data!AQ663="","",IF(Raw_Data!AQ663="oui",1,0))</f>
        <v/>
      </c>
      <c r="X660" s="12" t="str">
        <f>IF(Raw_Data!AR663="","",IF(Raw_Data!AR663="oui",1,0))</f>
        <v/>
      </c>
      <c r="Y660" s="12" t="str">
        <f>IF(Raw_Data!AS663="","",IF(Raw_Data!AS663="oui",1,0))</f>
        <v/>
      </c>
      <c r="Z660" s="12" t="str">
        <f>IF(Raw_Data!V663="","",IF(Raw_Data!V663="oui",1,0))</f>
        <v/>
      </c>
      <c r="AA660" s="12" t="str">
        <f>IF(Raw_Data!W663="","",IF(Raw_Data!W663="oui",1,0))</f>
        <v/>
      </c>
      <c r="AB660" s="12" t="str">
        <f>IF(Raw_Data!Q663="","",IF(Raw_Data!Q663="oui",1,0))</f>
        <v/>
      </c>
      <c r="AC660" s="12">
        <f>Raw_Data!AF663</f>
        <v>0</v>
      </c>
      <c r="AD660" s="12" t="str">
        <f t="shared" si="95"/>
        <v/>
      </c>
      <c r="AE660" s="12" t="str">
        <f t="shared" si="96"/>
        <v/>
      </c>
      <c r="AF660" s="12" t="str">
        <f t="shared" si="97"/>
        <v/>
      </c>
      <c r="AG660" s="12">
        <f t="shared" si="98"/>
        <v>0</v>
      </c>
    </row>
    <row r="661" spans="1:33" ht="15" customHeight="1" x14ac:dyDescent="0.25">
      <c r="A661" s="12" t="str">
        <f>IF(Raw_Data!B664="","",Raw_Data!B664)</f>
        <v/>
      </c>
      <c r="B661" s="12">
        <f>IF(Raw_Data!X664&lt;&gt;"",Raw_Data!X664,Raw_Data!C664)</f>
        <v>0</v>
      </c>
      <c r="C661" s="12" t="str">
        <f>IF(Raw_Data!G664="","",Raw_Data!G664)</f>
        <v/>
      </c>
      <c r="D661" s="12" t="str">
        <f>IF(Raw_Data!H664="","",Raw_Data!H664)</f>
        <v/>
      </c>
      <c r="E661" s="12" t="str">
        <f>IF(Raw_Data!I664="","",Raw_Data!I664)</f>
        <v/>
      </c>
      <c r="F661" s="12" t="str">
        <f>IF(Raw_Data!J664="","",Raw_Data!J664)</f>
        <v/>
      </c>
      <c r="G661" s="12" t="str">
        <f>IF(Raw_Data!AH664&lt;&gt;"",Raw_Data!AH664,IF(Raw_Data!K664&lt;&gt;"",Raw_Data!K664,""))</f>
        <v/>
      </c>
      <c r="H661" s="12" t="str">
        <f>IF(Raw_Data!AI664&lt;&gt;"",Raw_Data!AI664,IF(Raw_Data!L664&lt;&gt;"",Raw_Data!L664,""))</f>
        <v/>
      </c>
      <c r="I661" s="12" t="str">
        <f t="shared" si="90"/>
        <v/>
      </c>
      <c r="J661" s="12" t="str">
        <f>IF(Raw_Data!M664="","",Raw_Data!M664)</f>
        <v/>
      </c>
      <c r="K661" s="12">
        <f>IF(Raw_Data!AJ664&lt;&gt;"",Raw_Data!AJ664,Raw_Data!N664)</f>
        <v>0</v>
      </c>
      <c r="L661" s="12">
        <f t="shared" si="91"/>
        <v>1</v>
      </c>
      <c r="M661" s="12" t="str">
        <f>IF(Raw_Data!AK664="","",Raw_Data!AK664)</f>
        <v/>
      </c>
      <c r="N661" s="12" t="str">
        <f>IF(Raw_Data!T664="","",Raw_Data!T664)</f>
        <v/>
      </c>
      <c r="O661" s="12" t="str">
        <f>IF(Raw_Data!AB664&lt;&gt;"",Raw_Data!AB664,IF(N661="tres_insatisfait",1,IF(N661="insatisfait",2,IF(N661="neutre",3,IF(N661="satisfait",4,IF(N661="tres_satisfait",5,""))))))</f>
        <v/>
      </c>
      <c r="P661" s="12">
        <f>IF(Raw_Data!AL664&lt;&gt;"",Raw_Data!AL664,Raw_Data!R664)</f>
        <v>0</v>
      </c>
      <c r="Q661" s="12">
        <f t="shared" si="92"/>
        <v>0</v>
      </c>
      <c r="R661" s="12" t="str">
        <f>IF(Raw_Data!AM664="","",Raw_Data!AM664)</f>
        <v/>
      </c>
      <c r="S661" s="12" t="str">
        <f t="shared" si="93"/>
        <v/>
      </c>
      <c r="T661" s="12" t="str">
        <f>IF(Raw_Data!AN664="","",Raw_Data!AN664)</f>
        <v/>
      </c>
      <c r="U661" s="12" t="str">
        <f t="shared" si="94"/>
        <v/>
      </c>
      <c r="V661" s="12" t="str">
        <f>IF(Raw_Data!AP664="","",IF(Raw_Data!AP664="oui",1,0))</f>
        <v/>
      </c>
      <c r="W661" s="12" t="str">
        <f>IF(Raw_Data!AQ664="","",IF(Raw_Data!AQ664="oui",1,0))</f>
        <v/>
      </c>
      <c r="X661" s="12" t="str">
        <f>IF(Raw_Data!AR664="","",IF(Raw_Data!AR664="oui",1,0))</f>
        <v/>
      </c>
      <c r="Y661" s="12" t="str">
        <f>IF(Raw_Data!AS664="","",IF(Raw_Data!AS664="oui",1,0))</f>
        <v/>
      </c>
      <c r="Z661" s="12" t="str">
        <f>IF(Raw_Data!V664="","",IF(Raw_Data!V664="oui",1,0))</f>
        <v/>
      </c>
      <c r="AA661" s="12" t="str">
        <f>IF(Raw_Data!W664="","",IF(Raw_Data!W664="oui",1,0))</f>
        <v/>
      </c>
      <c r="AB661" s="12" t="str">
        <f>IF(Raw_Data!Q664="","",IF(Raw_Data!Q664="oui",1,0))</f>
        <v/>
      </c>
      <c r="AC661" s="12">
        <f>Raw_Data!AF664</f>
        <v>0</v>
      </c>
      <c r="AD661" s="12" t="str">
        <f t="shared" si="95"/>
        <v/>
      </c>
      <c r="AE661" s="12" t="str">
        <f t="shared" si="96"/>
        <v/>
      </c>
      <c r="AF661" s="12" t="str">
        <f t="shared" si="97"/>
        <v/>
      </c>
      <c r="AG661" s="12">
        <f t="shared" si="98"/>
        <v>0</v>
      </c>
    </row>
    <row r="662" spans="1:33" ht="15" customHeight="1" x14ac:dyDescent="0.25">
      <c r="A662" s="12" t="str">
        <f>IF(Raw_Data!B665="","",Raw_Data!B665)</f>
        <v/>
      </c>
      <c r="B662" s="12">
        <f>IF(Raw_Data!X665&lt;&gt;"",Raw_Data!X665,Raw_Data!C665)</f>
        <v>0</v>
      </c>
      <c r="C662" s="12" t="str">
        <f>IF(Raw_Data!G665="","",Raw_Data!G665)</f>
        <v/>
      </c>
      <c r="D662" s="12" t="str">
        <f>IF(Raw_Data!H665="","",Raw_Data!H665)</f>
        <v/>
      </c>
      <c r="E662" s="12" t="str">
        <f>IF(Raw_Data!I665="","",Raw_Data!I665)</f>
        <v/>
      </c>
      <c r="F662" s="12" t="str">
        <f>IF(Raw_Data!J665="","",Raw_Data!J665)</f>
        <v/>
      </c>
      <c r="G662" s="12" t="str">
        <f>IF(Raw_Data!AH665&lt;&gt;"",Raw_Data!AH665,IF(Raw_Data!K665&lt;&gt;"",Raw_Data!K665,""))</f>
        <v/>
      </c>
      <c r="H662" s="12" t="str">
        <f>IF(Raw_Data!AI665&lt;&gt;"",Raw_Data!AI665,IF(Raw_Data!L665&lt;&gt;"",Raw_Data!L665,""))</f>
        <v/>
      </c>
      <c r="I662" s="12" t="str">
        <f t="shared" si="90"/>
        <v/>
      </c>
      <c r="J662" s="12" t="str">
        <f>IF(Raw_Data!M665="","",Raw_Data!M665)</f>
        <v/>
      </c>
      <c r="K662" s="12">
        <f>IF(Raw_Data!AJ665&lt;&gt;"",Raw_Data!AJ665,Raw_Data!N665)</f>
        <v>0</v>
      </c>
      <c r="L662" s="12">
        <f t="shared" si="91"/>
        <v>1</v>
      </c>
      <c r="M662" s="12" t="str">
        <f>IF(Raw_Data!AK665="","",Raw_Data!AK665)</f>
        <v/>
      </c>
      <c r="N662" s="12" t="str">
        <f>IF(Raw_Data!T665="","",Raw_Data!T665)</f>
        <v/>
      </c>
      <c r="O662" s="12" t="str">
        <f>IF(Raw_Data!AB665&lt;&gt;"",Raw_Data!AB665,IF(N662="tres_insatisfait",1,IF(N662="insatisfait",2,IF(N662="neutre",3,IF(N662="satisfait",4,IF(N662="tres_satisfait",5,""))))))</f>
        <v/>
      </c>
      <c r="P662" s="12">
        <f>IF(Raw_Data!AL665&lt;&gt;"",Raw_Data!AL665,Raw_Data!R665)</f>
        <v>0</v>
      </c>
      <c r="Q662" s="12">
        <f t="shared" si="92"/>
        <v>0</v>
      </c>
      <c r="R662" s="12" t="str">
        <f>IF(Raw_Data!AM665="","",Raw_Data!AM665)</f>
        <v/>
      </c>
      <c r="S662" s="12" t="str">
        <f t="shared" si="93"/>
        <v/>
      </c>
      <c r="T662" s="12" t="str">
        <f>IF(Raw_Data!AN665="","",Raw_Data!AN665)</f>
        <v/>
      </c>
      <c r="U662" s="12" t="str">
        <f t="shared" si="94"/>
        <v/>
      </c>
      <c r="V662" s="12" t="str">
        <f>IF(Raw_Data!AP665="","",IF(Raw_Data!AP665="oui",1,0))</f>
        <v/>
      </c>
      <c r="W662" s="12" t="str">
        <f>IF(Raw_Data!AQ665="","",IF(Raw_Data!AQ665="oui",1,0))</f>
        <v/>
      </c>
      <c r="X662" s="12" t="str">
        <f>IF(Raw_Data!AR665="","",IF(Raw_Data!AR665="oui",1,0))</f>
        <v/>
      </c>
      <c r="Y662" s="12" t="str">
        <f>IF(Raw_Data!AS665="","",IF(Raw_Data!AS665="oui",1,0))</f>
        <v/>
      </c>
      <c r="Z662" s="12" t="str">
        <f>IF(Raw_Data!V665="","",IF(Raw_Data!V665="oui",1,0))</f>
        <v/>
      </c>
      <c r="AA662" s="12" t="str">
        <f>IF(Raw_Data!W665="","",IF(Raw_Data!W665="oui",1,0))</f>
        <v/>
      </c>
      <c r="AB662" s="12" t="str">
        <f>IF(Raw_Data!Q665="","",IF(Raw_Data!Q665="oui",1,0))</f>
        <v/>
      </c>
      <c r="AC662" s="12">
        <f>Raw_Data!AF665</f>
        <v>0</v>
      </c>
      <c r="AD662" s="12" t="str">
        <f t="shared" si="95"/>
        <v/>
      </c>
      <c r="AE662" s="12" t="str">
        <f t="shared" si="96"/>
        <v/>
      </c>
      <c r="AF662" s="12" t="str">
        <f t="shared" si="97"/>
        <v/>
      </c>
      <c r="AG662" s="12">
        <f t="shared" si="98"/>
        <v>0</v>
      </c>
    </row>
    <row r="663" spans="1:33" ht="15" customHeight="1" x14ac:dyDescent="0.25">
      <c r="A663" s="12" t="str">
        <f>IF(Raw_Data!B666="","",Raw_Data!B666)</f>
        <v/>
      </c>
      <c r="B663" s="12">
        <f>IF(Raw_Data!X666&lt;&gt;"",Raw_Data!X666,Raw_Data!C666)</f>
        <v>0</v>
      </c>
      <c r="C663" s="12" t="str">
        <f>IF(Raw_Data!G666="","",Raw_Data!G666)</f>
        <v/>
      </c>
      <c r="D663" s="12" t="str">
        <f>IF(Raw_Data!H666="","",Raw_Data!H666)</f>
        <v/>
      </c>
      <c r="E663" s="12" t="str">
        <f>IF(Raw_Data!I666="","",Raw_Data!I666)</f>
        <v/>
      </c>
      <c r="F663" s="12" t="str">
        <f>IF(Raw_Data!J666="","",Raw_Data!J666)</f>
        <v/>
      </c>
      <c r="G663" s="12" t="str">
        <f>IF(Raw_Data!AH666&lt;&gt;"",Raw_Data!AH666,IF(Raw_Data!K666&lt;&gt;"",Raw_Data!K666,""))</f>
        <v/>
      </c>
      <c r="H663" s="12" t="str">
        <f>IF(Raw_Data!AI666&lt;&gt;"",Raw_Data!AI666,IF(Raw_Data!L666&lt;&gt;"",Raw_Data!L666,""))</f>
        <v/>
      </c>
      <c r="I663" s="12" t="str">
        <f t="shared" si="90"/>
        <v/>
      </c>
      <c r="J663" s="12" t="str">
        <f>IF(Raw_Data!M666="","",Raw_Data!M666)</f>
        <v/>
      </c>
      <c r="K663" s="12">
        <f>IF(Raw_Data!AJ666&lt;&gt;"",Raw_Data!AJ666,Raw_Data!N666)</f>
        <v>0</v>
      </c>
      <c r="L663" s="12">
        <f t="shared" si="91"/>
        <v>1</v>
      </c>
      <c r="M663" s="12" t="str">
        <f>IF(Raw_Data!AK666="","",Raw_Data!AK666)</f>
        <v/>
      </c>
      <c r="N663" s="12" t="str">
        <f>IF(Raw_Data!T666="","",Raw_Data!T666)</f>
        <v/>
      </c>
      <c r="O663" s="12" t="str">
        <f>IF(Raw_Data!AB666&lt;&gt;"",Raw_Data!AB666,IF(N663="tres_insatisfait",1,IF(N663="insatisfait",2,IF(N663="neutre",3,IF(N663="satisfait",4,IF(N663="tres_satisfait",5,""))))))</f>
        <v/>
      </c>
      <c r="P663" s="12">
        <f>IF(Raw_Data!AL666&lt;&gt;"",Raw_Data!AL666,Raw_Data!R666)</f>
        <v>0</v>
      </c>
      <c r="Q663" s="12">
        <f t="shared" si="92"/>
        <v>0</v>
      </c>
      <c r="R663" s="12" t="str">
        <f>IF(Raw_Data!AM666="","",Raw_Data!AM666)</f>
        <v/>
      </c>
      <c r="S663" s="12" t="str">
        <f t="shared" si="93"/>
        <v/>
      </c>
      <c r="T663" s="12" t="str">
        <f>IF(Raw_Data!AN666="","",Raw_Data!AN666)</f>
        <v/>
      </c>
      <c r="U663" s="12" t="str">
        <f t="shared" si="94"/>
        <v/>
      </c>
      <c r="V663" s="12" t="str">
        <f>IF(Raw_Data!AP666="","",IF(Raw_Data!AP666="oui",1,0))</f>
        <v/>
      </c>
      <c r="W663" s="12" t="str">
        <f>IF(Raw_Data!AQ666="","",IF(Raw_Data!AQ666="oui",1,0))</f>
        <v/>
      </c>
      <c r="X663" s="12" t="str">
        <f>IF(Raw_Data!AR666="","",IF(Raw_Data!AR666="oui",1,0))</f>
        <v/>
      </c>
      <c r="Y663" s="12" t="str">
        <f>IF(Raw_Data!AS666="","",IF(Raw_Data!AS666="oui",1,0))</f>
        <v/>
      </c>
      <c r="Z663" s="12" t="str">
        <f>IF(Raw_Data!V666="","",IF(Raw_Data!V666="oui",1,0))</f>
        <v/>
      </c>
      <c r="AA663" s="12" t="str">
        <f>IF(Raw_Data!W666="","",IF(Raw_Data!W666="oui",1,0))</f>
        <v/>
      </c>
      <c r="AB663" s="12" t="str">
        <f>IF(Raw_Data!Q666="","",IF(Raw_Data!Q666="oui",1,0))</f>
        <v/>
      </c>
      <c r="AC663" s="12">
        <f>Raw_Data!AF666</f>
        <v>0</v>
      </c>
      <c r="AD663" s="12" t="str">
        <f t="shared" si="95"/>
        <v/>
      </c>
      <c r="AE663" s="12" t="str">
        <f t="shared" si="96"/>
        <v/>
      </c>
      <c r="AF663" s="12" t="str">
        <f t="shared" si="97"/>
        <v/>
      </c>
      <c r="AG663" s="12">
        <f t="shared" si="98"/>
        <v>0</v>
      </c>
    </row>
    <row r="664" spans="1:33" ht="15" customHeight="1" x14ac:dyDescent="0.25">
      <c r="A664" s="12" t="str">
        <f>IF(Raw_Data!B667="","",Raw_Data!B667)</f>
        <v/>
      </c>
      <c r="B664" s="12">
        <f>IF(Raw_Data!X667&lt;&gt;"",Raw_Data!X667,Raw_Data!C667)</f>
        <v>0</v>
      </c>
      <c r="C664" s="12" t="str">
        <f>IF(Raw_Data!G667="","",Raw_Data!G667)</f>
        <v/>
      </c>
      <c r="D664" s="12" t="str">
        <f>IF(Raw_Data!H667="","",Raw_Data!H667)</f>
        <v/>
      </c>
      <c r="E664" s="12" t="str">
        <f>IF(Raw_Data!I667="","",Raw_Data!I667)</f>
        <v/>
      </c>
      <c r="F664" s="12" t="str">
        <f>IF(Raw_Data!J667="","",Raw_Data!J667)</f>
        <v/>
      </c>
      <c r="G664" s="12" t="str">
        <f>IF(Raw_Data!AH667&lt;&gt;"",Raw_Data!AH667,IF(Raw_Data!K667&lt;&gt;"",Raw_Data!K667,""))</f>
        <v/>
      </c>
      <c r="H664" s="12" t="str">
        <f>IF(Raw_Data!AI667&lt;&gt;"",Raw_Data!AI667,IF(Raw_Data!L667&lt;&gt;"",Raw_Data!L667,""))</f>
        <v/>
      </c>
      <c r="I664" s="12" t="str">
        <f t="shared" si="90"/>
        <v/>
      </c>
      <c r="J664" s="12" t="str">
        <f>IF(Raw_Data!M667="","",Raw_Data!M667)</f>
        <v/>
      </c>
      <c r="K664" s="12">
        <f>IF(Raw_Data!AJ667&lt;&gt;"",Raw_Data!AJ667,Raw_Data!N667)</f>
        <v>0</v>
      </c>
      <c r="L664" s="12">
        <f t="shared" si="91"/>
        <v>1</v>
      </c>
      <c r="M664" s="12" t="str">
        <f>IF(Raw_Data!AK667="","",Raw_Data!AK667)</f>
        <v/>
      </c>
      <c r="N664" s="12" t="str">
        <f>IF(Raw_Data!T667="","",Raw_Data!T667)</f>
        <v/>
      </c>
      <c r="O664" s="12" t="str">
        <f>IF(Raw_Data!AB667&lt;&gt;"",Raw_Data!AB667,IF(N664="tres_insatisfait",1,IF(N664="insatisfait",2,IF(N664="neutre",3,IF(N664="satisfait",4,IF(N664="tres_satisfait",5,""))))))</f>
        <v/>
      </c>
      <c r="P664" s="12">
        <f>IF(Raw_Data!AL667&lt;&gt;"",Raw_Data!AL667,Raw_Data!R667)</f>
        <v>0</v>
      </c>
      <c r="Q664" s="12">
        <f t="shared" si="92"/>
        <v>0</v>
      </c>
      <c r="R664" s="12" t="str">
        <f>IF(Raw_Data!AM667="","",Raw_Data!AM667)</f>
        <v/>
      </c>
      <c r="S664" s="12" t="str">
        <f t="shared" si="93"/>
        <v/>
      </c>
      <c r="T664" s="12" t="str">
        <f>IF(Raw_Data!AN667="","",Raw_Data!AN667)</f>
        <v/>
      </c>
      <c r="U664" s="12" t="str">
        <f t="shared" si="94"/>
        <v/>
      </c>
      <c r="V664" s="12" t="str">
        <f>IF(Raw_Data!AP667="","",IF(Raw_Data!AP667="oui",1,0))</f>
        <v/>
      </c>
      <c r="W664" s="12" t="str">
        <f>IF(Raw_Data!AQ667="","",IF(Raw_Data!AQ667="oui",1,0))</f>
        <v/>
      </c>
      <c r="X664" s="12" t="str">
        <f>IF(Raw_Data!AR667="","",IF(Raw_Data!AR667="oui",1,0))</f>
        <v/>
      </c>
      <c r="Y664" s="12" t="str">
        <f>IF(Raw_Data!AS667="","",IF(Raw_Data!AS667="oui",1,0))</f>
        <v/>
      </c>
      <c r="Z664" s="12" t="str">
        <f>IF(Raw_Data!V667="","",IF(Raw_Data!V667="oui",1,0))</f>
        <v/>
      </c>
      <c r="AA664" s="12" t="str">
        <f>IF(Raw_Data!W667="","",IF(Raw_Data!W667="oui",1,0))</f>
        <v/>
      </c>
      <c r="AB664" s="12" t="str">
        <f>IF(Raw_Data!Q667="","",IF(Raw_Data!Q667="oui",1,0))</f>
        <v/>
      </c>
      <c r="AC664" s="12">
        <f>Raw_Data!AF667</f>
        <v>0</v>
      </c>
      <c r="AD664" s="12" t="str">
        <f t="shared" si="95"/>
        <v/>
      </c>
      <c r="AE664" s="12" t="str">
        <f t="shared" si="96"/>
        <v/>
      </c>
      <c r="AF664" s="12" t="str">
        <f t="shared" si="97"/>
        <v/>
      </c>
      <c r="AG664" s="12">
        <f t="shared" si="98"/>
        <v>0</v>
      </c>
    </row>
    <row r="665" spans="1:33" ht="15" customHeight="1" x14ac:dyDescent="0.25">
      <c r="A665" s="12" t="str">
        <f>IF(Raw_Data!B668="","",Raw_Data!B668)</f>
        <v/>
      </c>
      <c r="B665" s="12">
        <f>IF(Raw_Data!X668&lt;&gt;"",Raw_Data!X668,Raw_Data!C668)</f>
        <v>0</v>
      </c>
      <c r="C665" s="12" t="str">
        <f>IF(Raw_Data!G668="","",Raw_Data!G668)</f>
        <v/>
      </c>
      <c r="D665" s="12" t="str">
        <f>IF(Raw_Data!H668="","",Raw_Data!H668)</f>
        <v/>
      </c>
      <c r="E665" s="12" t="str">
        <f>IF(Raw_Data!I668="","",Raw_Data!I668)</f>
        <v/>
      </c>
      <c r="F665" s="12" t="str">
        <f>IF(Raw_Data!J668="","",Raw_Data!J668)</f>
        <v/>
      </c>
      <c r="G665" s="12" t="str">
        <f>IF(Raw_Data!AH668&lt;&gt;"",Raw_Data!AH668,IF(Raw_Data!K668&lt;&gt;"",Raw_Data!K668,""))</f>
        <v/>
      </c>
      <c r="H665" s="12" t="str">
        <f>IF(Raw_Data!AI668&lt;&gt;"",Raw_Data!AI668,IF(Raw_Data!L668&lt;&gt;"",Raw_Data!L668,""))</f>
        <v/>
      </c>
      <c r="I665" s="12" t="str">
        <f t="shared" si="90"/>
        <v/>
      </c>
      <c r="J665" s="12" t="str">
        <f>IF(Raw_Data!M668="","",Raw_Data!M668)</f>
        <v/>
      </c>
      <c r="K665" s="12">
        <f>IF(Raw_Data!AJ668&lt;&gt;"",Raw_Data!AJ668,Raw_Data!N668)</f>
        <v>0</v>
      </c>
      <c r="L665" s="12">
        <f t="shared" si="91"/>
        <v>1</v>
      </c>
      <c r="M665" s="12" t="str">
        <f>IF(Raw_Data!AK668="","",Raw_Data!AK668)</f>
        <v/>
      </c>
      <c r="N665" s="12" t="str">
        <f>IF(Raw_Data!T668="","",Raw_Data!T668)</f>
        <v/>
      </c>
      <c r="O665" s="12" t="str">
        <f>IF(Raw_Data!AB668&lt;&gt;"",Raw_Data!AB668,IF(N665="tres_insatisfait",1,IF(N665="insatisfait",2,IF(N665="neutre",3,IF(N665="satisfait",4,IF(N665="tres_satisfait",5,""))))))</f>
        <v/>
      </c>
      <c r="P665" s="12">
        <f>IF(Raw_Data!AL668&lt;&gt;"",Raw_Data!AL668,Raw_Data!R668)</f>
        <v>0</v>
      </c>
      <c r="Q665" s="12">
        <f t="shared" si="92"/>
        <v>0</v>
      </c>
      <c r="R665" s="12" t="str">
        <f>IF(Raw_Data!AM668="","",Raw_Data!AM668)</f>
        <v/>
      </c>
      <c r="S665" s="12" t="str">
        <f t="shared" si="93"/>
        <v/>
      </c>
      <c r="T665" s="12" t="str">
        <f>IF(Raw_Data!AN668="","",Raw_Data!AN668)</f>
        <v/>
      </c>
      <c r="U665" s="12" t="str">
        <f t="shared" si="94"/>
        <v/>
      </c>
      <c r="V665" s="12" t="str">
        <f>IF(Raw_Data!AP668="","",IF(Raw_Data!AP668="oui",1,0))</f>
        <v/>
      </c>
      <c r="W665" s="12" t="str">
        <f>IF(Raw_Data!AQ668="","",IF(Raw_Data!AQ668="oui",1,0))</f>
        <v/>
      </c>
      <c r="X665" s="12" t="str">
        <f>IF(Raw_Data!AR668="","",IF(Raw_Data!AR668="oui",1,0))</f>
        <v/>
      </c>
      <c r="Y665" s="12" t="str">
        <f>IF(Raw_Data!AS668="","",IF(Raw_Data!AS668="oui",1,0))</f>
        <v/>
      </c>
      <c r="Z665" s="12" t="str">
        <f>IF(Raw_Data!V668="","",IF(Raw_Data!V668="oui",1,0))</f>
        <v/>
      </c>
      <c r="AA665" s="12" t="str">
        <f>IF(Raw_Data!W668="","",IF(Raw_Data!W668="oui",1,0))</f>
        <v/>
      </c>
      <c r="AB665" s="12" t="str">
        <f>IF(Raw_Data!Q668="","",IF(Raw_Data!Q668="oui",1,0))</f>
        <v/>
      </c>
      <c r="AC665" s="12">
        <f>Raw_Data!AF668</f>
        <v>0</v>
      </c>
      <c r="AD665" s="12" t="str">
        <f t="shared" si="95"/>
        <v/>
      </c>
      <c r="AE665" s="12" t="str">
        <f t="shared" si="96"/>
        <v/>
      </c>
      <c r="AF665" s="12" t="str">
        <f t="shared" si="97"/>
        <v/>
      </c>
      <c r="AG665" s="12">
        <f t="shared" si="98"/>
        <v>0</v>
      </c>
    </row>
    <row r="666" spans="1:33" ht="15" customHeight="1" x14ac:dyDescent="0.25">
      <c r="A666" s="12" t="str">
        <f>IF(Raw_Data!B669="","",Raw_Data!B669)</f>
        <v/>
      </c>
      <c r="B666" s="12">
        <f>IF(Raw_Data!X669&lt;&gt;"",Raw_Data!X669,Raw_Data!C669)</f>
        <v>0</v>
      </c>
      <c r="C666" s="12" t="str">
        <f>IF(Raw_Data!G669="","",Raw_Data!G669)</f>
        <v/>
      </c>
      <c r="D666" s="12" t="str">
        <f>IF(Raw_Data!H669="","",Raw_Data!H669)</f>
        <v/>
      </c>
      <c r="E666" s="12" t="str">
        <f>IF(Raw_Data!I669="","",Raw_Data!I669)</f>
        <v/>
      </c>
      <c r="F666" s="12" t="str">
        <f>IF(Raw_Data!J669="","",Raw_Data!J669)</f>
        <v/>
      </c>
      <c r="G666" s="12" t="str">
        <f>IF(Raw_Data!AH669&lt;&gt;"",Raw_Data!AH669,IF(Raw_Data!K669&lt;&gt;"",Raw_Data!K669,""))</f>
        <v/>
      </c>
      <c r="H666" s="12" t="str">
        <f>IF(Raw_Data!AI669&lt;&gt;"",Raw_Data!AI669,IF(Raw_Data!L669&lt;&gt;"",Raw_Data!L669,""))</f>
        <v/>
      </c>
      <c r="I666" s="12" t="str">
        <f t="shared" si="90"/>
        <v/>
      </c>
      <c r="J666" s="12" t="str">
        <f>IF(Raw_Data!M669="","",Raw_Data!M669)</f>
        <v/>
      </c>
      <c r="K666" s="12">
        <f>IF(Raw_Data!AJ669&lt;&gt;"",Raw_Data!AJ669,Raw_Data!N669)</f>
        <v>0</v>
      </c>
      <c r="L666" s="12">
        <f t="shared" si="91"/>
        <v>1</v>
      </c>
      <c r="M666" s="12" t="str">
        <f>IF(Raw_Data!AK669="","",Raw_Data!AK669)</f>
        <v/>
      </c>
      <c r="N666" s="12" t="str">
        <f>IF(Raw_Data!T669="","",Raw_Data!T669)</f>
        <v/>
      </c>
      <c r="O666" s="12" t="str">
        <f>IF(Raw_Data!AB669&lt;&gt;"",Raw_Data!AB669,IF(N666="tres_insatisfait",1,IF(N666="insatisfait",2,IF(N666="neutre",3,IF(N666="satisfait",4,IF(N666="tres_satisfait",5,""))))))</f>
        <v/>
      </c>
      <c r="P666" s="12">
        <f>IF(Raw_Data!AL669&lt;&gt;"",Raw_Data!AL669,Raw_Data!R669)</f>
        <v>0</v>
      </c>
      <c r="Q666" s="12">
        <f t="shared" si="92"/>
        <v>0</v>
      </c>
      <c r="R666" s="12" t="str">
        <f>IF(Raw_Data!AM669="","",Raw_Data!AM669)</f>
        <v/>
      </c>
      <c r="S666" s="12" t="str">
        <f t="shared" si="93"/>
        <v/>
      </c>
      <c r="T666" s="12" t="str">
        <f>IF(Raw_Data!AN669="","",Raw_Data!AN669)</f>
        <v/>
      </c>
      <c r="U666" s="12" t="str">
        <f t="shared" si="94"/>
        <v/>
      </c>
      <c r="V666" s="12" t="str">
        <f>IF(Raw_Data!AP669="","",IF(Raw_Data!AP669="oui",1,0))</f>
        <v/>
      </c>
      <c r="W666" s="12" t="str">
        <f>IF(Raw_Data!AQ669="","",IF(Raw_Data!AQ669="oui",1,0))</f>
        <v/>
      </c>
      <c r="X666" s="12" t="str">
        <f>IF(Raw_Data!AR669="","",IF(Raw_Data!AR669="oui",1,0))</f>
        <v/>
      </c>
      <c r="Y666" s="12" t="str">
        <f>IF(Raw_Data!AS669="","",IF(Raw_Data!AS669="oui",1,0))</f>
        <v/>
      </c>
      <c r="Z666" s="12" t="str">
        <f>IF(Raw_Data!V669="","",IF(Raw_Data!V669="oui",1,0))</f>
        <v/>
      </c>
      <c r="AA666" s="12" t="str">
        <f>IF(Raw_Data!W669="","",IF(Raw_Data!W669="oui",1,0))</f>
        <v/>
      </c>
      <c r="AB666" s="12" t="str">
        <f>IF(Raw_Data!Q669="","",IF(Raw_Data!Q669="oui",1,0))</f>
        <v/>
      </c>
      <c r="AC666" s="12">
        <f>Raw_Data!AF669</f>
        <v>0</v>
      </c>
      <c r="AD666" s="12" t="str">
        <f t="shared" si="95"/>
        <v/>
      </c>
      <c r="AE666" s="12" t="str">
        <f t="shared" si="96"/>
        <v/>
      </c>
      <c r="AF666" s="12" t="str">
        <f t="shared" si="97"/>
        <v/>
      </c>
      <c r="AG666" s="12">
        <f t="shared" si="98"/>
        <v>0</v>
      </c>
    </row>
    <row r="667" spans="1:33" ht="15" customHeight="1" x14ac:dyDescent="0.25">
      <c r="A667" s="12" t="str">
        <f>IF(Raw_Data!B670="","",Raw_Data!B670)</f>
        <v/>
      </c>
      <c r="B667" s="12">
        <f>IF(Raw_Data!X670&lt;&gt;"",Raw_Data!X670,Raw_Data!C670)</f>
        <v>0</v>
      </c>
      <c r="C667" s="12" t="str">
        <f>IF(Raw_Data!G670="","",Raw_Data!G670)</f>
        <v/>
      </c>
      <c r="D667" s="12" t="str">
        <f>IF(Raw_Data!H670="","",Raw_Data!H670)</f>
        <v/>
      </c>
      <c r="E667" s="12" t="str">
        <f>IF(Raw_Data!I670="","",Raw_Data!I670)</f>
        <v/>
      </c>
      <c r="F667" s="12" t="str">
        <f>IF(Raw_Data!J670="","",Raw_Data!J670)</f>
        <v/>
      </c>
      <c r="G667" s="12" t="str">
        <f>IF(Raw_Data!AH670&lt;&gt;"",Raw_Data!AH670,IF(Raw_Data!K670&lt;&gt;"",Raw_Data!K670,""))</f>
        <v/>
      </c>
      <c r="H667" s="12" t="str">
        <f>IF(Raw_Data!AI670&lt;&gt;"",Raw_Data!AI670,IF(Raw_Data!L670&lt;&gt;"",Raw_Data!L670,""))</f>
        <v/>
      </c>
      <c r="I667" s="12" t="str">
        <f t="shared" si="90"/>
        <v/>
      </c>
      <c r="J667" s="12" t="str">
        <f>IF(Raw_Data!M670="","",Raw_Data!M670)</f>
        <v/>
      </c>
      <c r="K667" s="12">
        <f>IF(Raw_Data!AJ670&lt;&gt;"",Raw_Data!AJ670,Raw_Data!N670)</f>
        <v>0</v>
      </c>
      <c r="L667" s="12">
        <f t="shared" si="91"/>
        <v>1</v>
      </c>
      <c r="M667" s="12" t="str">
        <f>IF(Raw_Data!AK670="","",Raw_Data!AK670)</f>
        <v/>
      </c>
      <c r="N667" s="12" t="str">
        <f>IF(Raw_Data!T670="","",Raw_Data!T670)</f>
        <v/>
      </c>
      <c r="O667" s="12" t="str">
        <f>IF(Raw_Data!AB670&lt;&gt;"",Raw_Data!AB670,IF(N667="tres_insatisfait",1,IF(N667="insatisfait",2,IF(N667="neutre",3,IF(N667="satisfait",4,IF(N667="tres_satisfait",5,""))))))</f>
        <v/>
      </c>
      <c r="P667" s="12">
        <f>IF(Raw_Data!AL670&lt;&gt;"",Raw_Data!AL670,Raw_Data!R670)</f>
        <v>0</v>
      </c>
      <c r="Q667" s="12">
        <f t="shared" si="92"/>
        <v>0</v>
      </c>
      <c r="R667" s="12" t="str">
        <f>IF(Raw_Data!AM670="","",Raw_Data!AM670)</f>
        <v/>
      </c>
      <c r="S667" s="12" t="str">
        <f t="shared" si="93"/>
        <v/>
      </c>
      <c r="T667" s="12" t="str">
        <f>IF(Raw_Data!AN670="","",Raw_Data!AN670)</f>
        <v/>
      </c>
      <c r="U667" s="12" t="str">
        <f t="shared" si="94"/>
        <v/>
      </c>
      <c r="V667" s="12" t="str">
        <f>IF(Raw_Data!AP670="","",IF(Raw_Data!AP670="oui",1,0))</f>
        <v/>
      </c>
      <c r="W667" s="12" t="str">
        <f>IF(Raw_Data!AQ670="","",IF(Raw_Data!AQ670="oui",1,0))</f>
        <v/>
      </c>
      <c r="X667" s="12" t="str">
        <f>IF(Raw_Data!AR670="","",IF(Raw_Data!AR670="oui",1,0))</f>
        <v/>
      </c>
      <c r="Y667" s="12" t="str">
        <f>IF(Raw_Data!AS670="","",IF(Raw_Data!AS670="oui",1,0))</f>
        <v/>
      </c>
      <c r="Z667" s="12" t="str">
        <f>IF(Raw_Data!V670="","",IF(Raw_Data!V670="oui",1,0))</f>
        <v/>
      </c>
      <c r="AA667" s="12" t="str">
        <f>IF(Raw_Data!W670="","",IF(Raw_Data!W670="oui",1,0))</f>
        <v/>
      </c>
      <c r="AB667" s="12" t="str">
        <f>IF(Raw_Data!Q670="","",IF(Raw_Data!Q670="oui",1,0))</f>
        <v/>
      </c>
      <c r="AC667" s="12">
        <f>Raw_Data!AF670</f>
        <v>0</v>
      </c>
      <c r="AD667" s="12" t="str">
        <f t="shared" si="95"/>
        <v/>
      </c>
      <c r="AE667" s="12" t="str">
        <f t="shared" si="96"/>
        <v/>
      </c>
      <c r="AF667" s="12" t="str">
        <f t="shared" si="97"/>
        <v/>
      </c>
      <c r="AG667" s="12">
        <f t="shared" si="98"/>
        <v>0</v>
      </c>
    </row>
    <row r="668" spans="1:33" ht="15" customHeight="1" x14ac:dyDescent="0.25">
      <c r="A668" s="12" t="str">
        <f>IF(Raw_Data!B671="","",Raw_Data!B671)</f>
        <v/>
      </c>
      <c r="B668" s="12">
        <f>IF(Raw_Data!X671&lt;&gt;"",Raw_Data!X671,Raw_Data!C671)</f>
        <v>0</v>
      </c>
      <c r="C668" s="12" t="str">
        <f>IF(Raw_Data!G671="","",Raw_Data!G671)</f>
        <v/>
      </c>
      <c r="D668" s="12" t="str">
        <f>IF(Raw_Data!H671="","",Raw_Data!H671)</f>
        <v/>
      </c>
      <c r="E668" s="12" t="str">
        <f>IF(Raw_Data!I671="","",Raw_Data!I671)</f>
        <v/>
      </c>
      <c r="F668" s="12" t="str">
        <f>IF(Raw_Data!J671="","",Raw_Data!J671)</f>
        <v/>
      </c>
      <c r="G668" s="12" t="str">
        <f>IF(Raw_Data!AH671&lt;&gt;"",Raw_Data!AH671,IF(Raw_Data!K671&lt;&gt;"",Raw_Data!K671,""))</f>
        <v/>
      </c>
      <c r="H668" s="12" t="str">
        <f>IF(Raw_Data!AI671&lt;&gt;"",Raw_Data!AI671,IF(Raw_Data!L671&lt;&gt;"",Raw_Data!L671,""))</f>
        <v/>
      </c>
      <c r="I668" s="12" t="str">
        <f t="shared" si="90"/>
        <v/>
      </c>
      <c r="J668" s="12" t="str">
        <f>IF(Raw_Data!M671="","",Raw_Data!M671)</f>
        <v/>
      </c>
      <c r="K668" s="12">
        <f>IF(Raw_Data!AJ671&lt;&gt;"",Raw_Data!AJ671,Raw_Data!N671)</f>
        <v>0</v>
      </c>
      <c r="L668" s="12">
        <f t="shared" si="91"/>
        <v>1</v>
      </c>
      <c r="M668" s="12" t="str">
        <f>IF(Raw_Data!AK671="","",Raw_Data!AK671)</f>
        <v/>
      </c>
      <c r="N668" s="12" t="str">
        <f>IF(Raw_Data!T671="","",Raw_Data!T671)</f>
        <v/>
      </c>
      <c r="O668" s="12" t="str">
        <f>IF(Raw_Data!AB671&lt;&gt;"",Raw_Data!AB671,IF(N668="tres_insatisfait",1,IF(N668="insatisfait",2,IF(N668="neutre",3,IF(N668="satisfait",4,IF(N668="tres_satisfait",5,""))))))</f>
        <v/>
      </c>
      <c r="P668" s="12">
        <f>IF(Raw_Data!AL671&lt;&gt;"",Raw_Data!AL671,Raw_Data!R671)</f>
        <v>0</v>
      </c>
      <c r="Q668" s="12">
        <f t="shared" si="92"/>
        <v>0</v>
      </c>
      <c r="R668" s="12" t="str">
        <f>IF(Raw_Data!AM671="","",Raw_Data!AM671)</f>
        <v/>
      </c>
      <c r="S668" s="12" t="str">
        <f t="shared" si="93"/>
        <v/>
      </c>
      <c r="T668" s="12" t="str">
        <f>IF(Raw_Data!AN671="","",Raw_Data!AN671)</f>
        <v/>
      </c>
      <c r="U668" s="12" t="str">
        <f t="shared" si="94"/>
        <v/>
      </c>
      <c r="V668" s="12" t="str">
        <f>IF(Raw_Data!AP671="","",IF(Raw_Data!AP671="oui",1,0))</f>
        <v/>
      </c>
      <c r="W668" s="12" t="str">
        <f>IF(Raw_Data!AQ671="","",IF(Raw_Data!AQ671="oui",1,0))</f>
        <v/>
      </c>
      <c r="X668" s="12" t="str">
        <f>IF(Raw_Data!AR671="","",IF(Raw_Data!AR671="oui",1,0))</f>
        <v/>
      </c>
      <c r="Y668" s="12" t="str">
        <f>IF(Raw_Data!AS671="","",IF(Raw_Data!AS671="oui",1,0))</f>
        <v/>
      </c>
      <c r="Z668" s="12" t="str">
        <f>IF(Raw_Data!V671="","",IF(Raw_Data!V671="oui",1,0))</f>
        <v/>
      </c>
      <c r="AA668" s="12" t="str">
        <f>IF(Raw_Data!W671="","",IF(Raw_Data!W671="oui",1,0))</f>
        <v/>
      </c>
      <c r="AB668" s="12" t="str">
        <f>IF(Raw_Data!Q671="","",IF(Raw_Data!Q671="oui",1,0))</f>
        <v/>
      </c>
      <c r="AC668" s="12">
        <f>Raw_Data!AF671</f>
        <v>0</v>
      </c>
      <c r="AD668" s="12" t="str">
        <f t="shared" si="95"/>
        <v/>
      </c>
      <c r="AE668" s="12" t="str">
        <f t="shared" si="96"/>
        <v/>
      </c>
      <c r="AF668" s="12" t="str">
        <f t="shared" si="97"/>
        <v/>
      </c>
      <c r="AG668" s="12">
        <f t="shared" si="98"/>
        <v>0</v>
      </c>
    </row>
    <row r="669" spans="1:33" ht="15" customHeight="1" x14ac:dyDescent="0.25">
      <c r="A669" s="12" t="str">
        <f>IF(Raw_Data!B672="","",Raw_Data!B672)</f>
        <v/>
      </c>
      <c r="B669" s="12">
        <f>IF(Raw_Data!X672&lt;&gt;"",Raw_Data!X672,Raw_Data!C672)</f>
        <v>0</v>
      </c>
      <c r="C669" s="12" t="str">
        <f>IF(Raw_Data!G672="","",Raw_Data!G672)</f>
        <v/>
      </c>
      <c r="D669" s="12" t="str">
        <f>IF(Raw_Data!H672="","",Raw_Data!H672)</f>
        <v/>
      </c>
      <c r="E669" s="12" t="str">
        <f>IF(Raw_Data!I672="","",Raw_Data!I672)</f>
        <v/>
      </c>
      <c r="F669" s="12" t="str">
        <f>IF(Raw_Data!J672="","",Raw_Data!J672)</f>
        <v/>
      </c>
      <c r="G669" s="12" t="str">
        <f>IF(Raw_Data!AH672&lt;&gt;"",Raw_Data!AH672,IF(Raw_Data!K672&lt;&gt;"",Raw_Data!K672,""))</f>
        <v/>
      </c>
      <c r="H669" s="12" t="str">
        <f>IF(Raw_Data!AI672&lt;&gt;"",Raw_Data!AI672,IF(Raw_Data!L672&lt;&gt;"",Raw_Data!L672,""))</f>
        <v/>
      </c>
      <c r="I669" s="12" t="str">
        <f t="shared" si="90"/>
        <v/>
      </c>
      <c r="J669" s="12" t="str">
        <f>IF(Raw_Data!M672="","",Raw_Data!M672)</f>
        <v/>
      </c>
      <c r="K669" s="12">
        <f>IF(Raw_Data!AJ672&lt;&gt;"",Raw_Data!AJ672,Raw_Data!N672)</f>
        <v>0</v>
      </c>
      <c r="L669" s="12">
        <f t="shared" si="91"/>
        <v>1</v>
      </c>
      <c r="M669" s="12" t="str">
        <f>IF(Raw_Data!AK672="","",Raw_Data!AK672)</f>
        <v/>
      </c>
      <c r="N669" s="12" t="str">
        <f>IF(Raw_Data!T672="","",Raw_Data!T672)</f>
        <v/>
      </c>
      <c r="O669" s="12" t="str">
        <f>IF(Raw_Data!AB672&lt;&gt;"",Raw_Data!AB672,IF(N669="tres_insatisfait",1,IF(N669="insatisfait",2,IF(N669="neutre",3,IF(N669="satisfait",4,IF(N669="tres_satisfait",5,""))))))</f>
        <v/>
      </c>
      <c r="P669" s="12">
        <f>IF(Raw_Data!AL672&lt;&gt;"",Raw_Data!AL672,Raw_Data!R672)</f>
        <v>0</v>
      </c>
      <c r="Q669" s="12">
        <f t="shared" si="92"/>
        <v>0</v>
      </c>
      <c r="R669" s="12" t="str">
        <f>IF(Raw_Data!AM672="","",Raw_Data!AM672)</f>
        <v/>
      </c>
      <c r="S669" s="12" t="str">
        <f t="shared" si="93"/>
        <v/>
      </c>
      <c r="T669" s="12" t="str">
        <f>IF(Raw_Data!AN672="","",Raw_Data!AN672)</f>
        <v/>
      </c>
      <c r="U669" s="12" t="str">
        <f t="shared" si="94"/>
        <v/>
      </c>
      <c r="V669" s="12" t="str">
        <f>IF(Raw_Data!AP672="","",IF(Raw_Data!AP672="oui",1,0))</f>
        <v/>
      </c>
      <c r="W669" s="12" t="str">
        <f>IF(Raw_Data!AQ672="","",IF(Raw_Data!AQ672="oui",1,0))</f>
        <v/>
      </c>
      <c r="X669" s="12" t="str">
        <f>IF(Raw_Data!AR672="","",IF(Raw_Data!AR672="oui",1,0))</f>
        <v/>
      </c>
      <c r="Y669" s="12" t="str">
        <f>IF(Raw_Data!AS672="","",IF(Raw_Data!AS672="oui",1,0))</f>
        <v/>
      </c>
      <c r="Z669" s="12" t="str">
        <f>IF(Raw_Data!V672="","",IF(Raw_Data!V672="oui",1,0))</f>
        <v/>
      </c>
      <c r="AA669" s="12" t="str">
        <f>IF(Raw_Data!W672="","",IF(Raw_Data!W672="oui",1,0))</f>
        <v/>
      </c>
      <c r="AB669" s="12" t="str">
        <f>IF(Raw_Data!Q672="","",IF(Raw_Data!Q672="oui",1,0))</f>
        <v/>
      </c>
      <c r="AC669" s="12">
        <f>Raw_Data!AF672</f>
        <v>0</v>
      </c>
      <c r="AD669" s="12" t="str">
        <f t="shared" si="95"/>
        <v/>
      </c>
      <c r="AE669" s="12" t="str">
        <f t="shared" si="96"/>
        <v/>
      </c>
      <c r="AF669" s="12" t="str">
        <f t="shared" si="97"/>
        <v/>
      </c>
      <c r="AG669" s="12">
        <f t="shared" si="98"/>
        <v>0</v>
      </c>
    </row>
    <row r="670" spans="1:33" ht="15" customHeight="1" x14ac:dyDescent="0.25">
      <c r="A670" s="12" t="str">
        <f>IF(Raw_Data!B673="","",Raw_Data!B673)</f>
        <v/>
      </c>
      <c r="B670" s="12">
        <f>IF(Raw_Data!X673&lt;&gt;"",Raw_Data!X673,Raw_Data!C673)</f>
        <v>0</v>
      </c>
      <c r="C670" s="12" t="str">
        <f>IF(Raw_Data!G673="","",Raw_Data!G673)</f>
        <v/>
      </c>
      <c r="D670" s="12" t="str">
        <f>IF(Raw_Data!H673="","",Raw_Data!H673)</f>
        <v/>
      </c>
      <c r="E670" s="12" t="str">
        <f>IF(Raw_Data!I673="","",Raw_Data!I673)</f>
        <v/>
      </c>
      <c r="F670" s="12" t="str">
        <f>IF(Raw_Data!J673="","",Raw_Data!J673)</f>
        <v/>
      </c>
      <c r="G670" s="12" t="str">
        <f>IF(Raw_Data!AH673&lt;&gt;"",Raw_Data!AH673,IF(Raw_Data!K673&lt;&gt;"",Raw_Data!K673,""))</f>
        <v/>
      </c>
      <c r="H670" s="12" t="str">
        <f>IF(Raw_Data!AI673&lt;&gt;"",Raw_Data!AI673,IF(Raw_Data!L673&lt;&gt;"",Raw_Data!L673,""))</f>
        <v/>
      </c>
      <c r="I670" s="12" t="str">
        <f t="shared" si="90"/>
        <v/>
      </c>
      <c r="J670" s="12" t="str">
        <f>IF(Raw_Data!M673="","",Raw_Data!M673)</f>
        <v/>
      </c>
      <c r="K670" s="12">
        <f>IF(Raw_Data!AJ673&lt;&gt;"",Raw_Data!AJ673,Raw_Data!N673)</f>
        <v>0</v>
      </c>
      <c r="L670" s="12">
        <f t="shared" si="91"/>
        <v>1</v>
      </c>
      <c r="M670" s="12" t="str">
        <f>IF(Raw_Data!AK673="","",Raw_Data!AK673)</f>
        <v/>
      </c>
      <c r="N670" s="12" t="str">
        <f>IF(Raw_Data!T673="","",Raw_Data!T673)</f>
        <v/>
      </c>
      <c r="O670" s="12" t="str">
        <f>IF(Raw_Data!AB673&lt;&gt;"",Raw_Data!AB673,IF(N670="tres_insatisfait",1,IF(N670="insatisfait",2,IF(N670="neutre",3,IF(N670="satisfait",4,IF(N670="tres_satisfait",5,""))))))</f>
        <v/>
      </c>
      <c r="P670" s="12">
        <f>IF(Raw_Data!AL673&lt;&gt;"",Raw_Data!AL673,Raw_Data!R673)</f>
        <v>0</v>
      </c>
      <c r="Q670" s="12">
        <f t="shared" si="92"/>
        <v>0</v>
      </c>
      <c r="R670" s="12" t="str">
        <f>IF(Raw_Data!AM673="","",Raw_Data!AM673)</f>
        <v/>
      </c>
      <c r="S670" s="12" t="str">
        <f t="shared" si="93"/>
        <v/>
      </c>
      <c r="T670" s="12" t="str">
        <f>IF(Raw_Data!AN673="","",Raw_Data!AN673)</f>
        <v/>
      </c>
      <c r="U670" s="12" t="str">
        <f t="shared" si="94"/>
        <v/>
      </c>
      <c r="V670" s="12" t="str">
        <f>IF(Raw_Data!AP673="","",IF(Raw_Data!AP673="oui",1,0))</f>
        <v/>
      </c>
      <c r="W670" s="12" t="str">
        <f>IF(Raw_Data!AQ673="","",IF(Raw_Data!AQ673="oui",1,0))</f>
        <v/>
      </c>
      <c r="X670" s="12" t="str">
        <f>IF(Raw_Data!AR673="","",IF(Raw_Data!AR673="oui",1,0))</f>
        <v/>
      </c>
      <c r="Y670" s="12" t="str">
        <f>IF(Raw_Data!AS673="","",IF(Raw_Data!AS673="oui",1,0))</f>
        <v/>
      </c>
      <c r="Z670" s="12" t="str">
        <f>IF(Raw_Data!V673="","",IF(Raw_Data!V673="oui",1,0))</f>
        <v/>
      </c>
      <c r="AA670" s="12" t="str">
        <f>IF(Raw_Data!W673="","",IF(Raw_Data!W673="oui",1,0))</f>
        <v/>
      </c>
      <c r="AB670" s="12" t="str">
        <f>IF(Raw_Data!Q673="","",IF(Raw_Data!Q673="oui",1,0))</f>
        <v/>
      </c>
      <c r="AC670" s="12">
        <f>Raw_Data!AF673</f>
        <v>0</v>
      </c>
      <c r="AD670" s="12" t="str">
        <f t="shared" si="95"/>
        <v/>
      </c>
      <c r="AE670" s="12" t="str">
        <f t="shared" si="96"/>
        <v/>
      </c>
      <c r="AF670" s="12" t="str">
        <f t="shared" si="97"/>
        <v/>
      </c>
      <c r="AG670" s="12">
        <f t="shared" si="98"/>
        <v>0</v>
      </c>
    </row>
    <row r="671" spans="1:33" ht="15" customHeight="1" x14ac:dyDescent="0.25">
      <c r="A671" s="12" t="str">
        <f>IF(Raw_Data!B674="","",Raw_Data!B674)</f>
        <v/>
      </c>
      <c r="B671" s="12">
        <f>IF(Raw_Data!X674&lt;&gt;"",Raw_Data!X674,Raw_Data!C674)</f>
        <v>0</v>
      </c>
      <c r="C671" s="12" t="str">
        <f>IF(Raw_Data!G674="","",Raw_Data!G674)</f>
        <v/>
      </c>
      <c r="D671" s="12" t="str">
        <f>IF(Raw_Data!H674="","",Raw_Data!H674)</f>
        <v/>
      </c>
      <c r="E671" s="12" t="str">
        <f>IF(Raw_Data!I674="","",Raw_Data!I674)</f>
        <v/>
      </c>
      <c r="F671" s="12" t="str">
        <f>IF(Raw_Data!J674="","",Raw_Data!J674)</f>
        <v/>
      </c>
      <c r="G671" s="12" t="str">
        <f>IF(Raw_Data!AH674&lt;&gt;"",Raw_Data!AH674,IF(Raw_Data!K674&lt;&gt;"",Raw_Data!K674,""))</f>
        <v/>
      </c>
      <c r="H671" s="12" t="str">
        <f>IF(Raw_Data!AI674&lt;&gt;"",Raw_Data!AI674,IF(Raw_Data!L674&lt;&gt;"",Raw_Data!L674,""))</f>
        <v/>
      </c>
      <c r="I671" s="12" t="str">
        <f t="shared" si="90"/>
        <v/>
      </c>
      <c r="J671" s="12" t="str">
        <f>IF(Raw_Data!M674="","",Raw_Data!M674)</f>
        <v/>
      </c>
      <c r="K671" s="12">
        <f>IF(Raw_Data!AJ674&lt;&gt;"",Raw_Data!AJ674,Raw_Data!N674)</f>
        <v>0</v>
      </c>
      <c r="L671" s="12">
        <f t="shared" si="91"/>
        <v>1</v>
      </c>
      <c r="M671" s="12" t="str">
        <f>IF(Raw_Data!AK674="","",Raw_Data!AK674)</f>
        <v/>
      </c>
      <c r="N671" s="12" t="str">
        <f>IF(Raw_Data!T674="","",Raw_Data!T674)</f>
        <v/>
      </c>
      <c r="O671" s="12" t="str">
        <f>IF(Raw_Data!AB674&lt;&gt;"",Raw_Data!AB674,IF(N671="tres_insatisfait",1,IF(N671="insatisfait",2,IF(N671="neutre",3,IF(N671="satisfait",4,IF(N671="tres_satisfait",5,""))))))</f>
        <v/>
      </c>
      <c r="P671" s="12">
        <f>IF(Raw_Data!AL674&lt;&gt;"",Raw_Data!AL674,Raw_Data!R674)</f>
        <v>0</v>
      </c>
      <c r="Q671" s="12">
        <f t="shared" si="92"/>
        <v>0</v>
      </c>
      <c r="R671" s="12" t="str">
        <f>IF(Raw_Data!AM674="","",Raw_Data!AM674)</f>
        <v/>
      </c>
      <c r="S671" s="12" t="str">
        <f t="shared" si="93"/>
        <v/>
      </c>
      <c r="T671" s="12" t="str">
        <f>IF(Raw_Data!AN674="","",Raw_Data!AN674)</f>
        <v/>
      </c>
      <c r="U671" s="12" t="str">
        <f t="shared" si="94"/>
        <v/>
      </c>
      <c r="V671" s="12" t="str">
        <f>IF(Raw_Data!AP674="","",IF(Raw_Data!AP674="oui",1,0))</f>
        <v/>
      </c>
      <c r="W671" s="12" t="str">
        <f>IF(Raw_Data!AQ674="","",IF(Raw_Data!AQ674="oui",1,0))</f>
        <v/>
      </c>
      <c r="X671" s="12" t="str">
        <f>IF(Raw_Data!AR674="","",IF(Raw_Data!AR674="oui",1,0))</f>
        <v/>
      </c>
      <c r="Y671" s="12" t="str">
        <f>IF(Raw_Data!AS674="","",IF(Raw_Data!AS674="oui",1,0))</f>
        <v/>
      </c>
      <c r="Z671" s="12" t="str">
        <f>IF(Raw_Data!V674="","",IF(Raw_Data!V674="oui",1,0))</f>
        <v/>
      </c>
      <c r="AA671" s="12" t="str">
        <f>IF(Raw_Data!W674="","",IF(Raw_Data!W674="oui",1,0))</f>
        <v/>
      </c>
      <c r="AB671" s="12" t="str">
        <f>IF(Raw_Data!Q674="","",IF(Raw_Data!Q674="oui",1,0))</f>
        <v/>
      </c>
      <c r="AC671" s="12">
        <f>Raw_Data!AF674</f>
        <v>0</v>
      </c>
      <c r="AD671" s="12" t="str">
        <f t="shared" si="95"/>
        <v/>
      </c>
      <c r="AE671" s="12" t="str">
        <f t="shared" si="96"/>
        <v/>
      </c>
      <c r="AF671" s="12" t="str">
        <f t="shared" si="97"/>
        <v/>
      </c>
      <c r="AG671" s="12">
        <f t="shared" si="98"/>
        <v>0</v>
      </c>
    </row>
    <row r="672" spans="1:33" ht="15" customHeight="1" x14ac:dyDescent="0.25">
      <c r="A672" s="12" t="str">
        <f>IF(Raw_Data!B675="","",Raw_Data!B675)</f>
        <v/>
      </c>
      <c r="B672" s="12">
        <f>IF(Raw_Data!X675&lt;&gt;"",Raw_Data!X675,Raw_Data!C675)</f>
        <v>0</v>
      </c>
      <c r="C672" s="12" t="str">
        <f>IF(Raw_Data!G675="","",Raw_Data!G675)</f>
        <v/>
      </c>
      <c r="D672" s="12" t="str">
        <f>IF(Raw_Data!H675="","",Raw_Data!H675)</f>
        <v/>
      </c>
      <c r="E672" s="12" t="str">
        <f>IF(Raw_Data!I675="","",Raw_Data!I675)</f>
        <v/>
      </c>
      <c r="F672" s="12" t="str">
        <f>IF(Raw_Data!J675="","",Raw_Data!J675)</f>
        <v/>
      </c>
      <c r="G672" s="12" t="str">
        <f>IF(Raw_Data!AH675&lt;&gt;"",Raw_Data!AH675,IF(Raw_Data!K675&lt;&gt;"",Raw_Data!K675,""))</f>
        <v/>
      </c>
      <c r="H672" s="12" t="str">
        <f>IF(Raw_Data!AI675&lt;&gt;"",Raw_Data!AI675,IF(Raw_Data!L675&lt;&gt;"",Raw_Data!L675,""))</f>
        <v/>
      </c>
      <c r="I672" s="12" t="str">
        <f t="shared" si="90"/>
        <v/>
      </c>
      <c r="J672" s="12" t="str">
        <f>IF(Raw_Data!M675="","",Raw_Data!M675)</f>
        <v/>
      </c>
      <c r="K672" s="12">
        <f>IF(Raw_Data!AJ675&lt;&gt;"",Raw_Data!AJ675,Raw_Data!N675)</f>
        <v>0</v>
      </c>
      <c r="L672" s="12">
        <f t="shared" si="91"/>
        <v>1</v>
      </c>
      <c r="M672" s="12" t="str">
        <f>IF(Raw_Data!AK675="","",Raw_Data!AK675)</f>
        <v/>
      </c>
      <c r="N672" s="12" t="str">
        <f>IF(Raw_Data!T675="","",Raw_Data!T675)</f>
        <v/>
      </c>
      <c r="O672" s="12" t="str">
        <f>IF(Raw_Data!AB675&lt;&gt;"",Raw_Data!AB675,IF(N672="tres_insatisfait",1,IF(N672="insatisfait",2,IF(N672="neutre",3,IF(N672="satisfait",4,IF(N672="tres_satisfait",5,""))))))</f>
        <v/>
      </c>
      <c r="P672" s="12">
        <f>IF(Raw_Data!AL675&lt;&gt;"",Raw_Data!AL675,Raw_Data!R675)</f>
        <v>0</v>
      </c>
      <c r="Q672" s="12">
        <f t="shared" si="92"/>
        <v>0</v>
      </c>
      <c r="R672" s="12" t="str">
        <f>IF(Raw_Data!AM675="","",Raw_Data!AM675)</f>
        <v/>
      </c>
      <c r="S672" s="12" t="str">
        <f t="shared" si="93"/>
        <v/>
      </c>
      <c r="T672" s="12" t="str">
        <f>IF(Raw_Data!AN675="","",Raw_Data!AN675)</f>
        <v/>
      </c>
      <c r="U672" s="12" t="str">
        <f t="shared" si="94"/>
        <v/>
      </c>
      <c r="V672" s="12" t="str">
        <f>IF(Raw_Data!AP675="","",IF(Raw_Data!AP675="oui",1,0))</f>
        <v/>
      </c>
      <c r="W672" s="12" t="str">
        <f>IF(Raw_Data!AQ675="","",IF(Raw_Data!AQ675="oui",1,0))</f>
        <v/>
      </c>
      <c r="X672" s="12" t="str">
        <f>IF(Raw_Data!AR675="","",IF(Raw_Data!AR675="oui",1,0))</f>
        <v/>
      </c>
      <c r="Y672" s="12" t="str">
        <f>IF(Raw_Data!AS675="","",IF(Raw_Data!AS675="oui",1,0))</f>
        <v/>
      </c>
      <c r="Z672" s="12" t="str">
        <f>IF(Raw_Data!V675="","",IF(Raw_Data!V675="oui",1,0))</f>
        <v/>
      </c>
      <c r="AA672" s="12" t="str">
        <f>IF(Raw_Data!W675="","",IF(Raw_Data!W675="oui",1,0))</f>
        <v/>
      </c>
      <c r="AB672" s="12" t="str">
        <f>IF(Raw_Data!Q675="","",IF(Raw_Data!Q675="oui",1,0))</f>
        <v/>
      </c>
      <c r="AC672" s="12">
        <f>Raw_Data!AF675</f>
        <v>0</v>
      </c>
      <c r="AD672" s="12" t="str">
        <f t="shared" si="95"/>
        <v/>
      </c>
      <c r="AE672" s="12" t="str">
        <f t="shared" si="96"/>
        <v/>
      </c>
      <c r="AF672" s="12" t="str">
        <f t="shared" si="97"/>
        <v/>
      </c>
      <c r="AG672" s="12">
        <f t="shared" si="98"/>
        <v>0</v>
      </c>
    </row>
    <row r="673" spans="1:33" ht="15" customHeight="1" x14ac:dyDescent="0.25">
      <c r="A673" s="12" t="str">
        <f>IF(Raw_Data!B676="","",Raw_Data!B676)</f>
        <v/>
      </c>
      <c r="B673" s="12">
        <f>IF(Raw_Data!X676&lt;&gt;"",Raw_Data!X676,Raw_Data!C676)</f>
        <v>0</v>
      </c>
      <c r="C673" s="12" t="str">
        <f>IF(Raw_Data!G676="","",Raw_Data!G676)</f>
        <v/>
      </c>
      <c r="D673" s="12" t="str">
        <f>IF(Raw_Data!H676="","",Raw_Data!H676)</f>
        <v/>
      </c>
      <c r="E673" s="12" t="str">
        <f>IF(Raw_Data!I676="","",Raw_Data!I676)</f>
        <v/>
      </c>
      <c r="F673" s="12" t="str">
        <f>IF(Raw_Data!J676="","",Raw_Data!J676)</f>
        <v/>
      </c>
      <c r="G673" s="12" t="str">
        <f>IF(Raw_Data!AH676&lt;&gt;"",Raw_Data!AH676,IF(Raw_Data!K676&lt;&gt;"",Raw_Data!K676,""))</f>
        <v/>
      </c>
      <c r="H673" s="12" t="str">
        <f>IF(Raw_Data!AI676&lt;&gt;"",Raw_Data!AI676,IF(Raw_Data!L676&lt;&gt;"",Raw_Data!L676,""))</f>
        <v/>
      </c>
      <c r="I673" s="12" t="str">
        <f t="shared" si="90"/>
        <v/>
      </c>
      <c r="J673" s="12" t="str">
        <f>IF(Raw_Data!M676="","",Raw_Data!M676)</f>
        <v/>
      </c>
      <c r="K673" s="12">
        <f>IF(Raw_Data!AJ676&lt;&gt;"",Raw_Data!AJ676,Raw_Data!N676)</f>
        <v>0</v>
      </c>
      <c r="L673" s="12">
        <f t="shared" si="91"/>
        <v>1</v>
      </c>
      <c r="M673" s="12" t="str">
        <f>IF(Raw_Data!AK676="","",Raw_Data!AK676)</f>
        <v/>
      </c>
      <c r="N673" s="12" t="str">
        <f>IF(Raw_Data!T676="","",Raw_Data!T676)</f>
        <v/>
      </c>
      <c r="O673" s="12" t="str">
        <f>IF(Raw_Data!AB676&lt;&gt;"",Raw_Data!AB676,IF(N673="tres_insatisfait",1,IF(N673="insatisfait",2,IF(N673="neutre",3,IF(N673="satisfait",4,IF(N673="tres_satisfait",5,""))))))</f>
        <v/>
      </c>
      <c r="P673" s="12">
        <f>IF(Raw_Data!AL676&lt;&gt;"",Raw_Data!AL676,Raw_Data!R676)</f>
        <v>0</v>
      </c>
      <c r="Q673" s="12">
        <f t="shared" si="92"/>
        <v>0</v>
      </c>
      <c r="R673" s="12" t="str">
        <f>IF(Raw_Data!AM676="","",Raw_Data!AM676)</f>
        <v/>
      </c>
      <c r="S673" s="12" t="str">
        <f t="shared" si="93"/>
        <v/>
      </c>
      <c r="T673" s="12" t="str">
        <f>IF(Raw_Data!AN676="","",Raw_Data!AN676)</f>
        <v/>
      </c>
      <c r="U673" s="12" t="str">
        <f t="shared" si="94"/>
        <v/>
      </c>
      <c r="V673" s="12" t="str">
        <f>IF(Raw_Data!AP676="","",IF(Raw_Data!AP676="oui",1,0))</f>
        <v/>
      </c>
      <c r="W673" s="12" t="str">
        <f>IF(Raw_Data!AQ676="","",IF(Raw_Data!AQ676="oui",1,0))</f>
        <v/>
      </c>
      <c r="X673" s="12" t="str">
        <f>IF(Raw_Data!AR676="","",IF(Raw_Data!AR676="oui",1,0))</f>
        <v/>
      </c>
      <c r="Y673" s="12" t="str">
        <f>IF(Raw_Data!AS676="","",IF(Raw_Data!AS676="oui",1,0))</f>
        <v/>
      </c>
      <c r="Z673" s="12" t="str">
        <f>IF(Raw_Data!V676="","",IF(Raw_Data!V676="oui",1,0))</f>
        <v/>
      </c>
      <c r="AA673" s="12" t="str">
        <f>IF(Raw_Data!W676="","",IF(Raw_Data!W676="oui",1,0))</f>
        <v/>
      </c>
      <c r="AB673" s="12" t="str">
        <f>IF(Raw_Data!Q676="","",IF(Raw_Data!Q676="oui",1,0))</f>
        <v/>
      </c>
      <c r="AC673" s="12">
        <f>Raw_Data!AF676</f>
        <v>0</v>
      </c>
      <c r="AD673" s="12" t="str">
        <f t="shared" si="95"/>
        <v/>
      </c>
      <c r="AE673" s="12" t="str">
        <f t="shared" si="96"/>
        <v/>
      </c>
      <c r="AF673" s="12" t="str">
        <f t="shared" si="97"/>
        <v/>
      </c>
      <c r="AG673" s="12">
        <f t="shared" si="98"/>
        <v>0</v>
      </c>
    </row>
    <row r="674" spans="1:33" ht="15" customHeight="1" x14ac:dyDescent="0.25">
      <c r="A674" s="12" t="str">
        <f>IF(Raw_Data!B677="","",Raw_Data!B677)</f>
        <v/>
      </c>
      <c r="B674" s="12">
        <f>IF(Raw_Data!X677&lt;&gt;"",Raw_Data!X677,Raw_Data!C677)</f>
        <v>0</v>
      </c>
      <c r="C674" s="12" t="str">
        <f>IF(Raw_Data!G677="","",Raw_Data!G677)</f>
        <v/>
      </c>
      <c r="D674" s="12" t="str">
        <f>IF(Raw_Data!H677="","",Raw_Data!H677)</f>
        <v/>
      </c>
      <c r="E674" s="12" t="str">
        <f>IF(Raw_Data!I677="","",Raw_Data!I677)</f>
        <v/>
      </c>
      <c r="F674" s="12" t="str">
        <f>IF(Raw_Data!J677="","",Raw_Data!J677)</f>
        <v/>
      </c>
      <c r="G674" s="12" t="str">
        <f>IF(Raw_Data!AH677&lt;&gt;"",Raw_Data!AH677,IF(Raw_Data!K677&lt;&gt;"",Raw_Data!K677,""))</f>
        <v/>
      </c>
      <c r="H674" s="12" t="str">
        <f>IF(Raw_Data!AI677&lt;&gt;"",Raw_Data!AI677,IF(Raw_Data!L677&lt;&gt;"",Raw_Data!L677,""))</f>
        <v/>
      </c>
      <c r="I674" s="12" t="str">
        <f t="shared" si="90"/>
        <v/>
      </c>
      <c r="J674" s="12" t="str">
        <f>IF(Raw_Data!M677="","",Raw_Data!M677)</f>
        <v/>
      </c>
      <c r="K674" s="12">
        <f>IF(Raw_Data!AJ677&lt;&gt;"",Raw_Data!AJ677,Raw_Data!N677)</f>
        <v>0</v>
      </c>
      <c r="L674" s="12">
        <f t="shared" si="91"/>
        <v>1</v>
      </c>
      <c r="M674" s="12" t="str">
        <f>IF(Raw_Data!AK677="","",Raw_Data!AK677)</f>
        <v/>
      </c>
      <c r="N674" s="12" t="str">
        <f>IF(Raw_Data!T677="","",Raw_Data!T677)</f>
        <v/>
      </c>
      <c r="O674" s="12" t="str">
        <f>IF(Raw_Data!AB677&lt;&gt;"",Raw_Data!AB677,IF(N674="tres_insatisfait",1,IF(N674="insatisfait",2,IF(N674="neutre",3,IF(N674="satisfait",4,IF(N674="tres_satisfait",5,""))))))</f>
        <v/>
      </c>
      <c r="P674" s="12">
        <f>IF(Raw_Data!AL677&lt;&gt;"",Raw_Data!AL677,Raw_Data!R677)</f>
        <v>0</v>
      </c>
      <c r="Q674" s="12">
        <f t="shared" si="92"/>
        <v>0</v>
      </c>
      <c r="R674" s="12" t="str">
        <f>IF(Raw_Data!AM677="","",Raw_Data!AM677)</f>
        <v/>
      </c>
      <c r="S674" s="12" t="str">
        <f t="shared" si="93"/>
        <v/>
      </c>
      <c r="T674" s="12" t="str">
        <f>IF(Raw_Data!AN677="","",Raw_Data!AN677)</f>
        <v/>
      </c>
      <c r="U674" s="12" t="str">
        <f t="shared" si="94"/>
        <v/>
      </c>
      <c r="V674" s="12" t="str">
        <f>IF(Raw_Data!AP677="","",IF(Raw_Data!AP677="oui",1,0))</f>
        <v/>
      </c>
      <c r="W674" s="12" t="str">
        <f>IF(Raw_Data!AQ677="","",IF(Raw_Data!AQ677="oui",1,0))</f>
        <v/>
      </c>
      <c r="X674" s="12" t="str">
        <f>IF(Raw_Data!AR677="","",IF(Raw_Data!AR677="oui",1,0))</f>
        <v/>
      </c>
      <c r="Y674" s="12" t="str">
        <f>IF(Raw_Data!AS677="","",IF(Raw_Data!AS677="oui",1,0))</f>
        <v/>
      </c>
      <c r="Z674" s="12" t="str">
        <f>IF(Raw_Data!V677="","",IF(Raw_Data!V677="oui",1,0))</f>
        <v/>
      </c>
      <c r="AA674" s="12" t="str">
        <f>IF(Raw_Data!W677="","",IF(Raw_Data!W677="oui",1,0))</f>
        <v/>
      </c>
      <c r="AB674" s="12" t="str">
        <f>IF(Raw_Data!Q677="","",IF(Raw_Data!Q677="oui",1,0))</f>
        <v/>
      </c>
      <c r="AC674" s="12">
        <f>Raw_Data!AF677</f>
        <v>0</v>
      </c>
      <c r="AD674" s="12" t="str">
        <f t="shared" si="95"/>
        <v/>
      </c>
      <c r="AE674" s="12" t="str">
        <f t="shared" si="96"/>
        <v/>
      </c>
      <c r="AF674" s="12" t="str">
        <f t="shared" si="97"/>
        <v/>
      </c>
      <c r="AG674" s="12">
        <f t="shared" si="98"/>
        <v>0</v>
      </c>
    </row>
    <row r="675" spans="1:33" ht="15" customHeight="1" x14ac:dyDescent="0.25">
      <c r="A675" s="12" t="str">
        <f>IF(Raw_Data!B678="","",Raw_Data!B678)</f>
        <v/>
      </c>
      <c r="B675" s="12">
        <f>IF(Raw_Data!X678&lt;&gt;"",Raw_Data!X678,Raw_Data!C678)</f>
        <v>0</v>
      </c>
      <c r="C675" s="12" t="str">
        <f>IF(Raw_Data!G678="","",Raw_Data!G678)</f>
        <v/>
      </c>
      <c r="D675" s="12" t="str">
        <f>IF(Raw_Data!H678="","",Raw_Data!H678)</f>
        <v/>
      </c>
      <c r="E675" s="12" t="str">
        <f>IF(Raw_Data!I678="","",Raw_Data!I678)</f>
        <v/>
      </c>
      <c r="F675" s="12" t="str">
        <f>IF(Raw_Data!J678="","",Raw_Data!J678)</f>
        <v/>
      </c>
      <c r="G675" s="12" t="str">
        <f>IF(Raw_Data!AH678&lt;&gt;"",Raw_Data!AH678,IF(Raw_Data!K678&lt;&gt;"",Raw_Data!K678,""))</f>
        <v/>
      </c>
      <c r="H675" s="12" t="str">
        <f>IF(Raw_Data!AI678&lt;&gt;"",Raw_Data!AI678,IF(Raw_Data!L678&lt;&gt;"",Raw_Data!L678,""))</f>
        <v/>
      </c>
      <c r="I675" s="12" t="str">
        <f t="shared" si="90"/>
        <v/>
      </c>
      <c r="J675" s="12" t="str">
        <f>IF(Raw_Data!M678="","",Raw_Data!M678)</f>
        <v/>
      </c>
      <c r="K675" s="12">
        <f>IF(Raw_Data!AJ678&lt;&gt;"",Raw_Data!AJ678,Raw_Data!N678)</f>
        <v>0</v>
      </c>
      <c r="L675" s="12">
        <f t="shared" si="91"/>
        <v>1</v>
      </c>
      <c r="M675" s="12" t="str">
        <f>IF(Raw_Data!AK678="","",Raw_Data!AK678)</f>
        <v/>
      </c>
      <c r="N675" s="12" t="str">
        <f>IF(Raw_Data!T678="","",Raw_Data!T678)</f>
        <v/>
      </c>
      <c r="O675" s="12" t="str">
        <f>IF(Raw_Data!AB678&lt;&gt;"",Raw_Data!AB678,IF(N675="tres_insatisfait",1,IF(N675="insatisfait",2,IF(N675="neutre",3,IF(N675="satisfait",4,IF(N675="tres_satisfait",5,""))))))</f>
        <v/>
      </c>
      <c r="P675" s="12">
        <f>IF(Raw_Data!AL678&lt;&gt;"",Raw_Data!AL678,Raw_Data!R678)</f>
        <v>0</v>
      </c>
      <c r="Q675" s="12">
        <f t="shared" si="92"/>
        <v>0</v>
      </c>
      <c r="R675" s="12" t="str">
        <f>IF(Raw_Data!AM678="","",Raw_Data!AM678)</f>
        <v/>
      </c>
      <c r="S675" s="12" t="str">
        <f t="shared" si="93"/>
        <v/>
      </c>
      <c r="T675" s="12" t="str">
        <f>IF(Raw_Data!AN678="","",Raw_Data!AN678)</f>
        <v/>
      </c>
      <c r="U675" s="12" t="str">
        <f t="shared" si="94"/>
        <v/>
      </c>
      <c r="V675" s="12" t="str">
        <f>IF(Raw_Data!AP678="","",IF(Raw_Data!AP678="oui",1,0))</f>
        <v/>
      </c>
      <c r="W675" s="12" t="str">
        <f>IF(Raw_Data!AQ678="","",IF(Raw_Data!AQ678="oui",1,0))</f>
        <v/>
      </c>
      <c r="X675" s="12" t="str">
        <f>IF(Raw_Data!AR678="","",IF(Raw_Data!AR678="oui",1,0))</f>
        <v/>
      </c>
      <c r="Y675" s="12" t="str">
        <f>IF(Raw_Data!AS678="","",IF(Raw_Data!AS678="oui",1,0))</f>
        <v/>
      </c>
      <c r="Z675" s="12" t="str">
        <f>IF(Raw_Data!V678="","",IF(Raw_Data!V678="oui",1,0))</f>
        <v/>
      </c>
      <c r="AA675" s="12" t="str">
        <f>IF(Raw_Data!W678="","",IF(Raw_Data!W678="oui",1,0))</f>
        <v/>
      </c>
      <c r="AB675" s="12" t="str">
        <f>IF(Raw_Data!Q678="","",IF(Raw_Data!Q678="oui",1,0))</f>
        <v/>
      </c>
      <c r="AC675" s="12">
        <f>Raw_Data!AF678</f>
        <v>0</v>
      </c>
      <c r="AD675" s="12" t="str">
        <f t="shared" si="95"/>
        <v/>
      </c>
      <c r="AE675" s="12" t="str">
        <f t="shared" si="96"/>
        <v/>
      </c>
      <c r="AF675" s="12" t="str">
        <f t="shared" si="97"/>
        <v/>
      </c>
      <c r="AG675" s="12">
        <f t="shared" si="98"/>
        <v>0</v>
      </c>
    </row>
    <row r="676" spans="1:33" ht="15" customHeight="1" x14ac:dyDescent="0.25">
      <c r="A676" s="12" t="str">
        <f>IF(Raw_Data!B679="","",Raw_Data!B679)</f>
        <v/>
      </c>
      <c r="B676" s="12">
        <f>IF(Raw_Data!X679&lt;&gt;"",Raw_Data!X679,Raw_Data!C679)</f>
        <v>0</v>
      </c>
      <c r="C676" s="12" t="str">
        <f>IF(Raw_Data!G679="","",Raw_Data!G679)</f>
        <v/>
      </c>
      <c r="D676" s="12" t="str">
        <f>IF(Raw_Data!H679="","",Raw_Data!H679)</f>
        <v/>
      </c>
      <c r="E676" s="12" t="str">
        <f>IF(Raw_Data!I679="","",Raw_Data!I679)</f>
        <v/>
      </c>
      <c r="F676" s="12" t="str">
        <f>IF(Raw_Data!J679="","",Raw_Data!J679)</f>
        <v/>
      </c>
      <c r="G676" s="12" t="str">
        <f>IF(Raw_Data!AH679&lt;&gt;"",Raw_Data!AH679,IF(Raw_Data!K679&lt;&gt;"",Raw_Data!K679,""))</f>
        <v/>
      </c>
      <c r="H676" s="12" t="str">
        <f>IF(Raw_Data!AI679&lt;&gt;"",Raw_Data!AI679,IF(Raw_Data!L679&lt;&gt;"",Raw_Data!L679,""))</f>
        <v/>
      </c>
      <c r="I676" s="12" t="str">
        <f t="shared" si="90"/>
        <v/>
      </c>
      <c r="J676" s="12" t="str">
        <f>IF(Raw_Data!M679="","",Raw_Data!M679)</f>
        <v/>
      </c>
      <c r="K676" s="12">
        <f>IF(Raw_Data!AJ679&lt;&gt;"",Raw_Data!AJ679,Raw_Data!N679)</f>
        <v>0</v>
      </c>
      <c r="L676" s="12">
        <f t="shared" si="91"/>
        <v>1</v>
      </c>
      <c r="M676" s="12" t="str">
        <f>IF(Raw_Data!AK679="","",Raw_Data!AK679)</f>
        <v/>
      </c>
      <c r="N676" s="12" t="str">
        <f>IF(Raw_Data!T679="","",Raw_Data!T679)</f>
        <v/>
      </c>
      <c r="O676" s="12" t="str">
        <f>IF(Raw_Data!AB679&lt;&gt;"",Raw_Data!AB679,IF(N676="tres_insatisfait",1,IF(N676="insatisfait",2,IF(N676="neutre",3,IF(N676="satisfait",4,IF(N676="tres_satisfait",5,""))))))</f>
        <v/>
      </c>
      <c r="P676" s="12">
        <f>IF(Raw_Data!AL679&lt;&gt;"",Raw_Data!AL679,Raw_Data!R679)</f>
        <v>0</v>
      </c>
      <c r="Q676" s="12">
        <f t="shared" si="92"/>
        <v>0</v>
      </c>
      <c r="R676" s="12" t="str">
        <f>IF(Raw_Data!AM679="","",Raw_Data!AM679)</f>
        <v/>
      </c>
      <c r="S676" s="12" t="str">
        <f t="shared" si="93"/>
        <v/>
      </c>
      <c r="T676" s="12" t="str">
        <f>IF(Raw_Data!AN679="","",Raw_Data!AN679)</f>
        <v/>
      </c>
      <c r="U676" s="12" t="str">
        <f t="shared" si="94"/>
        <v/>
      </c>
      <c r="V676" s="12" t="str">
        <f>IF(Raw_Data!AP679="","",IF(Raw_Data!AP679="oui",1,0))</f>
        <v/>
      </c>
      <c r="W676" s="12" t="str">
        <f>IF(Raw_Data!AQ679="","",IF(Raw_Data!AQ679="oui",1,0))</f>
        <v/>
      </c>
      <c r="X676" s="12" t="str">
        <f>IF(Raw_Data!AR679="","",IF(Raw_Data!AR679="oui",1,0))</f>
        <v/>
      </c>
      <c r="Y676" s="12" t="str">
        <f>IF(Raw_Data!AS679="","",IF(Raw_Data!AS679="oui",1,0))</f>
        <v/>
      </c>
      <c r="Z676" s="12" t="str">
        <f>IF(Raw_Data!V679="","",IF(Raw_Data!V679="oui",1,0))</f>
        <v/>
      </c>
      <c r="AA676" s="12" t="str">
        <f>IF(Raw_Data!W679="","",IF(Raw_Data!W679="oui",1,0))</f>
        <v/>
      </c>
      <c r="AB676" s="12" t="str">
        <f>IF(Raw_Data!Q679="","",IF(Raw_Data!Q679="oui",1,0))</f>
        <v/>
      </c>
      <c r="AC676" s="12">
        <f>Raw_Data!AF679</f>
        <v>0</v>
      </c>
      <c r="AD676" s="12" t="str">
        <f t="shared" si="95"/>
        <v/>
      </c>
      <c r="AE676" s="12" t="str">
        <f t="shared" si="96"/>
        <v/>
      </c>
      <c r="AF676" s="12" t="str">
        <f t="shared" si="97"/>
        <v/>
      </c>
      <c r="AG676" s="12">
        <f t="shared" si="98"/>
        <v>0</v>
      </c>
    </row>
    <row r="677" spans="1:33" ht="15" customHeight="1" x14ac:dyDescent="0.25">
      <c r="A677" s="12" t="str">
        <f>IF(Raw_Data!B680="","",Raw_Data!B680)</f>
        <v/>
      </c>
      <c r="B677" s="12">
        <f>IF(Raw_Data!X680&lt;&gt;"",Raw_Data!X680,Raw_Data!C680)</f>
        <v>0</v>
      </c>
      <c r="C677" s="12" t="str">
        <f>IF(Raw_Data!G680="","",Raw_Data!G680)</f>
        <v/>
      </c>
      <c r="D677" s="12" t="str">
        <f>IF(Raw_Data!H680="","",Raw_Data!H680)</f>
        <v/>
      </c>
      <c r="E677" s="12" t="str">
        <f>IF(Raw_Data!I680="","",Raw_Data!I680)</f>
        <v/>
      </c>
      <c r="F677" s="12" t="str">
        <f>IF(Raw_Data!J680="","",Raw_Data!J680)</f>
        <v/>
      </c>
      <c r="G677" s="12" t="str">
        <f>IF(Raw_Data!AH680&lt;&gt;"",Raw_Data!AH680,IF(Raw_Data!K680&lt;&gt;"",Raw_Data!K680,""))</f>
        <v/>
      </c>
      <c r="H677" s="12" t="str">
        <f>IF(Raw_Data!AI680&lt;&gt;"",Raw_Data!AI680,IF(Raw_Data!L680&lt;&gt;"",Raw_Data!L680,""))</f>
        <v/>
      </c>
      <c r="I677" s="12" t="str">
        <f t="shared" si="90"/>
        <v/>
      </c>
      <c r="J677" s="12" t="str">
        <f>IF(Raw_Data!M680="","",Raw_Data!M680)</f>
        <v/>
      </c>
      <c r="K677" s="12">
        <f>IF(Raw_Data!AJ680&lt;&gt;"",Raw_Data!AJ680,Raw_Data!N680)</f>
        <v>0</v>
      </c>
      <c r="L677" s="12">
        <f t="shared" si="91"/>
        <v>1</v>
      </c>
      <c r="M677" s="12" t="str">
        <f>IF(Raw_Data!AK680="","",Raw_Data!AK680)</f>
        <v/>
      </c>
      <c r="N677" s="12" t="str">
        <f>IF(Raw_Data!T680="","",Raw_Data!T680)</f>
        <v/>
      </c>
      <c r="O677" s="12" t="str">
        <f>IF(Raw_Data!AB680&lt;&gt;"",Raw_Data!AB680,IF(N677="tres_insatisfait",1,IF(N677="insatisfait",2,IF(N677="neutre",3,IF(N677="satisfait",4,IF(N677="tres_satisfait",5,""))))))</f>
        <v/>
      </c>
      <c r="P677" s="12">
        <f>IF(Raw_Data!AL680&lt;&gt;"",Raw_Data!AL680,Raw_Data!R680)</f>
        <v>0</v>
      </c>
      <c r="Q677" s="12">
        <f t="shared" si="92"/>
        <v>0</v>
      </c>
      <c r="R677" s="12" t="str">
        <f>IF(Raw_Data!AM680="","",Raw_Data!AM680)</f>
        <v/>
      </c>
      <c r="S677" s="12" t="str">
        <f t="shared" si="93"/>
        <v/>
      </c>
      <c r="T677" s="12" t="str">
        <f>IF(Raw_Data!AN680="","",Raw_Data!AN680)</f>
        <v/>
      </c>
      <c r="U677" s="12" t="str">
        <f t="shared" si="94"/>
        <v/>
      </c>
      <c r="V677" s="12" t="str">
        <f>IF(Raw_Data!AP680="","",IF(Raw_Data!AP680="oui",1,0))</f>
        <v/>
      </c>
      <c r="W677" s="12" t="str">
        <f>IF(Raw_Data!AQ680="","",IF(Raw_Data!AQ680="oui",1,0))</f>
        <v/>
      </c>
      <c r="X677" s="12" t="str">
        <f>IF(Raw_Data!AR680="","",IF(Raw_Data!AR680="oui",1,0))</f>
        <v/>
      </c>
      <c r="Y677" s="12" t="str">
        <f>IF(Raw_Data!AS680="","",IF(Raw_Data!AS680="oui",1,0))</f>
        <v/>
      </c>
      <c r="Z677" s="12" t="str">
        <f>IF(Raw_Data!V680="","",IF(Raw_Data!V680="oui",1,0))</f>
        <v/>
      </c>
      <c r="AA677" s="12" t="str">
        <f>IF(Raw_Data!W680="","",IF(Raw_Data!W680="oui",1,0))</f>
        <v/>
      </c>
      <c r="AB677" s="12" t="str">
        <f>IF(Raw_Data!Q680="","",IF(Raw_Data!Q680="oui",1,0))</f>
        <v/>
      </c>
      <c r="AC677" s="12">
        <f>Raw_Data!AF680</f>
        <v>0</v>
      </c>
      <c r="AD677" s="12" t="str">
        <f t="shared" si="95"/>
        <v/>
      </c>
      <c r="AE677" s="12" t="str">
        <f t="shared" si="96"/>
        <v/>
      </c>
      <c r="AF677" s="12" t="str">
        <f t="shared" si="97"/>
        <v/>
      </c>
      <c r="AG677" s="12">
        <f t="shared" si="98"/>
        <v>0</v>
      </c>
    </row>
    <row r="678" spans="1:33" ht="15" customHeight="1" x14ac:dyDescent="0.25">
      <c r="A678" s="12" t="str">
        <f>IF(Raw_Data!B681="","",Raw_Data!B681)</f>
        <v/>
      </c>
      <c r="B678" s="12">
        <f>IF(Raw_Data!X681&lt;&gt;"",Raw_Data!X681,Raw_Data!C681)</f>
        <v>0</v>
      </c>
      <c r="C678" s="12" t="str">
        <f>IF(Raw_Data!G681="","",Raw_Data!G681)</f>
        <v/>
      </c>
      <c r="D678" s="12" t="str">
        <f>IF(Raw_Data!H681="","",Raw_Data!H681)</f>
        <v/>
      </c>
      <c r="E678" s="12" t="str">
        <f>IF(Raw_Data!I681="","",Raw_Data!I681)</f>
        <v/>
      </c>
      <c r="F678" s="12" t="str">
        <f>IF(Raw_Data!J681="","",Raw_Data!J681)</f>
        <v/>
      </c>
      <c r="G678" s="12" t="str">
        <f>IF(Raw_Data!AH681&lt;&gt;"",Raw_Data!AH681,IF(Raw_Data!K681&lt;&gt;"",Raw_Data!K681,""))</f>
        <v/>
      </c>
      <c r="H678" s="12" t="str">
        <f>IF(Raw_Data!AI681&lt;&gt;"",Raw_Data!AI681,IF(Raw_Data!L681&lt;&gt;"",Raw_Data!L681,""))</f>
        <v/>
      </c>
      <c r="I678" s="12" t="str">
        <f t="shared" si="90"/>
        <v/>
      </c>
      <c r="J678" s="12" t="str">
        <f>IF(Raw_Data!M681="","",Raw_Data!M681)</f>
        <v/>
      </c>
      <c r="K678" s="12">
        <f>IF(Raw_Data!AJ681&lt;&gt;"",Raw_Data!AJ681,Raw_Data!N681)</f>
        <v>0</v>
      </c>
      <c r="L678" s="12">
        <f t="shared" si="91"/>
        <v>1</v>
      </c>
      <c r="M678" s="12" t="str">
        <f>IF(Raw_Data!AK681="","",Raw_Data!AK681)</f>
        <v/>
      </c>
      <c r="N678" s="12" t="str">
        <f>IF(Raw_Data!T681="","",Raw_Data!T681)</f>
        <v/>
      </c>
      <c r="O678" s="12" t="str">
        <f>IF(Raw_Data!AB681&lt;&gt;"",Raw_Data!AB681,IF(N678="tres_insatisfait",1,IF(N678="insatisfait",2,IF(N678="neutre",3,IF(N678="satisfait",4,IF(N678="tres_satisfait",5,""))))))</f>
        <v/>
      </c>
      <c r="P678" s="12">
        <f>IF(Raw_Data!AL681&lt;&gt;"",Raw_Data!AL681,Raw_Data!R681)</f>
        <v>0</v>
      </c>
      <c r="Q678" s="12">
        <f t="shared" si="92"/>
        <v>0</v>
      </c>
      <c r="R678" s="12" t="str">
        <f>IF(Raw_Data!AM681="","",Raw_Data!AM681)</f>
        <v/>
      </c>
      <c r="S678" s="12" t="str">
        <f t="shared" si="93"/>
        <v/>
      </c>
      <c r="T678" s="12" t="str">
        <f>IF(Raw_Data!AN681="","",Raw_Data!AN681)</f>
        <v/>
      </c>
      <c r="U678" s="12" t="str">
        <f t="shared" si="94"/>
        <v/>
      </c>
      <c r="V678" s="12" t="str">
        <f>IF(Raw_Data!AP681="","",IF(Raw_Data!AP681="oui",1,0))</f>
        <v/>
      </c>
      <c r="W678" s="12" t="str">
        <f>IF(Raw_Data!AQ681="","",IF(Raw_Data!AQ681="oui",1,0))</f>
        <v/>
      </c>
      <c r="X678" s="12" t="str">
        <f>IF(Raw_Data!AR681="","",IF(Raw_Data!AR681="oui",1,0))</f>
        <v/>
      </c>
      <c r="Y678" s="12" t="str">
        <f>IF(Raw_Data!AS681="","",IF(Raw_Data!AS681="oui",1,0))</f>
        <v/>
      </c>
      <c r="Z678" s="12" t="str">
        <f>IF(Raw_Data!V681="","",IF(Raw_Data!V681="oui",1,0))</f>
        <v/>
      </c>
      <c r="AA678" s="12" t="str">
        <f>IF(Raw_Data!W681="","",IF(Raw_Data!W681="oui",1,0))</f>
        <v/>
      </c>
      <c r="AB678" s="12" t="str">
        <f>IF(Raw_Data!Q681="","",IF(Raw_Data!Q681="oui",1,0))</f>
        <v/>
      </c>
      <c r="AC678" s="12">
        <f>Raw_Data!AF681</f>
        <v>0</v>
      </c>
      <c r="AD678" s="12" t="str">
        <f t="shared" si="95"/>
        <v/>
      </c>
      <c r="AE678" s="12" t="str">
        <f t="shared" si="96"/>
        <v/>
      </c>
      <c r="AF678" s="12" t="str">
        <f t="shared" si="97"/>
        <v/>
      </c>
      <c r="AG678" s="12">
        <f t="shared" si="98"/>
        <v>0</v>
      </c>
    </row>
    <row r="679" spans="1:33" ht="15" customHeight="1" x14ac:dyDescent="0.25">
      <c r="A679" s="12" t="str">
        <f>IF(Raw_Data!B682="","",Raw_Data!B682)</f>
        <v/>
      </c>
      <c r="B679" s="12">
        <f>IF(Raw_Data!X682&lt;&gt;"",Raw_Data!X682,Raw_Data!C682)</f>
        <v>0</v>
      </c>
      <c r="C679" s="12" t="str">
        <f>IF(Raw_Data!G682="","",Raw_Data!G682)</f>
        <v/>
      </c>
      <c r="D679" s="12" t="str">
        <f>IF(Raw_Data!H682="","",Raw_Data!H682)</f>
        <v/>
      </c>
      <c r="E679" s="12" t="str">
        <f>IF(Raw_Data!I682="","",Raw_Data!I682)</f>
        <v/>
      </c>
      <c r="F679" s="12" t="str">
        <f>IF(Raw_Data!J682="","",Raw_Data!J682)</f>
        <v/>
      </c>
      <c r="G679" s="12" t="str">
        <f>IF(Raw_Data!AH682&lt;&gt;"",Raw_Data!AH682,IF(Raw_Data!K682&lt;&gt;"",Raw_Data!K682,""))</f>
        <v/>
      </c>
      <c r="H679" s="12" t="str">
        <f>IF(Raw_Data!AI682&lt;&gt;"",Raw_Data!AI682,IF(Raw_Data!L682&lt;&gt;"",Raw_Data!L682,""))</f>
        <v/>
      </c>
      <c r="I679" s="12" t="str">
        <f t="shared" si="90"/>
        <v/>
      </c>
      <c r="J679" s="12" t="str">
        <f>IF(Raw_Data!M682="","",Raw_Data!M682)</f>
        <v/>
      </c>
      <c r="K679" s="12">
        <f>IF(Raw_Data!AJ682&lt;&gt;"",Raw_Data!AJ682,Raw_Data!N682)</f>
        <v>0</v>
      </c>
      <c r="L679" s="12">
        <f t="shared" si="91"/>
        <v>1</v>
      </c>
      <c r="M679" s="12" t="str">
        <f>IF(Raw_Data!AK682="","",Raw_Data!AK682)</f>
        <v/>
      </c>
      <c r="N679" s="12" t="str">
        <f>IF(Raw_Data!T682="","",Raw_Data!T682)</f>
        <v/>
      </c>
      <c r="O679" s="12" t="str">
        <f>IF(Raw_Data!AB682&lt;&gt;"",Raw_Data!AB682,IF(N679="tres_insatisfait",1,IF(N679="insatisfait",2,IF(N679="neutre",3,IF(N679="satisfait",4,IF(N679="tres_satisfait",5,""))))))</f>
        <v/>
      </c>
      <c r="P679" s="12">
        <f>IF(Raw_Data!AL682&lt;&gt;"",Raw_Data!AL682,Raw_Data!R682)</f>
        <v>0</v>
      </c>
      <c r="Q679" s="12">
        <f t="shared" si="92"/>
        <v>0</v>
      </c>
      <c r="R679" s="12" t="str">
        <f>IF(Raw_Data!AM682="","",Raw_Data!AM682)</f>
        <v/>
      </c>
      <c r="S679" s="12" t="str">
        <f t="shared" si="93"/>
        <v/>
      </c>
      <c r="T679" s="12" t="str">
        <f>IF(Raw_Data!AN682="","",Raw_Data!AN682)</f>
        <v/>
      </c>
      <c r="U679" s="12" t="str">
        <f t="shared" si="94"/>
        <v/>
      </c>
      <c r="V679" s="12" t="str">
        <f>IF(Raw_Data!AP682="","",IF(Raw_Data!AP682="oui",1,0))</f>
        <v/>
      </c>
      <c r="W679" s="12" t="str">
        <f>IF(Raw_Data!AQ682="","",IF(Raw_Data!AQ682="oui",1,0))</f>
        <v/>
      </c>
      <c r="X679" s="12" t="str">
        <f>IF(Raw_Data!AR682="","",IF(Raw_Data!AR682="oui",1,0))</f>
        <v/>
      </c>
      <c r="Y679" s="12" t="str">
        <f>IF(Raw_Data!AS682="","",IF(Raw_Data!AS682="oui",1,0))</f>
        <v/>
      </c>
      <c r="Z679" s="12" t="str">
        <f>IF(Raw_Data!V682="","",IF(Raw_Data!V682="oui",1,0))</f>
        <v/>
      </c>
      <c r="AA679" s="12" t="str">
        <f>IF(Raw_Data!W682="","",IF(Raw_Data!W682="oui",1,0))</f>
        <v/>
      </c>
      <c r="AB679" s="12" t="str">
        <f>IF(Raw_Data!Q682="","",IF(Raw_Data!Q682="oui",1,0))</f>
        <v/>
      </c>
      <c r="AC679" s="12">
        <f>Raw_Data!AF682</f>
        <v>0</v>
      </c>
      <c r="AD679" s="12" t="str">
        <f t="shared" si="95"/>
        <v/>
      </c>
      <c r="AE679" s="12" t="str">
        <f t="shared" si="96"/>
        <v/>
      </c>
      <c r="AF679" s="12" t="str">
        <f t="shared" si="97"/>
        <v/>
      </c>
      <c r="AG679" s="12">
        <f t="shared" si="98"/>
        <v>0</v>
      </c>
    </row>
    <row r="680" spans="1:33" ht="15" customHeight="1" x14ac:dyDescent="0.25">
      <c r="A680" s="12" t="str">
        <f>IF(Raw_Data!B683="","",Raw_Data!B683)</f>
        <v/>
      </c>
      <c r="B680" s="12">
        <f>IF(Raw_Data!X683&lt;&gt;"",Raw_Data!X683,Raw_Data!C683)</f>
        <v>0</v>
      </c>
      <c r="C680" s="12" t="str">
        <f>IF(Raw_Data!G683="","",Raw_Data!G683)</f>
        <v/>
      </c>
      <c r="D680" s="12" t="str">
        <f>IF(Raw_Data!H683="","",Raw_Data!H683)</f>
        <v/>
      </c>
      <c r="E680" s="12" t="str">
        <f>IF(Raw_Data!I683="","",Raw_Data!I683)</f>
        <v/>
      </c>
      <c r="F680" s="12" t="str">
        <f>IF(Raw_Data!J683="","",Raw_Data!J683)</f>
        <v/>
      </c>
      <c r="G680" s="12" t="str">
        <f>IF(Raw_Data!AH683&lt;&gt;"",Raw_Data!AH683,IF(Raw_Data!K683&lt;&gt;"",Raw_Data!K683,""))</f>
        <v/>
      </c>
      <c r="H680" s="12" t="str">
        <f>IF(Raw_Data!AI683&lt;&gt;"",Raw_Data!AI683,IF(Raw_Data!L683&lt;&gt;"",Raw_Data!L683,""))</f>
        <v/>
      </c>
      <c r="I680" s="12" t="str">
        <f t="shared" si="90"/>
        <v/>
      </c>
      <c r="J680" s="12" t="str">
        <f>IF(Raw_Data!M683="","",Raw_Data!M683)</f>
        <v/>
      </c>
      <c r="K680" s="12">
        <f>IF(Raw_Data!AJ683&lt;&gt;"",Raw_Data!AJ683,Raw_Data!N683)</f>
        <v>0</v>
      </c>
      <c r="L680" s="12">
        <f t="shared" si="91"/>
        <v>1</v>
      </c>
      <c r="M680" s="12" t="str">
        <f>IF(Raw_Data!AK683="","",Raw_Data!AK683)</f>
        <v/>
      </c>
      <c r="N680" s="12" t="str">
        <f>IF(Raw_Data!T683="","",Raw_Data!T683)</f>
        <v/>
      </c>
      <c r="O680" s="12" t="str">
        <f>IF(Raw_Data!AB683&lt;&gt;"",Raw_Data!AB683,IF(N680="tres_insatisfait",1,IF(N680="insatisfait",2,IF(N680="neutre",3,IF(N680="satisfait",4,IF(N680="tres_satisfait",5,""))))))</f>
        <v/>
      </c>
      <c r="P680" s="12">
        <f>IF(Raw_Data!AL683&lt;&gt;"",Raw_Data!AL683,Raw_Data!R683)</f>
        <v>0</v>
      </c>
      <c r="Q680" s="12">
        <f t="shared" si="92"/>
        <v>0</v>
      </c>
      <c r="R680" s="12" t="str">
        <f>IF(Raw_Data!AM683="","",Raw_Data!AM683)</f>
        <v/>
      </c>
      <c r="S680" s="12" t="str">
        <f t="shared" si="93"/>
        <v/>
      </c>
      <c r="T680" s="12" t="str">
        <f>IF(Raw_Data!AN683="","",Raw_Data!AN683)</f>
        <v/>
      </c>
      <c r="U680" s="12" t="str">
        <f t="shared" si="94"/>
        <v/>
      </c>
      <c r="V680" s="12" t="str">
        <f>IF(Raw_Data!AP683="","",IF(Raw_Data!AP683="oui",1,0))</f>
        <v/>
      </c>
      <c r="W680" s="12" t="str">
        <f>IF(Raw_Data!AQ683="","",IF(Raw_Data!AQ683="oui",1,0))</f>
        <v/>
      </c>
      <c r="X680" s="12" t="str">
        <f>IF(Raw_Data!AR683="","",IF(Raw_Data!AR683="oui",1,0))</f>
        <v/>
      </c>
      <c r="Y680" s="12" t="str">
        <f>IF(Raw_Data!AS683="","",IF(Raw_Data!AS683="oui",1,0))</f>
        <v/>
      </c>
      <c r="Z680" s="12" t="str">
        <f>IF(Raw_Data!V683="","",IF(Raw_Data!V683="oui",1,0))</f>
        <v/>
      </c>
      <c r="AA680" s="12" t="str">
        <f>IF(Raw_Data!W683="","",IF(Raw_Data!W683="oui",1,0))</f>
        <v/>
      </c>
      <c r="AB680" s="12" t="str">
        <f>IF(Raw_Data!Q683="","",IF(Raw_Data!Q683="oui",1,0))</f>
        <v/>
      </c>
      <c r="AC680" s="12">
        <f>Raw_Data!AF683</f>
        <v>0</v>
      </c>
      <c r="AD680" s="12" t="str">
        <f t="shared" si="95"/>
        <v/>
      </c>
      <c r="AE680" s="12" t="str">
        <f t="shared" si="96"/>
        <v/>
      </c>
      <c r="AF680" s="12" t="str">
        <f t="shared" si="97"/>
        <v/>
      </c>
      <c r="AG680" s="12">
        <f t="shared" si="98"/>
        <v>0</v>
      </c>
    </row>
    <row r="681" spans="1:33" ht="15" customHeight="1" x14ac:dyDescent="0.25">
      <c r="A681" s="12" t="str">
        <f>IF(Raw_Data!B684="","",Raw_Data!B684)</f>
        <v/>
      </c>
      <c r="B681" s="12">
        <f>IF(Raw_Data!X684&lt;&gt;"",Raw_Data!X684,Raw_Data!C684)</f>
        <v>0</v>
      </c>
      <c r="C681" s="12" t="str">
        <f>IF(Raw_Data!G684="","",Raw_Data!G684)</f>
        <v/>
      </c>
      <c r="D681" s="12" t="str">
        <f>IF(Raw_Data!H684="","",Raw_Data!H684)</f>
        <v/>
      </c>
      <c r="E681" s="12" t="str">
        <f>IF(Raw_Data!I684="","",Raw_Data!I684)</f>
        <v/>
      </c>
      <c r="F681" s="12" t="str">
        <f>IF(Raw_Data!J684="","",Raw_Data!J684)</f>
        <v/>
      </c>
      <c r="G681" s="12" t="str">
        <f>IF(Raw_Data!AH684&lt;&gt;"",Raw_Data!AH684,IF(Raw_Data!K684&lt;&gt;"",Raw_Data!K684,""))</f>
        <v/>
      </c>
      <c r="H681" s="12" t="str">
        <f>IF(Raw_Data!AI684&lt;&gt;"",Raw_Data!AI684,IF(Raw_Data!L684&lt;&gt;"",Raw_Data!L684,""))</f>
        <v/>
      </c>
      <c r="I681" s="12" t="str">
        <f t="shared" si="90"/>
        <v/>
      </c>
      <c r="J681" s="12" t="str">
        <f>IF(Raw_Data!M684="","",Raw_Data!M684)</f>
        <v/>
      </c>
      <c r="K681" s="12">
        <f>IF(Raw_Data!AJ684&lt;&gt;"",Raw_Data!AJ684,Raw_Data!N684)</f>
        <v>0</v>
      </c>
      <c r="L681" s="12">
        <f t="shared" si="91"/>
        <v>1</v>
      </c>
      <c r="M681" s="12" t="str">
        <f>IF(Raw_Data!AK684="","",Raw_Data!AK684)</f>
        <v/>
      </c>
      <c r="N681" s="12" t="str">
        <f>IF(Raw_Data!T684="","",Raw_Data!T684)</f>
        <v/>
      </c>
      <c r="O681" s="12" t="str">
        <f>IF(Raw_Data!AB684&lt;&gt;"",Raw_Data!AB684,IF(N681="tres_insatisfait",1,IF(N681="insatisfait",2,IF(N681="neutre",3,IF(N681="satisfait",4,IF(N681="tres_satisfait",5,""))))))</f>
        <v/>
      </c>
      <c r="P681" s="12">
        <f>IF(Raw_Data!AL684&lt;&gt;"",Raw_Data!AL684,Raw_Data!R684)</f>
        <v>0</v>
      </c>
      <c r="Q681" s="12">
        <f t="shared" si="92"/>
        <v>0</v>
      </c>
      <c r="R681" s="12" t="str">
        <f>IF(Raw_Data!AM684="","",Raw_Data!AM684)</f>
        <v/>
      </c>
      <c r="S681" s="12" t="str">
        <f t="shared" si="93"/>
        <v/>
      </c>
      <c r="T681" s="12" t="str">
        <f>IF(Raw_Data!AN684="","",Raw_Data!AN684)</f>
        <v/>
      </c>
      <c r="U681" s="12" t="str">
        <f t="shared" si="94"/>
        <v/>
      </c>
      <c r="V681" s="12" t="str">
        <f>IF(Raw_Data!AP684="","",IF(Raw_Data!AP684="oui",1,0))</f>
        <v/>
      </c>
      <c r="W681" s="12" t="str">
        <f>IF(Raw_Data!AQ684="","",IF(Raw_Data!AQ684="oui",1,0))</f>
        <v/>
      </c>
      <c r="X681" s="12" t="str">
        <f>IF(Raw_Data!AR684="","",IF(Raw_Data!AR684="oui",1,0))</f>
        <v/>
      </c>
      <c r="Y681" s="12" t="str">
        <f>IF(Raw_Data!AS684="","",IF(Raw_Data!AS684="oui",1,0))</f>
        <v/>
      </c>
      <c r="Z681" s="12" t="str">
        <f>IF(Raw_Data!V684="","",IF(Raw_Data!V684="oui",1,0))</f>
        <v/>
      </c>
      <c r="AA681" s="12" t="str">
        <f>IF(Raw_Data!W684="","",IF(Raw_Data!W684="oui",1,0))</f>
        <v/>
      </c>
      <c r="AB681" s="12" t="str">
        <f>IF(Raw_Data!Q684="","",IF(Raw_Data!Q684="oui",1,0))</f>
        <v/>
      </c>
      <c r="AC681" s="12">
        <f>Raw_Data!AF684</f>
        <v>0</v>
      </c>
      <c r="AD681" s="12" t="str">
        <f t="shared" si="95"/>
        <v/>
      </c>
      <c r="AE681" s="12" t="str">
        <f t="shared" si="96"/>
        <v/>
      </c>
      <c r="AF681" s="12" t="str">
        <f t="shared" si="97"/>
        <v/>
      </c>
      <c r="AG681" s="12">
        <f t="shared" si="98"/>
        <v>0</v>
      </c>
    </row>
    <row r="682" spans="1:33" ht="15" customHeight="1" x14ac:dyDescent="0.25">
      <c r="A682" s="12" t="str">
        <f>IF(Raw_Data!B685="","",Raw_Data!B685)</f>
        <v/>
      </c>
      <c r="B682" s="12">
        <f>IF(Raw_Data!X685&lt;&gt;"",Raw_Data!X685,Raw_Data!C685)</f>
        <v>0</v>
      </c>
      <c r="C682" s="12" t="str">
        <f>IF(Raw_Data!G685="","",Raw_Data!G685)</f>
        <v/>
      </c>
      <c r="D682" s="12" t="str">
        <f>IF(Raw_Data!H685="","",Raw_Data!H685)</f>
        <v/>
      </c>
      <c r="E682" s="12" t="str">
        <f>IF(Raw_Data!I685="","",Raw_Data!I685)</f>
        <v/>
      </c>
      <c r="F682" s="12" t="str">
        <f>IF(Raw_Data!J685="","",Raw_Data!J685)</f>
        <v/>
      </c>
      <c r="G682" s="12" t="str">
        <f>IF(Raw_Data!AH685&lt;&gt;"",Raw_Data!AH685,IF(Raw_Data!K685&lt;&gt;"",Raw_Data!K685,""))</f>
        <v/>
      </c>
      <c r="H682" s="12" t="str">
        <f>IF(Raw_Data!AI685&lt;&gt;"",Raw_Data!AI685,IF(Raw_Data!L685&lt;&gt;"",Raw_Data!L685,""))</f>
        <v/>
      </c>
      <c r="I682" s="12" t="str">
        <f t="shared" si="90"/>
        <v/>
      </c>
      <c r="J682" s="12" t="str">
        <f>IF(Raw_Data!M685="","",Raw_Data!M685)</f>
        <v/>
      </c>
      <c r="K682" s="12">
        <f>IF(Raw_Data!AJ685&lt;&gt;"",Raw_Data!AJ685,Raw_Data!N685)</f>
        <v>0</v>
      </c>
      <c r="L682" s="12">
        <f t="shared" si="91"/>
        <v>1</v>
      </c>
      <c r="M682" s="12" t="str">
        <f>IF(Raw_Data!AK685="","",Raw_Data!AK685)</f>
        <v/>
      </c>
      <c r="N682" s="12" t="str">
        <f>IF(Raw_Data!T685="","",Raw_Data!T685)</f>
        <v/>
      </c>
      <c r="O682" s="12" t="str">
        <f>IF(Raw_Data!AB685&lt;&gt;"",Raw_Data!AB685,IF(N682="tres_insatisfait",1,IF(N682="insatisfait",2,IF(N682="neutre",3,IF(N682="satisfait",4,IF(N682="tres_satisfait",5,""))))))</f>
        <v/>
      </c>
      <c r="P682" s="12">
        <f>IF(Raw_Data!AL685&lt;&gt;"",Raw_Data!AL685,Raw_Data!R685)</f>
        <v>0</v>
      </c>
      <c r="Q682" s="12">
        <f t="shared" si="92"/>
        <v>0</v>
      </c>
      <c r="R682" s="12" t="str">
        <f>IF(Raw_Data!AM685="","",Raw_Data!AM685)</f>
        <v/>
      </c>
      <c r="S682" s="12" t="str">
        <f t="shared" si="93"/>
        <v/>
      </c>
      <c r="T682" s="12" t="str">
        <f>IF(Raw_Data!AN685="","",Raw_Data!AN685)</f>
        <v/>
      </c>
      <c r="U682" s="12" t="str">
        <f t="shared" si="94"/>
        <v/>
      </c>
      <c r="V682" s="12" t="str">
        <f>IF(Raw_Data!AP685="","",IF(Raw_Data!AP685="oui",1,0))</f>
        <v/>
      </c>
      <c r="W682" s="12" t="str">
        <f>IF(Raw_Data!AQ685="","",IF(Raw_Data!AQ685="oui",1,0))</f>
        <v/>
      </c>
      <c r="X682" s="12" t="str">
        <f>IF(Raw_Data!AR685="","",IF(Raw_Data!AR685="oui",1,0))</f>
        <v/>
      </c>
      <c r="Y682" s="12" t="str">
        <f>IF(Raw_Data!AS685="","",IF(Raw_Data!AS685="oui",1,0))</f>
        <v/>
      </c>
      <c r="Z682" s="12" t="str">
        <f>IF(Raw_Data!V685="","",IF(Raw_Data!V685="oui",1,0))</f>
        <v/>
      </c>
      <c r="AA682" s="12" t="str">
        <f>IF(Raw_Data!W685="","",IF(Raw_Data!W685="oui",1,0))</f>
        <v/>
      </c>
      <c r="AB682" s="12" t="str">
        <f>IF(Raw_Data!Q685="","",IF(Raw_Data!Q685="oui",1,0))</f>
        <v/>
      </c>
      <c r="AC682" s="12">
        <f>Raw_Data!AF685</f>
        <v>0</v>
      </c>
      <c r="AD682" s="12" t="str">
        <f t="shared" si="95"/>
        <v/>
      </c>
      <c r="AE682" s="12" t="str">
        <f t="shared" si="96"/>
        <v/>
      </c>
      <c r="AF682" s="12" t="str">
        <f t="shared" si="97"/>
        <v/>
      </c>
      <c r="AG682" s="12">
        <f t="shared" si="98"/>
        <v>0</v>
      </c>
    </row>
    <row r="683" spans="1:33" ht="15" customHeight="1" x14ac:dyDescent="0.25">
      <c r="A683" s="12" t="str">
        <f>IF(Raw_Data!B686="","",Raw_Data!B686)</f>
        <v/>
      </c>
      <c r="B683" s="12">
        <f>IF(Raw_Data!X686&lt;&gt;"",Raw_Data!X686,Raw_Data!C686)</f>
        <v>0</v>
      </c>
      <c r="C683" s="12" t="str">
        <f>IF(Raw_Data!G686="","",Raw_Data!G686)</f>
        <v/>
      </c>
      <c r="D683" s="12" t="str">
        <f>IF(Raw_Data!H686="","",Raw_Data!H686)</f>
        <v/>
      </c>
      <c r="E683" s="12" t="str">
        <f>IF(Raw_Data!I686="","",Raw_Data!I686)</f>
        <v/>
      </c>
      <c r="F683" s="12" t="str">
        <f>IF(Raw_Data!J686="","",Raw_Data!J686)</f>
        <v/>
      </c>
      <c r="G683" s="12" t="str">
        <f>IF(Raw_Data!AH686&lt;&gt;"",Raw_Data!AH686,IF(Raw_Data!K686&lt;&gt;"",Raw_Data!K686,""))</f>
        <v/>
      </c>
      <c r="H683" s="12" t="str">
        <f>IF(Raw_Data!AI686&lt;&gt;"",Raw_Data!AI686,IF(Raw_Data!L686&lt;&gt;"",Raw_Data!L686,""))</f>
        <v/>
      </c>
      <c r="I683" s="12" t="str">
        <f t="shared" si="90"/>
        <v/>
      </c>
      <c r="J683" s="12" t="str">
        <f>IF(Raw_Data!M686="","",Raw_Data!M686)</f>
        <v/>
      </c>
      <c r="K683" s="12">
        <f>IF(Raw_Data!AJ686&lt;&gt;"",Raw_Data!AJ686,Raw_Data!N686)</f>
        <v>0</v>
      </c>
      <c r="L683" s="12">
        <f t="shared" si="91"/>
        <v>1</v>
      </c>
      <c r="M683" s="12" t="str">
        <f>IF(Raw_Data!AK686="","",Raw_Data!AK686)</f>
        <v/>
      </c>
      <c r="N683" s="12" t="str">
        <f>IF(Raw_Data!T686="","",Raw_Data!T686)</f>
        <v/>
      </c>
      <c r="O683" s="12" t="str">
        <f>IF(Raw_Data!AB686&lt;&gt;"",Raw_Data!AB686,IF(N683="tres_insatisfait",1,IF(N683="insatisfait",2,IF(N683="neutre",3,IF(N683="satisfait",4,IF(N683="tres_satisfait",5,""))))))</f>
        <v/>
      </c>
      <c r="P683" s="12">
        <f>IF(Raw_Data!AL686&lt;&gt;"",Raw_Data!AL686,Raw_Data!R686)</f>
        <v>0</v>
      </c>
      <c r="Q683" s="12">
        <f t="shared" si="92"/>
        <v>0</v>
      </c>
      <c r="R683" s="12" t="str">
        <f>IF(Raw_Data!AM686="","",Raw_Data!AM686)</f>
        <v/>
      </c>
      <c r="S683" s="12" t="str">
        <f t="shared" si="93"/>
        <v/>
      </c>
      <c r="T683" s="12" t="str">
        <f>IF(Raw_Data!AN686="","",Raw_Data!AN686)</f>
        <v/>
      </c>
      <c r="U683" s="12" t="str">
        <f t="shared" si="94"/>
        <v/>
      </c>
      <c r="V683" s="12" t="str">
        <f>IF(Raw_Data!AP686="","",IF(Raw_Data!AP686="oui",1,0))</f>
        <v/>
      </c>
      <c r="W683" s="12" t="str">
        <f>IF(Raw_Data!AQ686="","",IF(Raw_Data!AQ686="oui",1,0))</f>
        <v/>
      </c>
      <c r="X683" s="12" t="str">
        <f>IF(Raw_Data!AR686="","",IF(Raw_Data!AR686="oui",1,0))</f>
        <v/>
      </c>
      <c r="Y683" s="12" t="str">
        <f>IF(Raw_Data!AS686="","",IF(Raw_Data!AS686="oui",1,0))</f>
        <v/>
      </c>
      <c r="Z683" s="12" t="str">
        <f>IF(Raw_Data!V686="","",IF(Raw_Data!V686="oui",1,0))</f>
        <v/>
      </c>
      <c r="AA683" s="12" t="str">
        <f>IF(Raw_Data!W686="","",IF(Raw_Data!W686="oui",1,0))</f>
        <v/>
      </c>
      <c r="AB683" s="12" t="str">
        <f>IF(Raw_Data!Q686="","",IF(Raw_Data!Q686="oui",1,0))</f>
        <v/>
      </c>
      <c r="AC683" s="12">
        <f>Raw_Data!AF686</f>
        <v>0</v>
      </c>
      <c r="AD683" s="12" t="str">
        <f t="shared" si="95"/>
        <v/>
      </c>
      <c r="AE683" s="12" t="str">
        <f t="shared" si="96"/>
        <v/>
      </c>
      <c r="AF683" s="12" t="str">
        <f t="shared" si="97"/>
        <v/>
      </c>
      <c r="AG683" s="12">
        <f t="shared" si="98"/>
        <v>0</v>
      </c>
    </row>
    <row r="684" spans="1:33" ht="15" customHeight="1" x14ac:dyDescent="0.25">
      <c r="A684" s="12" t="str">
        <f>IF(Raw_Data!B687="","",Raw_Data!B687)</f>
        <v/>
      </c>
      <c r="B684" s="12">
        <f>IF(Raw_Data!X687&lt;&gt;"",Raw_Data!X687,Raw_Data!C687)</f>
        <v>0</v>
      </c>
      <c r="C684" s="12" t="str">
        <f>IF(Raw_Data!G687="","",Raw_Data!G687)</f>
        <v/>
      </c>
      <c r="D684" s="12" t="str">
        <f>IF(Raw_Data!H687="","",Raw_Data!H687)</f>
        <v/>
      </c>
      <c r="E684" s="12" t="str">
        <f>IF(Raw_Data!I687="","",Raw_Data!I687)</f>
        <v/>
      </c>
      <c r="F684" s="12" t="str">
        <f>IF(Raw_Data!J687="","",Raw_Data!J687)</f>
        <v/>
      </c>
      <c r="G684" s="12" t="str">
        <f>IF(Raw_Data!AH687&lt;&gt;"",Raw_Data!AH687,IF(Raw_Data!K687&lt;&gt;"",Raw_Data!K687,""))</f>
        <v/>
      </c>
      <c r="H684" s="12" t="str">
        <f>IF(Raw_Data!AI687&lt;&gt;"",Raw_Data!AI687,IF(Raw_Data!L687&lt;&gt;"",Raw_Data!L687,""))</f>
        <v/>
      </c>
      <c r="I684" s="12" t="str">
        <f t="shared" si="90"/>
        <v/>
      </c>
      <c r="J684" s="12" t="str">
        <f>IF(Raw_Data!M687="","",Raw_Data!M687)</f>
        <v/>
      </c>
      <c r="K684" s="12">
        <f>IF(Raw_Data!AJ687&lt;&gt;"",Raw_Data!AJ687,Raw_Data!N687)</f>
        <v>0</v>
      </c>
      <c r="L684" s="12">
        <f t="shared" si="91"/>
        <v>1</v>
      </c>
      <c r="M684" s="12" t="str">
        <f>IF(Raw_Data!AK687="","",Raw_Data!AK687)</f>
        <v/>
      </c>
      <c r="N684" s="12" t="str">
        <f>IF(Raw_Data!T687="","",Raw_Data!T687)</f>
        <v/>
      </c>
      <c r="O684" s="12" t="str">
        <f>IF(Raw_Data!AB687&lt;&gt;"",Raw_Data!AB687,IF(N684="tres_insatisfait",1,IF(N684="insatisfait",2,IF(N684="neutre",3,IF(N684="satisfait",4,IF(N684="tres_satisfait",5,""))))))</f>
        <v/>
      </c>
      <c r="P684" s="12">
        <f>IF(Raw_Data!AL687&lt;&gt;"",Raw_Data!AL687,Raw_Data!R687)</f>
        <v>0</v>
      </c>
      <c r="Q684" s="12">
        <f t="shared" si="92"/>
        <v>0</v>
      </c>
      <c r="R684" s="12" t="str">
        <f>IF(Raw_Data!AM687="","",Raw_Data!AM687)</f>
        <v/>
      </c>
      <c r="S684" s="12" t="str">
        <f t="shared" si="93"/>
        <v/>
      </c>
      <c r="T684" s="12" t="str">
        <f>IF(Raw_Data!AN687="","",Raw_Data!AN687)</f>
        <v/>
      </c>
      <c r="U684" s="12" t="str">
        <f t="shared" si="94"/>
        <v/>
      </c>
      <c r="V684" s="12" t="str">
        <f>IF(Raw_Data!AP687="","",IF(Raw_Data!AP687="oui",1,0))</f>
        <v/>
      </c>
      <c r="W684" s="12" t="str">
        <f>IF(Raw_Data!AQ687="","",IF(Raw_Data!AQ687="oui",1,0))</f>
        <v/>
      </c>
      <c r="X684" s="12" t="str">
        <f>IF(Raw_Data!AR687="","",IF(Raw_Data!AR687="oui",1,0))</f>
        <v/>
      </c>
      <c r="Y684" s="12" t="str">
        <f>IF(Raw_Data!AS687="","",IF(Raw_Data!AS687="oui",1,0))</f>
        <v/>
      </c>
      <c r="Z684" s="12" t="str">
        <f>IF(Raw_Data!V687="","",IF(Raw_Data!V687="oui",1,0))</f>
        <v/>
      </c>
      <c r="AA684" s="12" t="str">
        <f>IF(Raw_Data!W687="","",IF(Raw_Data!W687="oui",1,0))</f>
        <v/>
      </c>
      <c r="AB684" s="12" t="str">
        <f>IF(Raw_Data!Q687="","",IF(Raw_Data!Q687="oui",1,0))</f>
        <v/>
      </c>
      <c r="AC684" s="12">
        <f>Raw_Data!AF687</f>
        <v>0</v>
      </c>
      <c r="AD684" s="12" t="str">
        <f t="shared" si="95"/>
        <v/>
      </c>
      <c r="AE684" s="12" t="str">
        <f t="shared" si="96"/>
        <v/>
      </c>
      <c r="AF684" s="12" t="str">
        <f t="shared" si="97"/>
        <v/>
      </c>
      <c r="AG684" s="12">
        <f t="shared" si="98"/>
        <v>0</v>
      </c>
    </row>
    <row r="685" spans="1:33" ht="15" customHeight="1" x14ac:dyDescent="0.25">
      <c r="A685" s="12" t="str">
        <f>IF(Raw_Data!B688="","",Raw_Data!B688)</f>
        <v/>
      </c>
      <c r="B685" s="12">
        <f>IF(Raw_Data!X688&lt;&gt;"",Raw_Data!X688,Raw_Data!C688)</f>
        <v>0</v>
      </c>
      <c r="C685" s="12" t="str">
        <f>IF(Raw_Data!G688="","",Raw_Data!G688)</f>
        <v/>
      </c>
      <c r="D685" s="12" t="str">
        <f>IF(Raw_Data!H688="","",Raw_Data!H688)</f>
        <v/>
      </c>
      <c r="E685" s="12" t="str">
        <f>IF(Raw_Data!I688="","",Raw_Data!I688)</f>
        <v/>
      </c>
      <c r="F685" s="12" t="str">
        <f>IF(Raw_Data!J688="","",Raw_Data!J688)</f>
        <v/>
      </c>
      <c r="G685" s="12" t="str">
        <f>IF(Raw_Data!AH688&lt;&gt;"",Raw_Data!AH688,IF(Raw_Data!K688&lt;&gt;"",Raw_Data!K688,""))</f>
        <v/>
      </c>
      <c r="H685" s="12" t="str">
        <f>IF(Raw_Data!AI688&lt;&gt;"",Raw_Data!AI688,IF(Raw_Data!L688&lt;&gt;"",Raw_Data!L688,""))</f>
        <v/>
      </c>
      <c r="I685" s="12" t="str">
        <f t="shared" si="90"/>
        <v/>
      </c>
      <c r="J685" s="12" t="str">
        <f>IF(Raw_Data!M688="","",Raw_Data!M688)</f>
        <v/>
      </c>
      <c r="K685" s="12">
        <f>IF(Raw_Data!AJ688&lt;&gt;"",Raw_Data!AJ688,Raw_Data!N688)</f>
        <v>0</v>
      </c>
      <c r="L685" s="12">
        <f t="shared" si="91"/>
        <v>1</v>
      </c>
      <c r="M685" s="12" t="str">
        <f>IF(Raw_Data!AK688="","",Raw_Data!AK688)</f>
        <v/>
      </c>
      <c r="N685" s="12" t="str">
        <f>IF(Raw_Data!T688="","",Raw_Data!T688)</f>
        <v/>
      </c>
      <c r="O685" s="12" t="str">
        <f>IF(Raw_Data!AB688&lt;&gt;"",Raw_Data!AB688,IF(N685="tres_insatisfait",1,IF(N685="insatisfait",2,IF(N685="neutre",3,IF(N685="satisfait",4,IF(N685="tres_satisfait",5,""))))))</f>
        <v/>
      </c>
      <c r="P685" s="12">
        <f>IF(Raw_Data!AL688&lt;&gt;"",Raw_Data!AL688,Raw_Data!R688)</f>
        <v>0</v>
      </c>
      <c r="Q685" s="12">
        <f t="shared" si="92"/>
        <v>0</v>
      </c>
      <c r="R685" s="12" t="str">
        <f>IF(Raw_Data!AM688="","",Raw_Data!AM688)</f>
        <v/>
      </c>
      <c r="S685" s="12" t="str">
        <f t="shared" si="93"/>
        <v/>
      </c>
      <c r="T685" s="12" t="str">
        <f>IF(Raw_Data!AN688="","",Raw_Data!AN688)</f>
        <v/>
      </c>
      <c r="U685" s="12" t="str">
        <f t="shared" si="94"/>
        <v/>
      </c>
      <c r="V685" s="12" t="str">
        <f>IF(Raw_Data!AP688="","",IF(Raw_Data!AP688="oui",1,0))</f>
        <v/>
      </c>
      <c r="W685" s="12" t="str">
        <f>IF(Raw_Data!AQ688="","",IF(Raw_Data!AQ688="oui",1,0))</f>
        <v/>
      </c>
      <c r="X685" s="12" t="str">
        <f>IF(Raw_Data!AR688="","",IF(Raw_Data!AR688="oui",1,0))</f>
        <v/>
      </c>
      <c r="Y685" s="12" t="str">
        <f>IF(Raw_Data!AS688="","",IF(Raw_Data!AS688="oui",1,0))</f>
        <v/>
      </c>
      <c r="Z685" s="12" t="str">
        <f>IF(Raw_Data!V688="","",IF(Raw_Data!V688="oui",1,0))</f>
        <v/>
      </c>
      <c r="AA685" s="12" t="str">
        <f>IF(Raw_Data!W688="","",IF(Raw_Data!W688="oui",1,0))</f>
        <v/>
      </c>
      <c r="AB685" s="12" t="str">
        <f>IF(Raw_Data!Q688="","",IF(Raw_Data!Q688="oui",1,0))</f>
        <v/>
      </c>
      <c r="AC685" s="12">
        <f>Raw_Data!AF688</f>
        <v>0</v>
      </c>
      <c r="AD685" s="12" t="str">
        <f t="shared" si="95"/>
        <v/>
      </c>
      <c r="AE685" s="12" t="str">
        <f t="shared" si="96"/>
        <v/>
      </c>
      <c r="AF685" s="12" t="str">
        <f t="shared" si="97"/>
        <v/>
      </c>
      <c r="AG685" s="12">
        <f t="shared" si="98"/>
        <v>0</v>
      </c>
    </row>
    <row r="686" spans="1:33" ht="15" customHeight="1" x14ac:dyDescent="0.25">
      <c r="A686" s="12" t="str">
        <f>IF(Raw_Data!B689="","",Raw_Data!B689)</f>
        <v/>
      </c>
      <c r="B686" s="12">
        <f>IF(Raw_Data!X689&lt;&gt;"",Raw_Data!X689,Raw_Data!C689)</f>
        <v>0</v>
      </c>
      <c r="C686" s="12" t="str">
        <f>IF(Raw_Data!G689="","",Raw_Data!G689)</f>
        <v/>
      </c>
      <c r="D686" s="12" t="str">
        <f>IF(Raw_Data!H689="","",Raw_Data!H689)</f>
        <v/>
      </c>
      <c r="E686" s="12" t="str">
        <f>IF(Raw_Data!I689="","",Raw_Data!I689)</f>
        <v/>
      </c>
      <c r="F686" s="12" t="str">
        <f>IF(Raw_Data!J689="","",Raw_Data!J689)</f>
        <v/>
      </c>
      <c r="G686" s="12" t="str">
        <f>IF(Raw_Data!AH689&lt;&gt;"",Raw_Data!AH689,IF(Raw_Data!K689&lt;&gt;"",Raw_Data!K689,""))</f>
        <v/>
      </c>
      <c r="H686" s="12" t="str">
        <f>IF(Raw_Data!AI689&lt;&gt;"",Raw_Data!AI689,IF(Raw_Data!L689&lt;&gt;"",Raw_Data!L689,""))</f>
        <v/>
      </c>
      <c r="I686" s="12" t="str">
        <f t="shared" si="90"/>
        <v/>
      </c>
      <c r="J686" s="12" t="str">
        <f>IF(Raw_Data!M689="","",Raw_Data!M689)</f>
        <v/>
      </c>
      <c r="K686" s="12">
        <f>IF(Raw_Data!AJ689&lt;&gt;"",Raw_Data!AJ689,Raw_Data!N689)</f>
        <v>0</v>
      </c>
      <c r="L686" s="12">
        <f t="shared" si="91"/>
        <v>1</v>
      </c>
      <c r="M686" s="12" t="str">
        <f>IF(Raw_Data!AK689="","",Raw_Data!AK689)</f>
        <v/>
      </c>
      <c r="N686" s="12" t="str">
        <f>IF(Raw_Data!T689="","",Raw_Data!T689)</f>
        <v/>
      </c>
      <c r="O686" s="12" t="str">
        <f>IF(Raw_Data!AB689&lt;&gt;"",Raw_Data!AB689,IF(N686="tres_insatisfait",1,IF(N686="insatisfait",2,IF(N686="neutre",3,IF(N686="satisfait",4,IF(N686="tres_satisfait",5,""))))))</f>
        <v/>
      </c>
      <c r="P686" s="12">
        <f>IF(Raw_Data!AL689&lt;&gt;"",Raw_Data!AL689,Raw_Data!R689)</f>
        <v>0</v>
      </c>
      <c r="Q686" s="12">
        <f t="shared" si="92"/>
        <v>0</v>
      </c>
      <c r="R686" s="12" t="str">
        <f>IF(Raw_Data!AM689="","",Raw_Data!AM689)</f>
        <v/>
      </c>
      <c r="S686" s="12" t="str">
        <f t="shared" si="93"/>
        <v/>
      </c>
      <c r="T686" s="12" t="str">
        <f>IF(Raw_Data!AN689="","",Raw_Data!AN689)</f>
        <v/>
      </c>
      <c r="U686" s="12" t="str">
        <f t="shared" si="94"/>
        <v/>
      </c>
      <c r="V686" s="12" t="str">
        <f>IF(Raw_Data!AP689="","",IF(Raw_Data!AP689="oui",1,0))</f>
        <v/>
      </c>
      <c r="W686" s="12" t="str">
        <f>IF(Raw_Data!AQ689="","",IF(Raw_Data!AQ689="oui",1,0))</f>
        <v/>
      </c>
      <c r="X686" s="12" t="str">
        <f>IF(Raw_Data!AR689="","",IF(Raw_Data!AR689="oui",1,0))</f>
        <v/>
      </c>
      <c r="Y686" s="12" t="str">
        <f>IF(Raw_Data!AS689="","",IF(Raw_Data!AS689="oui",1,0))</f>
        <v/>
      </c>
      <c r="Z686" s="12" t="str">
        <f>IF(Raw_Data!V689="","",IF(Raw_Data!V689="oui",1,0))</f>
        <v/>
      </c>
      <c r="AA686" s="12" t="str">
        <f>IF(Raw_Data!W689="","",IF(Raw_Data!W689="oui",1,0))</f>
        <v/>
      </c>
      <c r="AB686" s="12" t="str">
        <f>IF(Raw_Data!Q689="","",IF(Raw_Data!Q689="oui",1,0))</f>
        <v/>
      </c>
      <c r="AC686" s="12">
        <f>Raw_Data!AF689</f>
        <v>0</v>
      </c>
      <c r="AD686" s="12" t="str">
        <f t="shared" si="95"/>
        <v/>
      </c>
      <c r="AE686" s="12" t="str">
        <f t="shared" si="96"/>
        <v/>
      </c>
      <c r="AF686" s="12" t="str">
        <f t="shared" si="97"/>
        <v/>
      </c>
      <c r="AG686" s="12">
        <f t="shared" si="98"/>
        <v>0</v>
      </c>
    </row>
    <row r="687" spans="1:33" ht="15" customHeight="1" x14ac:dyDescent="0.25">
      <c r="A687" s="12" t="str">
        <f>IF(Raw_Data!B690="","",Raw_Data!B690)</f>
        <v/>
      </c>
      <c r="B687" s="12">
        <f>IF(Raw_Data!X690&lt;&gt;"",Raw_Data!X690,Raw_Data!C690)</f>
        <v>0</v>
      </c>
      <c r="C687" s="12" t="str">
        <f>IF(Raw_Data!G690="","",Raw_Data!G690)</f>
        <v/>
      </c>
      <c r="D687" s="12" t="str">
        <f>IF(Raw_Data!H690="","",Raw_Data!H690)</f>
        <v/>
      </c>
      <c r="E687" s="12" t="str">
        <f>IF(Raw_Data!I690="","",Raw_Data!I690)</f>
        <v/>
      </c>
      <c r="F687" s="12" t="str">
        <f>IF(Raw_Data!J690="","",Raw_Data!J690)</f>
        <v/>
      </c>
      <c r="G687" s="12" t="str">
        <f>IF(Raw_Data!AH690&lt;&gt;"",Raw_Data!AH690,IF(Raw_Data!K690&lt;&gt;"",Raw_Data!K690,""))</f>
        <v/>
      </c>
      <c r="H687" s="12" t="str">
        <f>IF(Raw_Data!AI690&lt;&gt;"",Raw_Data!AI690,IF(Raw_Data!L690&lt;&gt;"",Raw_Data!L690,""))</f>
        <v/>
      </c>
      <c r="I687" s="12" t="str">
        <f t="shared" si="90"/>
        <v/>
      </c>
      <c r="J687" s="12" t="str">
        <f>IF(Raw_Data!M690="","",Raw_Data!M690)</f>
        <v/>
      </c>
      <c r="K687" s="12">
        <f>IF(Raw_Data!AJ690&lt;&gt;"",Raw_Data!AJ690,Raw_Data!N690)</f>
        <v>0</v>
      </c>
      <c r="L687" s="12">
        <f t="shared" si="91"/>
        <v>1</v>
      </c>
      <c r="M687" s="12" t="str">
        <f>IF(Raw_Data!AK690="","",Raw_Data!AK690)</f>
        <v/>
      </c>
      <c r="N687" s="12" t="str">
        <f>IF(Raw_Data!T690="","",Raw_Data!T690)</f>
        <v/>
      </c>
      <c r="O687" s="12" t="str">
        <f>IF(Raw_Data!AB690&lt;&gt;"",Raw_Data!AB690,IF(N687="tres_insatisfait",1,IF(N687="insatisfait",2,IF(N687="neutre",3,IF(N687="satisfait",4,IF(N687="tres_satisfait",5,""))))))</f>
        <v/>
      </c>
      <c r="P687" s="12">
        <f>IF(Raw_Data!AL690&lt;&gt;"",Raw_Data!AL690,Raw_Data!R690)</f>
        <v>0</v>
      </c>
      <c r="Q687" s="12">
        <f t="shared" si="92"/>
        <v>0</v>
      </c>
      <c r="R687" s="12" t="str">
        <f>IF(Raw_Data!AM690="","",Raw_Data!AM690)</f>
        <v/>
      </c>
      <c r="S687" s="12" t="str">
        <f t="shared" si="93"/>
        <v/>
      </c>
      <c r="T687" s="12" t="str">
        <f>IF(Raw_Data!AN690="","",Raw_Data!AN690)</f>
        <v/>
      </c>
      <c r="U687" s="12" t="str">
        <f t="shared" si="94"/>
        <v/>
      </c>
      <c r="V687" s="12" t="str">
        <f>IF(Raw_Data!AP690="","",IF(Raw_Data!AP690="oui",1,0))</f>
        <v/>
      </c>
      <c r="W687" s="12" t="str">
        <f>IF(Raw_Data!AQ690="","",IF(Raw_Data!AQ690="oui",1,0))</f>
        <v/>
      </c>
      <c r="X687" s="12" t="str">
        <f>IF(Raw_Data!AR690="","",IF(Raw_Data!AR690="oui",1,0))</f>
        <v/>
      </c>
      <c r="Y687" s="12" t="str">
        <f>IF(Raw_Data!AS690="","",IF(Raw_Data!AS690="oui",1,0))</f>
        <v/>
      </c>
      <c r="Z687" s="12" t="str">
        <f>IF(Raw_Data!V690="","",IF(Raw_Data!V690="oui",1,0))</f>
        <v/>
      </c>
      <c r="AA687" s="12" t="str">
        <f>IF(Raw_Data!W690="","",IF(Raw_Data!W690="oui",1,0))</f>
        <v/>
      </c>
      <c r="AB687" s="12" t="str">
        <f>IF(Raw_Data!Q690="","",IF(Raw_Data!Q690="oui",1,0))</f>
        <v/>
      </c>
      <c r="AC687" s="12">
        <f>Raw_Data!AF690</f>
        <v>0</v>
      </c>
      <c r="AD687" s="12" t="str">
        <f t="shared" si="95"/>
        <v/>
      </c>
      <c r="AE687" s="12" t="str">
        <f t="shared" si="96"/>
        <v/>
      </c>
      <c r="AF687" s="12" t="str">
        <f t="shared" si="97"/>
        <v/>
      </c>
      <c r="AG687" s="12">
        <f t="shared" si="98"/>
        <v>0</v>
      </c>
    </row>
    <row r="688" spans="1:33" ht="15" customHeight="1" x14ac:dyDescent="0.25">
      <c r="A688" s="12" t="str">
        <f>IF(Raw_Data!B691="","",Raw_Data!B691)</f>
        <v/>
      </c>
      <c r="B688" s="12">
        <f>IF(Raw_Data!X691&lt;&gt;"",Raw_Data!X691,Raw_Data!C691)</f>
        <v>0</v>
      </c>
      <c r="C688" s="12" t="str">
        <f>IF(Raw_Data!G691="","",Raw_Data!G691)</f>
        <v/>
      </c>
      <c r="D688" s="12" t="str">
        <f>IF(Raw_Data!H691="","",Raw_Data!H691)</f>
        <v/>
      </c>
      <c r="E688" s="12" t="str">
        <f>IF(Raw_Data!I691="","",Raw_Data!I691)</f>
        <v/>
      </c>
      <c r="F688" s="12" t="str">
        <f>IF(Raw_Data!J691="","",Raw_Data!J691)</f>
        <v/>
      </c>
      <c r="G688" s="12" t="str">
        <f>IF(Raw_Data!AH691&lt;&gt;"",Raw_Data!AH691,IF(Raw_Data!K691&lt;&gt;"",Raw_Data!K691,""))</f>
        <v/>
      </c>
      <c r="H688" s="12" t="str">
        <f>IF(Raw_Data!AI691&lt;&gt;"",Raw_Data!AI691,IF(Raw_Data!L691&lt;&gt;"",Raw_Data!L691,""))</f>
        <v/>
      </c>
      <c r="I688" s="12" t="str">
        <f t="shared" si="90"/>
        <v/>
      </c>
      <c r="J688" s="12" t="str">
        <f>IF(Raw_Data!M691="","",Raw_Data!M691)</f>
        <v/>
      </c>
      <c r="K688" s="12">
        <f>IF(Raw_Data!AJ691&lt;&gt;"",Raw_Data!AJ691,Raw_Data!N691)</f>
        <v>0</v>
      </c>
      <c r="L688" s="12">
        <f t="shared" si="91"/>
        <v>1</v>
      </c>
      <c r="M688" s="12" t="str">
        <f>IF(Raw_Data!AK691="","",Raw_Data!AK691)</f>
        <v/>
      </c>
      <c r="N688" s="12" t="str">
        <f>IF(Raw_Data!T691="","",Raw_Data!T691)</f>
        <v/>
      </c>
      <c r="O688" s="12" t="str">
        <f>IF(Raw_Data!AB691&lt;&gt;"",Raw_Data!AB691,IF(N688="tres_insatisfait",1,IF(N688="insatisfait",2,IF(N688="neutre",3,IF(N688="satisfait",4,IF(N688="tres_satisfait",5,""))))))</f>
        <v/>
      </c>
      <c r="P688" s="12">
        <f>IF(Raw_Data!AL691&lt;&gt;"",Raw_Data!AL691,Raw_Data!R691)</f>
        <v>0</v>
      </c>
      <c r="Q688" s="12">
        <f t="shared" si="92"/>
        <v>0</v>
      </c>
      <c r="R688" s="12" t="str">
        <f>IF(Raw_Data!AM691="","",Raw_Data!AM691)</f>
        <v/>
      </c>
      <c r="S688" s="12" t="str">
        <f t="shared" si="93"/>
        <v/>
      </c>
      <c r="T688" s="12" t="str">
        <f>IF(Raw_Data!AN691="","",Raw_Data!AN691)</f>
        <v/>
      </c>
      <c r="U688" s="12" t="str">
        <f t="shared" si="94"/>
        <v/>
      </c>
      <c r="V688" s="12" t="str">
        <f>IF(Raw_Data!AP691="","",IF(Raw_Data!AP691="oui",1,0))</f>
        <v/>
      </c>
      <c r="W688" s="12" t="str">
        <f>IF(Raw_Data!AQ691="","",IF(Raw_Data!AQ691="oui",1,0))</f>
        <v/>
      </c>
      <c r="X688" s="12" t="str">
        <f>IF(Raw_Data!AR691="","",IF(Raw_Data!AR691="oui",1,0))</f>
        <v/>
      </c>
      <c r="Y688" s="12" t="str">
        <f>IF(Raw_Data!AS691="","",IF(Raw_Data!AS691="oui",1,0))</f>
        <v/>
      </c>
      <c r="Z688" s="12" t="str">
        <f>IF(Raw_Data!V691="","",IF(Raw_Data!V691="oui",1,0))</f>
        <v/>
      </c>
      <c r="AA688" s="12" t="str">
        <f>IF(Raw_Data!W691="","",IF(Raw_Data!W691="oui",1,0))</f>
        <v/>
      </c>
      <c r="AB688" s="12" t="str">
        <f>IF(Raw_Data!Q691="","",IF(Raw_Data!Q691="oui",1,0))</f>
        <v/>
      </c>
      <c r="AC688" s="12">
        <f>Raw_Data!AF691</f>
        <v>0</v>
      </c>
      <c r="AD688" s="12" t="str">
        <f t="shared" si="95"/>
        <v/>
      </c>
      <c r="AE688" s="12" t="str">
        <f t="shared" si="96"/>
        <v/>
      </c>
      <c r="AF688" s="12" t="str">
        <f t="shared" si="97"/>
        <v/>
      </c>
      <c r="AG688" s="12">
        <f t="shared" si="98"/>
        <v>0</v>
      </c>
    </row>
    <row r="689" spans="1:33" ht="15" customHeight="1" x14ac:dyDescent="0.25">
      <c r="A689" s="12" t="str">
        <f>IF(Raw_Data!B692="","",Raw_Data!B692)</f>
        <v/>
      </c>
      <c r="B689" s="12">
        <f>IF(Raw_Data!X692&lt;&gt;"",Raw_Data!X692,Raw_Data!C692)</f>
        <v>0</v>
      </c>
      <c r="C689" s="12" t="str">
        <f>IF(Raw_Data!G692="","",Raw_Data!G692)</f>
        <v/>
      </c>
      <c r="D689" s="12" t="str">
        <f>IF(Raw_Data!H692="","",Raw_Data!H692)</f>
        <v/>
      </c>
      <c r="E689" s="12" t="str">
        <f>IF(Raw_Data!I692="","",Raw_Data!I692)</f>
        <v/>
      </c>
      <c r="F689" s="12" t="str">
        <f>IF(Raw_Data!J692="","",Raw_Data!J692)</f>
        <v/>
      </c>
      <c r="G689" s="12" t="str">
        <f>IF(Raw_Data!AH692&lt;&gt;"",Raw_Data!AH692,IF(Raw_Data!K692&lt;&gt;"",Raw_Data!K692,""))</f>
        <v/>
      </c>
      <c r="H689" s="12" t="str">
        <f>IF(Raw_Data!AI692&lt;&gt;"",Raw_Data!AI692,IF(Raw_Data!L692&lt;&gt;"",Raw_Data!L692,""))</f>
        <v/>
      </c>
      <c r="I689" s="12" t="str">
        <f t="shared" si="90"/>
        <v/>
      </c>
      <c r="J689" s="12" t="str">
        <f>IF(Raw_Data!M692="","",Raw_Data!M692)</f>
        <v/>
      </c>
      <c r="K689" s="12">
        <f>IF(Raw_Data!AJ692&lt;&gt;"",Raw_Data!AJ692,Raw_Data!N692)</f>
        <v>0</v>
      </c>
      <c r="L689" s="12">
        <f t="shared" si="91"/>
        <v>1</v>
      </c>
      <c r="M689" s="12" t="str">
        <f>IF(Raw_Data!AK692="","",Raw_Data!AK692)</f>
        <v/>
      </c>
      <c r="N689" s="12" t="str">
        <f>IF(Raw_Data!T692="","",Raw_Data!T692)</f>
        <v/>
      </c>
      <c r="O689" s="12" t="str">
        <f>IF(Raw_Data!AB692&lt;&gt;"",Raw_Data!AB692,IF(N689="tres_insatisfait",1,IF(N689="insatisfait",2,IF(N689="neutre",3,IF(N689="satisfait",4,IF(N689="tres_satisfait",5,""))))))</f>
        <v/>
      </c>
      <c r="P689" s="12">
        <f>IF(Raw_Data!AL692&lt;&gt;"",Raw_Data!AL692,Raw_Data!R692)</f>
        <v>0</v>
      </c>
      <c r="Q689" s="12">
        <f t="shared" si="92"/>
        <v>0</v>
      </c>
      <c r="R689" s="12" t="str">
        <f>IF(Raw_Data!AM692="","",Raw_Data!AM692)</f>
        <v/>
      </c>
      <c r="S689" s="12" t="str">
        <f t="shared" si="93"/>
        <v/>
      </c>
      <c r="T689" s="12" t="str">
        <f>IF(Raw_Data!AN692="","",Raw_Data!AN692)</f>
        <v/>
      </c>
      <c r="U689" s="12" t="str">
        <f t="shared" si="94"/>
        <v/>
      </c>
      <c r="V689" s="12" t="str">
        <f>IF(Raw_Data!AP692="","",IF(Raw_Data!AP692="oui",1,0))</f>
        <v/>
      </c>
      <c r="W689" s="12" t="str">
        <f>IF(Raw_Data!AQ692="","",IF(Raw_Data!AQ692="oui",1,0))</f>
        <v/>
      </c>
      <c r="X689" s="12" t="str">
        <f>IF(Raw_Data!AR692="","",IF(Raw_Data!AR692="oui",1,0))</f>
        <v/>
      </c>
      <c r="Y689" s="12" t="str">
        <f>IF(Raw_Data!AS692="","",IF(Raw_Data!AS692="oui",1,0))</f>
        <v/>
      </c>
      <c r="Z689" s="12" t="str">
        <f>IF(Raw_Data!V692="","",IF(Raw_Data!V692="oui",1,0))</f>
        <v/>
      </c>
      <c r="AA689" s="12" t="str">
        <f>IF(Raw_Data!W692="","",IF(Raw_Data!W692="oui",1,0))</f>
        <v/>
      </c>
      <c r="AB689" s="12" t="str">
        <f>IF(Raw_Data!Q692="","",IF(Raw_Data!Q692="oui",1,0))</f>
        <v/>
      </c>
      <c r="AC689" s="12">
        <f>Raw_Data!AF692</f>
        <v>0</v>
      </c>
      <c r="AD689" s="12" t="str">
        <f t="shared" si="95"/>
        <v/>
      </c>
      <c r="AE689" s="12" t="str">
        <f t="shared" si="96"/>
        <v/>
      </c>
      <c r="AF689" s="12" t="str">
        <f t="shared" si="97"/>
        <v/>
      </c>
      <c r="AG689" s="12">
        <f t="shared" si="98"/>
        <v>0</v>
      </c>
    </row>
    <row r="690" spans="1:33" ht="15" customHeight="1" x14ac:dyDescent="0.25">
      <c r="A690" s="12" t="str">
        <f>IF(Raw_Data!B693="","",Raw_Data!B693)</f>
        <v/>
      </c>
      <c r="B690" s="12">
        <f>IF(Raw_Data!X693&lt;&gt;"",Raw_Data!X693,Raw_Data!C693)</f>
        <v>0</v>
      </c>
      <c r="C690" s="12" t="str">
        <f>IF(Raw_Data!G693="","",Raw_Data!G693)</f>
        <v/>
      </c>
      <c r="D690" s="12" t="str">
        <f>IF(Raw_Data!H693="","",Raw_Data!H693)</f>
        <v/>
      </c>
      <c r="E690" s="12" t="str">
        <f>IF(Raw_Data!I693="","",Raw_Data!I693)</f>
        <v/>
      </c>
      <c r="F690" s="12" t="str">
        <f>IF(Raw_Data!J693="","",Raw_Data!J693)</f>
        <v/>
      </c>
      <c r="G690" s="12" t="str">
        <f>IF(Raw_Data!AH693&lt;&gt;"",Raw_Data!AH693,IF(Raw_Data!K693&lt;&gt;"",Raw_Data!K693,""))</f>
        <v/>
      </c>
      <c r="H690" s="12" t="str">
        <f>IF(Raw_Data!AI693&lt;&gt;"",Raw_Data!AI693,IF(Raw_Data!L693&lt;&gt;"",Raw_Data!L693,""))</f>
        <v/>
      </c>
      <c r="I690" s="12" t="str">
        <f t="shared" si="90"/>
        <v/>
      </c>
      <c r="J690" s="12" t="str">
        <f>IF(Raw_Data!M693="","",Raw_Data!M693)</f>
        <v/>
      </c>
      <c r="K690" s="12">
        <f>IF(Raw_Data!AJ693&lt;&gt;"",Raw_Data!AJ693,Raw_Data!N693)</f>
        <v>0</v>
      </c>
      <c r="L690" s="12">
        <f t="shared" si="91"/>
        <v>1</v>
      </c>
      <c r="M690" s="12" t="str">
        <f>IF(Raw_Data!AK693="","",Raw_Data!AK693)</f>
        <v/>
      </c>
      <c r="N690" s="12" t="str">
        <f>IF(Raw_Data!T693="","",Raw_Data!T693)</f>
        <v/>
      </c>
      <c r="O690" s="12" t="str">
        <f>IF(Raw_Data!AB693&lt;&gt;"",Raw_Data!AB693,IF(N690="tres_insatisfait",1,IF(N690="insatisfait",2,IF(N690="neutre",3,IF(N690="satisfait",4,IF(N690="tres_satisfait",5,""))))))</f>
        <v/>
      </c>
      <c r="P690" s="12">
        <f>IF(Raw_Data!AL693&lt;&gt;"",Raw_Data!AL693,Raw_Data!R693)</f>
        <v>0</v>
      </c>
      <c r="Q690" s="12">
        <f t="shared" si="92"/>
        <v>0</v>
      </c>
      <c r="R690" s="12" t="str">
        <f>IF(Raw_Data!AM693="","",Raw_Data!AM693)</f>
        <v/>
      </c>
      <c r="S690" s="12" t="str">
        <f t="shared" si="93"/>
        <v/>
      </c>
      <c r="T690" s="12" t="str">
        <f>IF(Raw_Data!AN693="","",Raw_Data!AN693)</f>
        <v/>
      </c>
      <c r="U690" s="12" t="str">
        <f t="shared" si="94"/>
        <v/>
      </c>
      <c r="V690" s="12" t="str">
        <f>IF(Raw_Data!AP693="","",IF(Raw_Data!AP693="oui",1,0))</f>
        <v/>
      </c>
      <c r="W690" s="12" t="str">
        <f>IF(Raw_Data!AQ693="","",IF(Raw_Data!AQ693="oui",1,0))</f>
        <v/>
      </c>
      <c r="X690" s="12" t="str">
        <f>IF(Raw_Data!AR693="","",IF(Raw_Data!AR693="oui",1,0))</f>
        <v/>
      </c>
      <c r="Y690" s="12" t="str">
        <f>IF(Raw_Data!AS693="","",IF(Raw_Data!AS693="oui",1,0))</f>
        <v/>
      </c>
      <c r="Z690" s="12" t="str">
        <f>IF(Raw_Data!V693="","",IF(Raw_Data!V693="oui",1,0))</f>
        <v/>
      </c>
      <c r="AA690" s="12" t="str">
        <f>IF(Raw_Data!W693="","",IF(Raw_Data!W693="oui",1,0))</f>
        <v/>
      </c>
      <c r="AB690" s="12" t="str">
        <f>IF(Raw_Data!Q693="","",IF(Raw_Data!Q693="oui",1,0))</f>
        <v/>
      </c>
      <c r="AC690" s="12">
        <f>Raw_Data!AF693</f>
        <v>0</v>
      </c>
      <c r="AD690" s="12" t="str">
        <f t="shared" si="95"/>
        <v/>
      </c>
      <c r="AE690" s="12" t="str">
        <f t="shared" si="96"/>
        <v/>
      </c>
      <c r="AF690" s="12" t="str">
        <f t="shared" si="97"/>
        <v/>
      </c>
      <c r="AG690" s="12">
        <f t="shared" si="98"/>
        <v>0</v>
      </c>
    </row>
    <row r="691" spans="1:33" ht="15" customHeight="1" x14ac:dyDescent="0.25">
      <c r="A691" s="12" t="str">
        <f>IF(Raw_Data!B694="","",Raw_Data!B694)</f>
        <v/>
      </c>
      <c r="B691" s="12">
        <f>IF(Raw_Data!X694&lt;&gt;"",Raw_Data!X694,Raw_Data!C694)</f>
        <v>0</v>
      </c>
      <c r="C691" s="12" t="str">
        <f>IF(Raw_Data!G694="","",Raw_Data!G694)</f>
        <v/>
      </c>
      <c r="D691" s="12" t="str">
        <f>IF(Raw_Data!H694="","",Raw_Data!H694)</f>
        <v/>
      </c>
      <c r="E691" s="12" t="str">
        <f>IF(Raw_Data!I694="","",Raw_Data!I694)</f>
        <v/>
      </c>
      <c r="F691" s="12" t="str">
        <f>IF(Raw_Data!J694="","",Raw_Data!J694)</f>
        <v/>
      </c>
      <c r="G691" s="12" t="str">
        <f>IF(Raw_Data!AH694&lt;&gt;"",Raw_Data!AH694,IF(Raw_Data!K694&lt;&gt;"",Raw_Data!K694,""))</f>
        <v/>
      </c>
      <c r="H691" s="12" t="str">
        <f>IF(Raw_Data!AI694&lt;&gt;"",Raw_Data!AI694,IF(Raw_Data!L694&lt;&gt;"",Raw_Data!L694,""))</f>
        <v/>
      </c>
      <c r="I691" s="12" t="str">
        <f t="shared" si="90"/>
        <v/>
      </c>
      <c r="J691" s="12" t="str">
        <f>IF(Raw_Data!M694="","",Raw_Data!M694)</f>
        <v/>
      </c>
      <c r="K691" s="12">
        <f>IF(Raw_Data!AJ694&lt;&gt;"",Raw_Data!AJ694,Raw_Data!N694)</f>
        <v>0</v>
      </c>
      <c r="L691" s="12">
        <f t="shared" si="91"/>
        <v>1</v>
      </c>
      <c r="M691" s="12" t="str">
        <f>IF(Raw_Data!AK694="","",Raw_Data!AK694)</f>
        <v/>
      </c>
      <c r="N691" s="12" t="str">
        <f>IF(Raw_Data!T694="","",Raw_Data!T694)</f>
        <v/>
      </c>
      <c r="O691" s="12" t="str">
        <f>IF(Raw_Data!AB694&lt;&gt;"",Raw_Data!AB694,IF(N691="tres_insatisfait",1,IF(N691="insatisfait",2,IF(N691="neutre",3,IF(N691="satisfait",4,IF(N691="tres_satisfait",5,""))))))</f>
        <v/>
      </c>
      <c r="P691" s="12">
        <f>IF(Raw_Data!AL694&lt;&gt;"",Raw_Data!AL694,Raw_Data!R694)</f>
        <v>0</v>
      </c>
      <c r="Q691" s="12">
        <f t="shared" si="92"/>
        <v>0</v>
      </c>
      <c r="R691" s="12" t="str">
        <f>IF(Raw_Data!AM694="","",Raw_Data!AM694)</f>
        <v/>
      </c>
      <c r="S691" s="12" t="str">
        <f t="shared" si="93"/>
        <v/>
      </c>
      <c r="T691" s="12" t="str">
        <f>IF(Raw_Data!AN694="","",Raw_Data!AN694)</f>
        <v/>
      </c>
      <c r="U691" s="12" t="str">
        <f t="shared" si="94"/>
        <v/>
      </c>
      <c r="V691" s="12" t="str">
        <f>IF(Raw_Data!AP694="","",IF(Raw_Data!AP694="oui",1,0))</f>
        <v/>
      </c>
      <c r="W691" s="12" t="str">
        <f>IF(Raw_Data!AQ694="","",IF(Raw_Data!AQ694="oui",1,0))</f>
        <v/>
      </c>
      <c r="X691" s="12" t="str">
        <f>IF(Raw_Data!AR694="","",IF(Raw_Data!AR694="oui",1,0))</f>
        <v/>
      </c>
      <c r="Y691" s="12" t="str">
        <f>IF(Raw_Data!AS694="","",IF(Raw_Data!AS694="oui",1,0))</f>
        <v/>
      </c>
      <c r="Z691" s="12" t="str">
        <f>IF(Raw_Data!V694="","",IF(Raw_Data!V694="oui",1,0))</f>
        <v/>
      </c>
      <c r="AA691" s="12" t="str">
        <f>IF(Raw_Data!W694="","",IF(Raw_Data!W694="oui",1,0))</f>
        <v/>
      </c>
      <c r="AB691" s="12" t="str">
        <f>IF(Raw_Data!Q694="","",IF(Raw_Data!Q694="oui",1,0))</f>
        <v/>
      </c>
      <c r="AC691" s="12">
        <f>Raw_Data!AF694</f>
        <v>0</v>
      </c>
      <c r="AD691" s="12" t="str">
        <f t="shared" si="95"/>
        <v/>
      </c>
      <c r="AE691" s="12" t="str">
        <f t="shared" si="96"/>
        <v/>
      </c>
      <c r="AF691" s="12" t="str">
        <f t="shared" si="97"/>
        <v/>
      </c>
      <c r="AG691" s="12">
        <f t="shared" si="98"/>
        <v>0</v>
      </c>
    </row>
    <row r="692" spans="1:33" ht="15" customHeight="1" x14ac:dyDescent="0.25">
      <c r="A692" s="12" t="str">
        <f>IF(Raw_Data!B695="","",Raw_Data!B695)</f>
        <v/>
      </c>
      <c r="B692" s="12">
        <f>IF(Raw_Data!X695&lt;&gt;"",Raw_Data!X695,Raw_Data!C695)</f>
        <v>0</v>
      </c>
      <c r="C692" s="12" t="str">
        <f>IF(Raw_Data!G695="","",Raw_Data!G695)</f>
        <v/>
      </c>
      <c r="D692" s="12" t="str">
        <f>IF(Raw_Data!H695="","",Raw_Data!H695)</f>
        <v/>
      </c>
      <c r="E692" s="12" t="str">
        <f>IF(Raw_Data!I695="","",Raw_Data!I695)</f>
        <v/>
      </c>
      <c r="F692" s="12" t="str">
        <f>IF(Raw_Data!J695="","",Raw_Data!J695)</f>
        <v/>
      </c>
      <c r="G692" s="12" t="str">
        <f>IF(Raw_Data!AH695&lt;&gt;"",Raw_Data!AH695,IF(Raw_Data!K695&lt;&gt;"",Raw_Data!K695,""))</f>
        <v/>
      </c>
      <c r="H692" s="12" t="str">
        <f>IF(Raw_Data!AI695&lt;&gt;"",Raw_Data!AI695,IF(Raw_Data!L695&lt;&gt;"",Raw_Data!L695,""))</f>
        <v/>
      </c>
      <c r="I692" s="12" t="str">
        <f t="shared" si="90"/>
        <v/>
      </c>
      <c r="J692" s="12" t="str">
        <f>IF(Raw_Data!M695="","",Raw_Data!M695)</f>
        <v/>
      </c>
      <c r="K692" s="12">
        <f>IF(Raw_Data!AJ695&lt;&gt;"",Raw_Data!AJ695,Raw_Data!N695)</f>
        <v>0</v>
      </c>
      <c r="L692" s="12">
        <f t="shared" si="91"/>
        <v>1</v>
      </c>
      <c r="M692" s="12" t="str">
        <f>IF(Raw_Data!AK695="","",Raw_Data!AK695)</f>
        <v/>
      </c>
      <c r="N692" s="12" t="str">
        <f>IF(Raw_Data!T695="","",Raw_Data!T695)</f>
        <v/>
      </c>
      <c r="O692" s="12" t="str">
        <f>IF(Raw_Data!AB695&lt;&gt;"",Raw_Data!AB695,IF(N692="tres_insatisfait",1,IF(N692="insatisfait",2,IF(N692="neutre",3,IF(N692="satisfait",4,IF(N692="tres_satisfait",5,""))))))</f>
        <v/>
      </c>
      <c r="P692" s="12">
        <f>IF(Raw_Data!AL695&lt;&gt;"",Raw_Data!AL695,Raw_Data!R695)</f>
        <v>0</v>
      </c>
      <c r="Q692" s="12">
        <f t="shared" si="92"/>
        <v>0</v>
      </c>
      <c r="R692" s="12" t="str">
        <f>IF(Raw_Data!AM695="","",Raw_Data!AM695)</f>
        <v/>
      </c>
      <c r="S692" s="12" t="str">
        <f t="shared" si="93"/>
        <v/>
      </c>
      <c r="T692" s="12" t="str">
        <f>IF(Raw_Data!AN695="","",Raw_Data!AN695)</f>
        <v/>
      </c>
      <c r="U692" s="12" t="str">
        <f t="shared" si="94"/>
        <v/>
      </c>
      <c r="V692" s="12" t="str">
        <f>IF(Raw_Data!AP695="","",IF(Raw_Data!AP695="oui",1,0))</f>
        <v/>
      </c>
      <c r="W692" s="12" t="str">
        <f>IF(Raw_Data!AQ695="","",IF(Raw_Data!AQ695="oui",1,0))</f>
        <v/>
      </c>
      <c r="X692" s="12" t="str">
        <f>IF(Raw_Data!AR695="","",IF(Raw_Data!AR695="oui",1,0))</f>
        <v/>
      </c>
      <c r="Y692" s="12" t="str">
        <f>IF(Raw_Data!AS695="","",IF(Raw_Data!AS695="oui",1,0))</f>
        <v/>
      </c>
      <c r="Z692" s="12" t="str">
        <f>IF(Raw_Data!V695="","",IF(Raw_Data!V695="oui",1,0))</f>
        <v/>
      </c>
      <c r="AA692" s="12" t="str">
        <f>IF(Raw_Data!W695="","",IF(Raw_Data!W695="oui",1,0))</f>
        <v/>
      </c>
      <c r="AB692" s="12" t="str">
        <f>IF(Raw_Data!Q695="","",IF(Raw_Data!Q695="oui",1,0))</f>
        <v/>
      </c>
      <c r="AC692" s="12">
        <f>Raw_Data!AF695</f>
        <v>0</v>
      </c>
      <c r="AD692" s="12" t="str">
        <f t="shared" si="95"/>
        <v/>
      </c>
      <c r="AE692" s="12" t="str">
        <f t="shared" si="96"/>
        <v/>
      </c>
      <c r="AF692" s="12" t="str">
        <f t="shared" si="97"/>
        <v/>
      </c>
      <c r="AG692" s="12">
        <f t="shared" si="98"/>
        <v>0</v>
      </c>
    </row>
    <row r="693" spans="1:33" ht="15" customHeight="1" x14ac:dyDescent="0.25">
      <c r="A693" s="12" t="str">
        <f>IF(Raw_Data!B696="","",Raw_Data!B696)</f>
        <v/>
      </c>
      <c r="B693" s="12">
        <f>IF(Raw_Data!X696&lt;&gt;"",Raw_Data!X696,Raw_Data!C696)</f>
        <v>0</v>
      </c>
      <c r="C693" s="12" t="str">
        <f>IF(Raw_Data!G696="","",Raw_Data!G696)</f>
        <v/>
      </c>
      <c r="D693" s="12" t="str">
        <f>IF(Raw_Data!H696="","",Raw_Data!H696)</f>
        <v/>
      </c>
      <c r="E693" s="12" t="str">
        <f>IF(Raw_Data!I696="","",Raw_Data!I696)</f>
        <v/>
      </c>
      <c r="F693" s="12" t="str">
        <f>IF(Raw_Data!J696="","",Raw_Data!J696)</f>
        <v/>
      </c>
      <c r="G693" s="12" t="str">
        <f>IF(Raw_Data!AH696&lt;&gt;"",Raw_Data!AH696,IF(Raw_Data!K696&lt;&gt;"",Raw_Data!K696,""))</f>
        <v/>
      </c>
      <c r="H693" s="12" t="str">
        <f>IF(Raw_Data!AI696&lt;&gt;"",Raw_Data!AI696,IF(Raw_Data!L696&lt;&gt;"",Raw_Data!L696,""))</f>
        <v/>
      </c>
      <c r="I693" s="12" t="str">
        <f t="shared" si="90"/>
        <v/>
      </c>
      <c r="J693" s="12" t="str">
        <f>IF(Raw_Data!M696="","",Raw_Data!M696)</f>
        <v/>
      </c>
      <c r="K693" s="12">
        <f>IF(Raw_Data!AJ696&lt;&gt;"",Raw_Data!AJ696,Raw_Data!N696)</f>
        <v>0</v>
      </c>
      <c r="L693" s="12">
        <f t="shared" si="91"/>
        <v>1</v>
      </c>
      <c r="M693" s="12" t="str">
        <f>IF(Raw_Data!AK696="","",Raw_Data!AK696)</f>
        <v/>
      </c>
      <c r="N693" s="12" t="str">
        <f>IF(Raw_Data!T696="","",Raw_Data!T696)</f>
        <v/>
      </c>
      <c r="O693" s="12" t="str">
        <f>IF(Raw_Data!AB696&lt;&gt;"",Raw_Data!AB696,IF(N693="tres_insatisfait",1,IF(N693="insatisfait",2,IF(N693="neutre",3,IF(N693="satisfait",4,IF(N693="tres_satisfait",5,""))))))</f>
        <v/>
      </c>
      <c r="P693" s="12">
        <f>IF(Raw_Data!AL696&lt;&gt;"",Raw_Data!AL696,Raw_Data!R696)</f>
        <v>0</v>
      </c>
      <c r="Q693" s="12">
        <f t="shared" si="92"/>
        <v>0</v>
      </c>
      <c r="R693" s="12" t="str">
        <f>IF(Raw_Data!AM696="","",Raw_Data!AM696)</f>
        <v/>
      </c>
      <c r="S693" s="12" t="str">
        <f t="shared" si="93"/>
        <v/>
      </c>
      <c r="T693" s="12" t="str">
        <f>IF(Raw_Data!AN696="","",Raw_Data!AN696)</f>
        <v/>
      </c>
      <c r="U693" s="12" t="str">
        <f t="shared" si="94"/>
        <v/>
      </c>
      <c r="V693" s="12" t="str">
        <f>IF(Raw_Data!AP696="","",IF(Raw_Data!AP696="oui",1,0))</f>
        <v/>
      </c>
      <c r="W693" s="12" t="str">
        <f>IF(Raw_Data!AQ696="","",IF(Raw_Data!AQ696="oui",1,0))</f>
        <v/>
      </c>
      <c r="X693" s="12" t="str">
        <f>IF(Raw_Data!AR696="","",IF(Raw_Data!AR696="oui",1,0))</f>
        <v/>
      </c>
      <c r="Y693" s="12" t="str">
        <f>IF(Raw_Data!AS696="","",IF(Raw_Data!AS696="oui",1,0))</f>
        <v/>
      </c>
      <c r="Z693" s="12" t="str">
        <f>IF(Raw_Data!V696="","",IF(Raw_Data!V696="oui",1,0))</f>
        <v/>
      </c>
      <c r="AA693" s="12" t="str">
        <f>IF(Raw_Data!W696="","",IF(Raw_Data!W696="oui",1,0))</f>
        <v/>
      </c>
      <c r="AB693" s="12" t="str">
        <f>IF(Raw_Data!Q696="","",IF(Raw_Data!Q696="oui",1,0))</f>
        <v/>
      </c>
      <c r="AC693" s="12">
        <f>Raw_Data!AF696</f>
        <v>0</v>
      </c>
      <c r="AD693" s="12" t="str">
        <f t="shared" si="95"/>
        <v/>
      </c>
      <c r="AE693" s="12" t="str">
        <f t="shared" si="96"/>
        <v/>
      </c>
      <c r="AF693" s="12" t="str">
        <f t="shared" si="97"/>
        <v/>
      </c>
      <c r="AG693" s="12">
        <f t="shared" si="98"/>
        <v>0</v>
      </c>
    </row>
    <row r="694" spans="1:33" ht="15" customHeight="1" x14ac:dyDescent="0.25">
      <c r="A694" s="12" t="str">
        <f>IF(Raw_Data!B697="","",Raw_Data!B697)</f>
        <v/>
      </c>
      <c r="B694" s="12">
        <f>IF(Raw_Data!X697&lt;&gt;"",Raw_Data!X697,Raw_Data!C697)</f>
        <v>0</v>
      </c>
      <c r="C694" s="12" t="str">
        <f>IF(Raw_Data!G697="","",Raw_Data!G697)</f>
        <v/>
      </c>
      <c r="D694" s="12" t="str">
        <f>IF(Raw_Data!H697="","",Raw_Data!H697)</f>
        <v/>
      </c>
      <c r="E694" s="12" t="str">
        <f>IF(Raw_Data!I697="","",Raw_Data!I697)</f>
        <v/>
      </c>
      <c r="F694" s="12" t="str">
        <f>IF(Raw_Data!J697="","",Raw_Data!J697)</f>
        <v/>
      </c>
      <c r="G694" s="12" t="str">
        <f>IF(Raw_Data!AH697&lt;&gt;"",Raw_Data!AH697,IF(Raw_Data!K697&lt;&gt;"",Raw_Data!K697,""))</f>
        <v/>
      </c>
      <c r="H694" s="12" t="str">
        <f>IF(Raw_Data!AI697&lt;&gt;"",Raw_Data!AI697,IF(Raw_Data!L697&lt;&gt;"",Raw_Data!L697,""))</f>
        <v/>
      </c>
      <c r="I694" s="12" t="str">
        <f t="shared" si="90"/>
        <v/>
      </c>
      <c r="J694" s="12" t="str">
        <f>IF(Raw_Data!M697="","",Raw_Data!M697)</f>
        <v/>
      </c>
      <c r="K694" s="12">
        <f>IF(Raw_Data!AJ697&lt;&gt;"",Raw_Data!AJ697,Raw_Data!N697)</f>
        <v>0</v>
      </c>
      <c r="L694" s="12">
        <f t="shared" si="91"/>
        <v>1</v>
      </c>
      <c r="M694" s="12" t="str">
        <f>IF(Raw_Data!AK697="","",Raw_Data!AK697)</f>
        <v/>
      </c>
      <c r="N694" s="12" t="str">
        <f>IF(Raw_Data!T697="","",Raw_Data!T697)</f>
        <v/>
      </c>
      <c r="O694" s="12" t="str">
        <f>IF(Raw_Data!AB697&lt;&gt;"",Raw_Data!AB697,IF(N694="tres_insatisfait",1,IF(N694="insatisfait",2,IF(N694="neutre",3,IF(N694="satisfait",4,IF(N694="tres_satisfait",5,""))))))</f>
        <v/>
      </c>
      <c r="P694" s="12">
        <f>IF(Raw_Data!AL697&lt;&gt;"",Raw_Data!AL697,Raw_Data!R697)</f>
        <v>0</v>
      </c>
      <c r="Q694" s="12">
        <f t="shared" si="92"/>
        <v>0</v>
      </c>
      <c r="R694" s="12" t="str">
        <f>IF(Raw_Data!AM697="","",Raw_Data!AM697)</f>
        <v/>
      </c>
      <c r="S694" s="12" t="str">
        <f t="shared" si="93"/>
        <v/>
      </c>
      <c r="T694" s="12" t="str">
        <f>IF(Raw_Data!AN697="","",Raw_Data!AN697)</f>
        <v/>
      </c>
      <c r="U694" s="12" t="str">
        <f t="shared" si="94"/>
        <v/>
      </c>
      <c r="V694" s="12" t="str">
        <f>IF(Raw_Data!AP697="","",IF(Raw_Data!AP697="oui",1,0))</f>
        <v/>
      </c>
      <c r="W694" s="12" t="str">
        <f>IF(Raw_Data!AQ697="","",IF(Raw_Data!AQ697="oui",1,0))</f>
        <v/>
      </c>
      <c r="X694" s="12" t="str">
        <f>IF(Raw_Data!AR697="","",IF(Raw_Data!AR697="oui",1,0))</f>
        <v/>
      </c>
      <c r="Y694" s="12" t="str">
        <f>IF(Raw_Data!AS697="","",IF(Raw_Data!AS697="oui",1,0))</f>
        <v/>
      </c>
      <c r="Z694" s="12" t="str">
        <f>IF(Raw_Data!V697="","",IF(Raw_Data!V697="oui",1,0))</f>
        <v/>
      </c>
      <c r="AA694" s="12" t="str">
        <f>IF(Raw_Data!W697="","",IF(Raw_Data!W697="oui",1,0))</f>
        <v/>
      </c>
      <c r="AB694" s="12" t="str">
        <f>IF(Raw_Data!Q697="","",IF(Raw_Data!Q697="oui",1,0))</f>
        <v/>
      </c>
      <c r="AC694" s="12">
        <f>Raw_Data!AF697</f>
        <v>0</v>
      </c>
      <c r="AD694" s="12" t="str">
        <f t="shared" si="95"/>
        <v/>
      </c>
      <c r="AE694" s="12" t="str">
        <f t="shared" si="96"/>
        <v/>
      </c>
      <c r="AF694" s="12" t="str">
        <f t="shared" si="97"/>
        <v/>
      </c>
      <c r="AG694" s="12">
        <f t="shared" si="98"/>
        <v>0</v>
      </c>
    </row>
    <row r="695" spans="1:33" ht="15" customHeight="1" x14ac:dyDescent="0.25">
      <c r="A695" s="12" t="str">
        <f>IF(Raw_Data!B698="","",Raw_Data!B698)</f>
        <v/>
      </c>
      <c r="B695" s="12">
        <f>IF(Raw_Data!X698&lt;&gt;"",Raw_Data!X698,Raw_Data!C698)</f>
        <v>0</v>
      </c>
      <c r="C695" s="12" t="str">
        <f>IF(Raw_Data!G698="","",Raw_Data!G698)</f>
        <v/>
      </c>
      <c r="D695" s="12" t="str">
        <f>IF(Raw_Data!H698="","",Raw_Data!H698)</f>
        <v/>
      </c>
      <c r="E695" s="12" t="str">
        <f>IF(Raw_Data!I698="","",Raw_Data!I698)</f>
        <v/>
      </c>
      <c r="F695" s="12" t="str">
        <f>IF(Raw_Data!J698="","",Raw_Data!J698)</f>
        <v/>
      </c>
      <c r="G695" s="12" t="str">
        <f>IF(Raw_Data!AH698&lt;&gt;"",Raw_Data!AH698,IF(Raw_Data!K698&lt;&gt;"",Raw_Data!K698,""))</f>
        <v/>
      </c>
      <c r="H695" s="12" t="str">
        <f>IF(Raw_Data!AI698&lt;&gt;"",Raw_Data!AI698,IF(Raw_Data!L698&lt;&gt;"",Raw_Data!L698,""))</f>
        <v/>
      </c>
      <c r="I695" s="12" t="str">
        <f t="shared" si="90"/>
        <v/>
      </c>
      <c r="J695" s="12" t="str">
        <f>IF(Raw_Data!M698="","",Raw_Data!M698)</f>
        <v/>
      </c>
      <c r="K695" s="12">
        <f>IF(Raw_Data!AJ698&lt;&gt;"",Raw_Data!AJ698,Raw_Data!N698)</f>
        <v>0</v>
      </c>
      <c r="L695" s="12">
        <f t="shared" si="91"/>
        <v>1</v>
      </c>
      <c r="M695" s="12" t="str">
        <f>IF(Raw_Data!AK698="","",Raw_Data!AK698)</f>
        <v/>
      </c>
      <c r="N695" s="12" t="str">
        <f>IF(Raw_Data!T698="","",Raw_Data!T698)</f>
        <v/>
      </c>
      <c r="O695" s="12" t="str">
        <f>IF(Raw_Data!AB698&lt;&gt;"",Raw_Data!AB698,IF(N695="tres_insatisfait",1,IF(N695="insatisfait",2,IF(N695="neutre",3,IF(N695="satisfait",4,IF(N695="tres_satisfait",5,""))))))</f>
        <v/>
      </c>
      <c r="P695" s="12">
        <f>IF(Raw_Data!AL698&lt;&gt;"",Raw_Data!AL698,Raw_Data!R698)</f>
        <v>0</v>
      </c>
      <c r="Q695" s="12">
        <f t="shared" si="92"/>
        <v>0</v>
      </c>
      <c r="R695" s="12" t="str">
        <f>IF(Raw_Data!AM698="","",Raw_Data!AM698)</f>
        <v/>
      </c>
      <c r="S695" s="12" t="str">
        <f t="shared" si="93"/>
        <v/>
      </c>
      <c r="T695" s="12" t="str">
        <f>IF(Raw_Data!AN698="","",Raw_Data!AN698)</f>
        <v/>
      </c>
      <c r="U695" s="12" t="str">
        <f t="shared" si="94"/>
        <v/>
      </c>
      <c r="V695" s="12" t="str">
        <f>IF(Raw_Data!AP698="","",IF(Raw_Data!AP698="oui",1,0))</f>
        <v/>
      </c>
      <c r="W695" s="12" t="str">
        <f>IF(Raw_Data!AQ698="","",IF(Raw_Data!AQ698="oui",1,0))</f>
        <v/>
      </c>
      <c r="X695" s="12" t="str">
        <f>IF(Raw_Data!AR698="","",IF(Raw_Data!AR698="oui",1,0))</f>
        <v/>
      </c>
      <c r="Y695" s="12" t="str">
        <f>IF(Raw_Data!AS698="","",IF(Raw_Data!AS698="oui",1,0))</f>
        <v/>
      </c>
      <c r="Z695" s="12" t="str">
        <f>IF(Raw_Data!V698="","",IF(Raw_Data!V698="oui",1,0))</f>
        <v/>
      </c>
      <c r="AA695" s="12" t="str">
        <f>IF(Raw_Data!W698="","",IF(Raw_Data!W698="oui",1,0))</f>
        <v/>
      </c>
      <c r="AB695" s="12" t="str">
        <f>IF(Raw_Data!Q698="","",IF(Raw_Data!Q698="oui",1,0))</f>
        <v/>
      </c>
      <c r="AC695" s="12">
        <f>Raw_Data!AF698</f>
        <v>0</v>
      </c>
      <c r="AD695" s="12" t="str">
        <f t="shared" si="95"/>
        <v/>
      </c>
      <c r="AE695" s="12" t="str">
        <f t="shared" si="96"/>
        <v/>
      </c>
      <c r="AF695" s="12" t="str">
        <f t="shared" si="97"/>
        <v/>
      </c>
      <c r="AG695" s="12">
        <f t="shared" si="98"/>
        <v>0</v>
      </c>
    </row>
    <row r="696" spans="1:33" ht="15" customHeight="1" x14ac:dyDescent="0.25">
      <c r="A696" s="12" t="str">
        <f>IF(Raw_Data!B699="","",Raw_Data!B699)</f>
        <v/>
      </c>
      <c r="B696" s="12">
        <f>IF(Raw_Data!X699&lt;&gt;"",Raw_Data!X699,Raw_Data!C699)</f>
        <v>0</v>
      </c>
      <c r="C696" s="12" t="str">
        <f>IF(Raw_Data!G699="","",Raw_Data!G699)</f>
        <v/>
      </c>
      <c r="D696" s="12" t="str">
        <f>IF(Raw_Data!H699="","",Raw_Data!H699)</f>
        <v/>
      </c>
      <c r="E696" s="12" t="str">
        <f>IF(Raw_Data!I699="","",Raw_Data!I699)</f>
        <v/>
      </c>
      <c r="F696" s="12" t="str">
        <f>IF(Raw_Data!J699="","",Raw_Data!J699)</f>
        <v/>
      </c>
      <c r="G696" s="12" t="str">
        <f>IF(Raw_Data!AH699&lt;&gt;"",Raw_Data!AH699,IF(Raw_Data!K699&lt;&gt;"",Raw_Data!K699,""))</f>
        <v/>
      </c>
      <c r="H696" s="12" t="str">
        <f>IF(Raw_Data!AI699&lt;&gt;"",Raw_Data!AI699,IF(Raw_Data!L699&lt;&gt;"",Raw_Data!L699,""))</f>
        <v/>
      </c>
      <c r="I696" s="12" t="str">
        <f t="shared" si="90"/>
        <v/>
      </c>
      <c r="J696" s="12" t="str">
        <f>IF(Raw_Data!M699="","",Raw_Data!M699)</f>
        <v/>
      </c>
      <c r="K696" s="12">
        <f>IF(Raw_Data!AJ699&lt;&gt;"",Raw_Data!AJ699,Raw_Data!N699)</f>
        <v>0</v>
      </c>
      <c r="L696" s="12">
        <f t="shared" si="91"/>
        <v>1</v>
      </c>
      <c r="M696" s="12" t="str">
        <f>IF(Raw_Data!AK699="","",Raw_Data!AK699)</f>
        <v/>
      </c>
      <c r="N696" s="12" t="str">
        <f>IF(Raw_Data!T699="","",Raw_Data!T699)</f>
        <v/>
      </c>
      <c r="O696" s="12" t="str">
        <f>IF(Raw_Data!AB699&lt;&gt;"",Raw_Data!AB699,IF(N696="tres_insatisfait",1,IF(N696="insatisfait",2,IF(N696="neutre",3,IF(N696="satisfait",4,IF(N696="tres_satisfait",5,""))))))</f>
        <v/>
      </c>
      <c r="P696" s="12">
        <f>IF(Raw_Data!AL699&lt;&gt;"",Raw_Data!AL699,Raw_Data!R699)</f>
        <v>0</v>
      </c>
      <c r="Q696" s="12">
        <f t="shared" si="92"/>
        <v>0</v>
      </c>
      <c r="R696" s="12" t="str">
        <f>IF(Raw_Data!AM699="","",Raw_Data!AM699)</f>
        <v/>
      </c>
      <c r="S696" s="12" t="str">
        <f t="shared" si="93"/>
        <v/>
      </c>
      <c r="T696" s="12" t="str">
        <f>IF(Raw_Data!AN699="","",Raw_Data!AN699)</f>
        <v/>
      </c>
      <c r="U696" s="12" t="str">
        <f t="shared" si="94"/>
        <v/>
      </c>
      <c r="V696" s="12" t="str">
        <f>IF(Raw_Data!AP699="","",IF(Raw_Data!AP699="oui",1,0))</f>
        <v/>
      </c>
      <c r="W696" s="12" t="str">
        <f>IF(Raw_Data!AQ699="","",IF(Raw_Data!AQ699="oui",1,0))</f>
        <v/>
      </c>
      <c r="X696" s="12" t="str">
        <f>IF(Raw_Data!AR699="","",IF(Raw_Data!AR699="oui",1,0))</f>
        <v/>
      </c>
      <c r="Y696" s="12" t="str">
        <f>IF(Raw_Data!AS699="","",IF(Raw_Data!AS699="oui",1,0))</f>
        <v/>
      </c>
      <c r="Z696" s="12" t="str">
        <f>IF(Raw_Data!V699="","",IF(Raw_Data!V699="oui",1,0))</f>
        <v/>
      </c>
      <c r="AA696" s="12" t="str">
        <f>IF(Raw_Data!W699="","",IF(Raw_Data!W699="oui",1,0))</f>
        <v/>
      </c>
      <c r="AB696" s="12" t="str">
        <f>IF(Raw_Data!Q699="","",IF(Raw_Data!Q699="oui",1,0))</f>
        <v/>
      </c>
      <c r="AC696" s="12">
        <f>Raw_Data!AF699</f>
        <v>0</v>
      </c>
      <c r="AD696" s="12" t="str">
        <f t="shared" si="95"/>
        <v/>
      </c>
      <c r="AE696" s="12" t="str">
        <f t="shared" si="96"/>
        <v/>
      </c>
      <c r="AF696" s="12" t="str">
        <f t="shared" si="97"/>
        <v/>
      </c>
      <c r="AG696" s="12">
        <f t="shared" si="98"/>
        <v>0</v>
      </c>
    </row>
    <row r="697" spans="1:33" ht="15" customHeight="1" x14ac:dyDescent="0.25">
      <c r="A697" s="12" t="str">
        <f>IF(Raw_Data!B700="","",Raw_Data!B700)</f>
        <v/>
      </c>
      <c r="B697" s="12">
        <f>IF(Raw_Data!X700&lt;&gt;"",Raw_Data!X700,Raw_Data!C700)</f>
        <v>0</v>
      </c>
      <c r="C697" s="12" t="str">
        <f>IF(Raw_Data!G700="","",Raw_Data!G700)</f>
        <v/>
      </c>
      <c r="D697" s="12" t="str">
        <f>IF(Raw_Data!H700="","",Raw_Data!H700)</f>
        <v/>
      </c>
      <c r="E697" s="12" t="str">
        <f>IF(Raw_Data!I700="","",Raw_Data!I700)</f>
        <v/>
      </c>
      <c r="F697" s="12" t="str">
        <f>IF(Raw_Data!J700="","",Raw_Data!J700)</f>
        <v/>
      </c>
      <c r="G697" s="12" t="str">
        <f>IF(Raw_Data!AH700&lt;&gt;"",Raw_Data!AH700,IF(Raw_Data!K700&lt;&gt;"",Raw_Data!K700,""))</f>
        <v/>
      </c>
      <c r="H697" s="12" t="str">
        <f>IF(Raw_Data!AI700&lt;&gt;"",Raw_Data!AI700,IF(Raw_Data!L700&lt;&gt;"",Raw_Data!L700,""))</f>
        <v/>
      </c>
      <c r="I697" s="12" t="str">
        <f t="shared" si="90"/>
        <v/>
      </c>
      <c r="J697" s="12" t="str">
        <f>IF(Raw_Data!M700="","",Raw_Data!M700)</f>
        <v/>
      </c>
      <c r="K697" s="12">
        <f>IF(Raw_Data!AJ700&lt;&gt;"",Raw_Data!AJ700,Raw_Data!N700)</f>
        <v>0</v>
      </c>
      <c r="L697" s="12">
        <f t="shared" si="91"/>
        <v>1</v>
      </c>
      <c r="M697" s="12" t="str">
        <f>IF(Raw_Data!AK700="","",Raw_Data!AK700)</f>
        <v/>
      </c>
      <c r="N697" s="12" t="str">
        <f>IF(Raw_Data!T700="","",Raw_Data!T700)</f>
        <v/>
      </c>
      <c r="O697" s="12" t="str">
        <f>IF(Raw_Data!AB700&lt;&gt;"",Raw_Data!AB700,IF(N697="tres_insatisfait",1,IF(N697="insatisfait",2,IF(N697="neutre",3,IF(N697="satisfait",4,IF(N697="tres_satisfait",5,""))))))</f>
        <v/>
      </c>
      <c r="P697" s="12">
        <f>IF(Raw_Data!AL700&lt;&gt;"",Raw_Data!AL700,Raw_Data!R700)</f>
        <v>0</v>
      </c>
      <c r="Q697" s="12">
        <f t="shared" si="92"/>
        <v>0</v>
      </c>
      <c r="R697" s="12" t="str">
        <f>IF(Raw_Data!AM700="","",Raw_Data!AM700)</f>
        <v/>
      </c>
      <c r="S697" s="12" t="str">
        <f t="shared" si="93"/>
        <v/>
      </c>
      <c r="T697" s="12" t="str">
        <f>IF(Raw_Data!AN700="","",Raw_Data!AN700)</f>
        <v/>
      </c>
      <c r="U697" s="12" t="str">
        <f t="shared" si="94"/>
        <v/>
      </c>
      <c r="V697" s="12" t="str">
        <f>IF(Raw_Data!AP700="","",IF(Raw_Data!AP700="oui",1,0))</f>
        <v/>
      </c>
      <c r="W697" s="12" t="str">
        <f>IF(Raw_Data!AQ700="","",IF(Raw_Data!AQ700="oui",1,0))</f>
        <v/>
      </c>
      <c r="X697" s="12" t="str">
        <f>IF(Raw_Data!AR700="","",IF(Raw_Data!AR700="oui",1,0))</f>
        <v/>
      </c>
      <c r="Y697" s="12" t="str">
        <f>IF(Raw_Data!AS700="","",IF(Raw_Data!AS700="oui",1,0))</f>
        <v/>
      </c>
      <c r="Z697" s="12" t="str">
        <f>IF(Raw_Data!V700="","",IF(Raw_Data!V700="oui",1,0))</f>
        <v/>
      </c>
      <c r="AA697" s="12" t="str">
        <f>IF(Raw_Data!W700="","",IF(Raw_Data!W700="oui",1,0))</f>
        <v/>
      </c>
      <c r="AB697" s="12" t="str">
        <f>IF(Raw_Data!Q700="","",IF(Raw_Data!Q700="oui",1,0))</f>
        <v/>
      </c>
      <c r="AC697" s="12">
        <f>Raw_Data!AF700</f>
        <v>0</v>
      </c>
      <c r="AD697" s="12" t="str">
        <f t="shared" si="95"/>
        <v/>
      </c>
      <c r="AE697" s="12" t="str">
        <f t="shared" si="96"/>
        <v/>
      </c>
      <c r="AF697" s="12" t="str">
        <f t="shared" si="97"/>
        <v/>
      </c>
      <c r="AG697" s="12">
        <f t="shared" si="98"/>
        <v>0</v>
      </c>
    </row>
    <row r="698" spans="1:33" ht="15" customHeight="1" x14ac:dyDescent="0.25">
      <c r="A698" s="12" t="str">
        <f>IF(Raw_Data!B701="","",Raw_Data!B701)</f>
        <v/>
      </c>
      <c r="B698" s="12">
        <f>IF(Raw_Data!X701&lt;&gt;"",Raw_Data!X701,Raw_Data!C701)</f>
        <v>0</v>
      </c>
      <c r="C698" s="12" t="str">
        <f>IF(Raw_Data!G701="","",Raw_Data!G701)</f>
        <v/>
      </c>
      <c r="D698" s="12" t="str">
        <f>IF(Raw_Data!H701="","",Raw_Data!H701)</f>
        <v/>
      </c>
      <c r="E698" s="12" t="str">
        <f>IF(Raw_Data!I701="","",Raw_Data!I701)</f>
        <v/>
      </c>
      <c r="F698" s="12" t="str">
        <f>IF(Raw_Data!J701="","",Raw_Data!J701)</f>
        <v/>
      </c>
      <c r="G698" s="12" t="str">
        <f>IF(Raw_Data!AH701&lt;&gt;"",Raw_Data!AH701,IF(Raw_Data!K701&lt;&gt;"",Raw_Data!K701,""))</f>
        <v/>
      </c>
      <c r="H698" s="12" t="str">
        <f>IF(Raw_Data!AI701&lt;&gt;"",Raw_Data!AI701,IF(Raw_Data!L701&lt;&gt;"",Raw_Data!L701,""))</f>
        <v/>
      </c>
      <c r="I698" s="12" t="str">
        <f t="shared" si="90"/>
        <v/>
      </c>
      <c r="J698" s="12" t="str">
        <f>IF(Raw_Data!M701="","",Raw_Data!M701)</f>
        <v/>
      </c>
      <c r="K698" s="12">
        <f>IF(Raw_Data!AJ701&lt;&gt;"",Raw_Data!AJ701,Raw_Data!N701)</f>
        <v>0</v>
      </c>
      <c r="L698" s="12">
        <f t="shared" si="91"/>
        <v>1</v>
      </c>
      <c r="M698" s="12" t="str">
        <f>IF(Raw_Data!AK701="","",Raw_Data!AK701)</f>
        <v/>
      </c>
      <c r="N698" s="12" t="str">
        <f>IF(Raw_Data!T701="","",Raw_Data!T701)</f>
        <v/>
      </c>
      <c r="O698" s="12" t="str">
        <f>IF(Raw_Data!AB701&lt;&gt;"",Raw_Data!AB701,IF(N698="tres_insatisfait",1,IF(N698="insatisfait",2,IF(N698="neutre",3,IF(N698="satisfait",4,IF(N698="tres_satisfait",5,""))))))</f>
        <v/>
      </c>
      <c r="P698" s="12">
        <f>IF(Raw_Data!AL701&lt;&gt;"",Raw_Data!AL701,Raw_Data!R701)</f>
        <v>0</v>
      </c>
      <c r="Q698" s="12">
        <f t="shared" si="92"/>
        <v>0</v>
      </c>
      <c r="R698" s="12" t="str">
        <f>IF(Raw_Data!AM701="","",Raw_Data!AM701)</f>
        <v/>
      </c>
      <c r="S698" s="12" t="str">
        <f t="shared" si="93"/>
        <v/>
      </c>
      <c r="T698" s="12" t="str">
        <f>IF(Raw_Data!AN701="","",Raw_Data!AN701)</f>
        <v/>
      </c>
      <c r="U698" s="12" t="str">
        <f t="shared" si="94"/>
        <v/>
      </c>
      <c r="V698" s="12" t="str">
        <f>IF(Raw_Data!AP701="","",IF(Raw_Data!AP701="oui",1,0))</f>
        <v/>
      </c>
      <c r="W698" s="12" t="str">
        <f>IF(Raw_Data!AQ701="","",IF(Raw_Data!AQ701="oui",1,0))</f>
        <v/>
      </c>
      <c r="X698" s="12" t="str">
        <f>IF(Raw_Data!AR701="","",IF(Raw_Data!AR701="oui",1,0))</f>
        <v/>
      </c>
      <c r="Y698" s="12" t="str">
        <f>IF(Raw_Data!AS701="","",IF(Raw_Data!AS701="oui",1,0))</f>
        <v/>
      </c>
      <c r="Z698" s="12" t="str">
        <f>IF(Raw_Data!V701="","",IF(Raw_Data!V701="oui",1,0))</f>
        <v/>
      </c>
      <c r="AA698" s="12" t="str">
        <f>IF(Raw_Data!W701="","",IF(Raw_Data!W701="oui",1,0))</f>
        <v/>
      </c>
      <c r="AB698" s="12" t="str">
        <f>IF(Raw_Data!Q701="","",IF(Raw_Data!Q701="oui",1,0))</f>
        <v/>
      </c>
      <c r="AC698" s="12">
        <f>Raw_Data!AF701</f>
        <v>0</v>
      </c>
      <c r="AD698" s="12" t="str">
        <f t="shared" si="95"/>
        <v/>
      </c>
      <c r="AE698" s="12" t="str">
        <f t="shared" si="96"/>
        <v/>
      </c>
      <c r="AF698" s="12" t="str">
        <f t="shared" si="97"/>
        <v/>
      </c>
      <c r="AG698" s="12">
        <f t="shared" si="98"/>
        <v>0</v>
      </c>
    </row>
    <row r="699" spans="1:33" ht="15" customHeight="1" x14ac:dyDescent="0.25">
      <c r="A699" s="12" t="str">
        <f>IF(Raw_Data!B702="","",Raw_Data!B702)</f>
        <v/>
      </c>
      <c r="B699" s="12">
        <f>IF(Raw_Data!X702&lt;&gt;"",Raw_Data!X702,Raw_Data!C702)</f>
        <v>0</v>
      </c>
      <c r="C699" s="12" t="str">
        <f>IF(Raw_Data!G702="","",Raw_Data!G702)</f>
        <v/>
      </c>
      <c r="D699" s="12" t="str">
        <f>IF(Raw_Data!H702="","",Raw_Data!H702)</f>
        <v/>
      </c>
      <c r="E699" s="12" t="str">
        <f>IF(Raw_Data!I702="","",Raw_Data!I702)</f>
        <v/>
      </c>
      <c r="F699" s="12" t="str">
        <f>IF(Raw_Data!J702="","",Raw_Data!J702)</f>
        <v/>
      </c>
      <c r="G699" s="12" t="str">
        <f>IF(Raw_Data!AH702&lt;&gt;"",Raw_Data!AH702,IF(Raw_Data!K702&lt;&gt;"",Raw_Data!K702,""))</f>
        <v/>
      </c>
      <c r="H699" s="12" t="str">
        <f>IF(Raw_Data!AI702&lt;&gt;"",Raw_Data!AI702,IF(Raw_Data!L702&lt;&gt;"",Raw_Data!L702,""))</f>
        <v/>
      </c>
      <c r="I699" s="12" t="str">
        <f t="shared" si="90"/>
        <v/>
      </c>
      <c r="J699" s="12" t="str">
        <f>IF(Raw_Data!M702="","",Raw_Data!M702)</f>
        <v/>
      </c>
      <c r="K699" s="12">
        <f>IF(Raw_Data!AJ702&lt;&gt;"",Raw_Data!AJ702,Raw_Data!N702)</f>
        <v>0</v>
      </c>
      <c r="L699" s="12">
        <f t="shared" si="91"/>
        <v>1</v>
      </c>
      <c r="M699" s="12" t="str">
        <f>IF(Raw_Data!AK702="","",Raw_Data!AK702)</f>
        <v/>
      </c>
      <c r="N699" s="12" t="str">
        <f>IF(Raw_Data!T702="","",Raw_Data!T702)</f>
        <v/>
      </c>
      <c r="O699" s="12" t="str">
        <f>IF(Raw_Data!AB702&lt;&gt;"",Raw_Data!AB702,IF(N699="tres_insatisfait",1,IF(N699="insatisfait",2,IF(N699="neutre",3,IF(N699="satisfait",4,IF(N699="tres_satisfait",5,""))))))</f>
        <v/>
      </c>
      <c r="P699" s="12">
        <f>IF(Raw_Data!AL702&lt;&gt;"",Raw_Data!AL702,Raw_Data!R702)</f>
        <v>0</v>
      </c>
      <c r="Q699" s="12">
        <f t="shared" si="92"/>
        <v>0</v>
      </c>
      <c r="R699" s="12" t="str">
        <f>IF(Raw_Data!AM702="","",Raw_Data!AM702)</f>
        <v/>
      </c>
      <c r="S699" s="12" t="str">
        <f t="shared" si="93"/>
        <v/>
      </c>
      <c r="T699" s="12" t="str">
        <f>IF(Raw_Data!AN702="","",Raw_Data!AN702)</f>
        <v/>
      </c>
      <c r="U699" s="12" t="str">
        <f t="shared" si="94"/>
        <v/>
      </c>
      <c r="V699" s="12" t="str">
        <f>IF(Raw_Data!AP702="","",IF(Raw_Data!AP702="oui",1,0))</f>
        <v/>
      </c>
      <c r="W699" s="12" t="str">
        <f>IF(Raw_Data!AQ702="","",IF(Raw_Data!AQ702="oui",1,0))</f>
        <v/>
      </c>
      <c r="X699" s="12" t="str">
        <f>IF(Raw_Data!AR702="","",IF(Raw_Data!AR702="oui",1,0))</f>
        <v/>
      </c>
      <c r="Y699" s="12" t="str">
        <f>IF(Raw_Data!AS702="","",IF(Raw_Data!AS702="oui",1,0))</f>
        <v/>
      </c>
      <c r="Z699" s="12" t="str">
        <f>IF(Raw_Data!V702="","",IF(Raw_Data!V702="oui",1,0))</f>
        <v/>
      </c>
      <c r="AA699" s="12" t="str">
        <f>IF(Raw_Data!W702="","",IF(Raw_Data!W702="oui",1,0))</f>
        <v/>
      </c>
      <c r="AB699" s="12" t="str">
        <f>IF(Raw_Data!Q702="","",IF(Raw_Data!Q702="oui",1,0))</f>
        <v/>
      </c>
      <c r="AC699" s="12">
        <f>Raw_Data!AF702</f>
        <v>0</v>
      </c>
      <c r="AD699" s="12" t="str">
        <f t="shared" si="95"/>
        <v/>
      </c>
      <c r="AE699" s="12" t="str">
        <f t="shared" si="96"/>
        <v/>
      </c>
      <c r="AF699" s="12" t="str">
        <f t="shared" si="97"/>
        <v/>
      </c>
      <c r="AG699" s="12">
        <f t="shared" si="98"/>
        <v>0</v>
      </c>
    </row>
    <row r="700" spans="1:33" ht="15" customHeight="1" x14ac:dyDescent="0.25">
      <c r="A700" s="12" t="str">
        <f>IF(Raw_Data!B703="","",Raw_Data!B703)</f>
        <v/>
      </c>
      <c r="B700" s="12">
        <f>IF(Raw_Data!X703&lt;&gt;"",Raw_Data!X703,Raw_Data!C703)</f>
        <v>0</v>
      </c>
      <c r="C700" s="12" t="str">
        <f>IF(Raw_Data!G703="","",Raw_Data!G703)</f>
        <v/>
      </c>
      <c r="D700" s="12" t="str">
        <f>IF(Raw_Data!H703="","",Raw_Data!H703)</f>
        <v/>
      </c>
      <c r="E700" s="12" t="str">
        <f>IF(Raw_Data!I703="","",Raw_Data!I703)</f>
        <v/>
      </c>
      <c r="F700" s="12" t="str">
        <f>IF(Raw_Data!J703="","",Raw_Data!J703)</f>
        <v/>
      </c>
      <c r="G700" s="12" t="str">
        <f>IF(Raw_Data!AH703&lt;&gt;"",Raw_Data!AH703,IF(Raw_Data!K703&lt;&gt;"",Raw_Data!K703,""))</f>
        <v/>
      </c>
      <c r="H700" s="12" t="str">
        <f>IF(Raw_Data!AI703&lt;&gt;"",Raw_Data!AI703,IF(Raw_Data!L703&lt;&gt;"",Raw_Data!L703,""))</f>
        <v/>
      </c>
      <c r="I700" s="12" t="str">
        <f t="shared" si="90"/>
        <v/>
      </c>
      <c r="J700" s="12" t="str">
        <f>IF(Raw_Data!M703="","",Raw_Data!M703)</f>
        <v/>
      </c>
      <c r="K700" s="12">
        <f>IF(Raw_Data!AJ703&lt;&gt;"",Raw_Data!AJ703,Raw_Data!N703)</f>
        <v>0</v>
      </c>
      <c r="L700" s="12">
        <f t="shared" si="91"/>
        <v>1</v>
      </c>
      <c r="M700" s="12" t="str">
        <f>IF(Raw_Data!AK703="","",Raw_Data!AK703)</f>
        <v/>
      </c>
      <c r="N700" s="12" t="str">
        <f>IF(Raw_Data!T703="","",Raw_Data!T703)</f>
        <v/>
      </c>
      <c r="O700" s="12" t="str">
        <f>IF(Raw_Data!AB703&lt;&gt;"",Raw_Data!AB703,IF(N700="tres_insatisfait",1,IF(N700="insatisfait",2,IF(N700="neutre",3,IF(N700="satisfait",4,IF(N700="tres_satisfait",5,""))))))</f>
        <v/>
      </c>
      <c r="P700" s="12">
        <f>IF(Raw_Data!AL703&lt;&gt;"",Raw_Data!AL703,Raw_Data!R703)</f>
        <v>0</v>
      </c>
      <c r="Q700" s="12">
        <f t="shared" si="92"/>
        <v>0</v>
      </c>
      <c r="R700" s="12" t="str">
        <f>IF(Raw_Data!AM703="","",Raw_Data!AM703)</f>
        <v/>
      </c>
      <c r="S700" s="12" t="str">
        <f t="shared" si="93"/>
        <v/>
      </c>
      <c r="T700" s="12" t="str">
        <f>IF(Raw_Data!AN703="","",Raw_Data!AN703)</f>
        <v/>
      </c>
      <c r="U700" s="12" t="str">
        <f t="shared" si="94"/>
        <v/>
      </c>
      <c r="V700" s="12" t="str">
        <f>IF(Raw_Data!AP703="","",IF(Raw_Data!AP703="oui",1,0))</f>
        <v/>
      </c>
      <c r="W700" s="12" t="str">
        <f>IF(Raw_Data!AQ703="","",IF(Raw_Data!AQ703="oui",1,0))</f>
        <v/>
      </c>
      <c r="X700" s="12" t="str">
        <f>IF(Raw_Data!AR703="","",IF(Raw_Data!AR703="oui",1,0))</f>
        <v/>
      </c>
      <c r="Y700" s="12" t="str">
        <f>IF(Raw_Data!AS703="","",IF(Raw_Data!AS703="oui",1,0))</f>
        <v/>
      </c>
      <c r="Z700" s="12" t="str">
        <f>IF(Raw_Data!V703="","",IF(Raw_Data!V703="oui",1,0))</f>
        <v/>
      </c>
      <c r="AA700" s="12" t="str">
        <f>IF(Raw_Data!W703="","",IF(Raw_Data!W703="oui",1,0))</f>
        <v/>
      </c>
      <c r="AB700" s="12" t="str">
        <f>IF(Raw_Data!Q703="","",IF(Raw_Data!Q703="oui",1,0))</f>
        <v/>
      </c>
      <c r="AC700" s="12">
        <f>Raw_Data!AF703</f>
        <v>0</v>
      </c>
      <c r="AD700" s="12" t="str">
        <f t="shared" si="95"/>
        <v/>
      </c>
      <c r="AE700" s="12" t="str">
        <f t="shared" si="96"/>
        <v/>
      </c>
      <c r="AF700" s="12" t="str">
        <f t="shared" si="97"/>
        <v/>
      </c>
      <c r="AG700" s="12">
        <f t="shared" si="98"/>
        <v>0</v>
      </c>
    </row>
    <row r="701" spans="1:33" ht="15" customHeight="1" x14ac:dyDescent="0.25">
      <c r="A701" s="12" t="str">
        <f>IF(Raw_Data!B704="","",Raw_Data!B704)</f>
        <v/>
      </c>
      <c r="B701" s="12">
        <f>IF(Raw_Data!X704&lt;&gt;"",Raw_Data!X704,Raw_Data!C704)</f>
        <v>0</v>
      </c>
      <c r="C701" s="12" t="str">
        <f>IF(Raw_Data!G704="","",Raw_Data!G704)</f>
        <v/>
      </c>
      <c r="D701" s="12" t="str">
        <f>IF(Raw_Data!H704="","",Raw_Data!H704)</f>
        <v/>
      </c>
      <c r="E701" s="12" t="str">
        <f>IF(Raw_Data!I704="","",Raw_Data!I704)</f>
        <v/>
      </c>
      <c r="F701" s="12" t="str">
        <f>IF(Raw_Data!J704="","",Raw_Data!J704)</f>
        <v/>
      </c>
      <c r="G701" s="12" t="str">
        <f>IF(Raw_Data!AH704&lt;&gt;"",Raw_Data!AH704,IF(Raw_Data!K704&lt;&gt;"",Raw_Data!K704,""))</f>
        <v/>
      </c>
      <c r="H701" s="12" t="str">
        <f>IF(Raw_Data!AI704&lt;&gt;"",Raw_Data!AI704,IF(Raw_Data!L704&lt;&gt;"",Raw_Data!L704,""))</f>
        <v/>
      </c>
      <c r="I701" s="12" t="str">
        <f t="shared" si="90"/>
        <v/>
      </c>
      <c r="J701" s="12" t="str">
        <f>IF(Raw_Data!M704="","",Raw_Data!M704)</f>
        <v/>
      </c>
      <c r="K701" s="12">
        <f>IF(Raw_Data!AJ704&lt;&gt;"",Raw_Data!AJ704,Raw_Data!N704)</f>
        <v>0</v>
      </c>
      <c r="L701" s="12">
        <f t="shared" si="91"/>
        <v>1</v>
      </c>
      <c r="M701" s="12" t="str">
        <f>IF(Raw_Data!AK704="","",Raw_Data!AK704)</f>
        <v/>
      </c>
      <c r="N701" s="12" t="str">
        <f>IF(Raw_Data!T704="","",Raw_Data!T704)</f>
        <v/>
      </c>
      <c r="O701" s="12" t="str">
        <f>IF(Raw_Data!AB704&lt;&gt;"",Raw_Data!AB704,IF(N701="tres_insatisfait",1,IF(N701="insatisfait",2,IF(N701="neutre",3,IF(N701="satisfait",4,IF(N701="tres_satisfait",5,""))))))</f>
        <v/>
      </c>
      <c r="P701" s="12">
        <f>IF(Raw_Data!AL704&lt;&gt;"",Raw_Data!AL704,Raw_Data!R704)</f>
        <v>0</v>
      </c>
      <c r="Q701" s="12">
        <f t="shared" si="92"/>
        <v>0</v>
      </c>
      <c r="R701" s="12" t="str">
        <f>IF(Raw_Data!AM704="","",Raw_Data!AM704)</f>
        <v/>
      </c>
      <c r="S701" s="12" t="str">
        <f t="shared" si="93"/>
        <v/>
      </c>
      <c r="T701" s="12" t="str">
        <f>IF(Raw_Data!AN704="","",Raw_Data!AN704)</f>
        <v/>
      </c>
      <c r="U701" s="12" t="str">
        <f t="shared" si="94"/>
        <v/>
      </c>
      <c r="V701" s="12" t="str">
        <f>IF(Raw_Data!AP704="","",IF(Raw_Data!AP704="oui",1,0))</f>
        <v/>
      </c>
      <c r="W701" s="12" t="str">
        <f>IF(Raw_Data!AQ704="","",IF(Raw_Data!AQ704="oui",1,0))</f>
        <v/>
      </c>
      <c r="X701" s="12" t="str">
        <f>IF(Raw_Data!AR704="","",IF(Raw_Data!AR704="oui",1,0))</f>
        <v/>
      </c>
      <c r="Y701" s="12" t="str">
        <f>IF(Raw_Data!AS704="","",IF(Raw_Data!AS704="oui",1,0))</f>
        <v/>
      </c>
      <c r="Z701" s="12" t="str">
        <f>IF(Raw_Data!V704="","",IF(Raw_Data!V704="oui",1,0))</f>
        <v/>
      </c>
      <c r="AA701" s="12" t="str">
        <f>IF(Raw_Data!W704="","",IF(Raw_Data!W704="oui",1,0))</f>
        <v/>
      </c>
      <c r="AB701" s="12" t="str">
        <f>IF(Raw_Data!Q704="","",IF(Raw_Data!Q704="oui",1,0))</f>
        <v/>
      </c>
      <c r="AC701" s="12">
        <f>Raw_Data!AF704</f>
        <v>0</v>
      </c>
      <c r="AD701" s="12" t="str">
        <f t="shared" si="95"/>
        <v/>
      </c>
      <c r="AE701" s="12" t="str">
        <f t="shared" si="96"/>
        <v/>
      </c>
      <c r="AF701" s="12" t="str">
        <f t="shared" si="97"/>
        <v/>
      </c>
      <c r="AG701" s="12">
        <f t="shared" si="98"/>
        <v>0</v>
      </c>
    </row>
    <row r="702" spans="1:33" ht="15" customHeight="1" x14ac:dyDescent="0.25">
      <c r="A702" s="12" t="str">
        <f>IF(Raw_Data!B705="","",Raw_Data!B705)</f>
        <v/>
      </c>
      <c r="B702" s="12">
        <f>IF(Raw_Data!X705&lt;&gt;"",Raw_Data!X705,Raw_Data!C705)</f>
        <v>0</v>
      </c>
      <c r="C702" s="12" t="str">
        <f>IF(Raw_Data!G705="","",Raw_Data!G705)</f>
        <v/>
      </c>
      <c r="D702" s="12" t="str">
        <f>IF(Raw_Data!H705="","",Raw_Data!H705)</f>
        <v/>
      </c>
      <c r="E702" s="12" t="str">
        <f>IF(Raw_Data!I705="","",Raw_Data!I705)</f>
        <v/>
      </c>
      <c r="F702" s="12" t="str">
        <f>IF(Raw_Data!J705="","",Raw_Data!J705)</f>
        <v/>
      </c>
      <c r="G702" s="12" t="str">
        <f>IF(Raw_Data!AH705&lt;&gt;"",Raw_Data!AH705,IF(Raw_Data!K705&lt;&gt;"",Raw_Data!K705,""))</f>
        <v/>
      </c>
      <c r="H702" s="12" t="str">
        <f>IF(Raw_Data!AI705&lt;&gt;"",Raw_Data!AI705,IF(Raw_Data!L705&lt;&gt;"",Raw_Data!L705,""))</f>
        <v/>
      </c>
      <c r="I702" s="12" t="str">
        <f t="shared" si="90"/>
        <v/>
      </c>
      <c r="J702" s="12" t="str">
        <f>IF(Raw_Data!M705="","",Raw_Data!M705)</f>
        <v/>
      </c>
      <c r="K702" s="12">
        <f>IF(Raw_Data!AJ705&lt;&gt;"",Raw_Data!AJ705,Raw_Data!N705)</f>
        <v>0</v>
      </c>
      <c r="L702" s="12">
        <f t="shared" si="91"/>
        <v>1</v>
      </c>
      <c r="M702" s="12" t="str">
        <f>IF(Raw_Data!AK705="","",Raw_Data!AK705)</f>
        <v/>
      </c>
      <c r="N702" s="12" t="str">
        <f>IF(Raw_Data!T705="","",Raw_Data!T705)</f>
        <v/>
      </c>
      <c r="O702" s="12" t="str">
        <f>IF(Raw_Data!AB705&lt;&gt;"",Raw_Data!AB705,IF(N702="tres_insatisfait",1,IF(N702="insatisfait",2,IF(N702="neutre",3,IF(N702="satisfait",4,IF(N702="tres_satisfait",5,""))))))</f>
        <v/>
      </c>
      <c r="P702" s="12">
        <f>IF(Raw_Data!AL705&lt;&gt;"",Raw_Data!AL705,Raw_Data!R705)</f>
        <v>0</v>
      </c>
      <c r="Q702" s="12">
        <f t="shared" si="92"/>
        <v>0</v>
      </c>
      <c r="R702" s="12" t="str">
        <f>IF(Raw_Data!AM705="","",Raw_Data!AM705)</f>
        <v/>
      </c>
      <c r="S702" s="12" t="str">
        <f t="shared" si="93"/>
        <v/>
      </c>
      <c r="T702" s="12" t="str">
        <f>IF(Raw_Data!AN705="","",Raw_Data!AN705)</f>
        <v/>
      </c>
      <c r="U702" s="12" t="str">
        <f t="shared" si="94"/>
        <v/>
      </c>
      <c r="V702" s="12" t="str">
        <f>IF(Raw_Data!AP705="","",IF(Raw_Data!AP705="oui",1,0))</f>
        <v/>
      </c>
      <c r="W702" s="12" t="str">
        <f>IF(Raw_Data!AQ705="","",IF(Raw_Data!AQ705="oui",1,0))</f>
        <v/>
      </c>
      <c r="X702" s="12" t="str">
        <f>IF(Raw_Data!AR705="","",IF(Raw_Data!AR705="oui",1,0))</f>
        <v/>
      </c>
      <c r="Y702" s="12" t="str">
        <f>IF(Raw_Data!AS705="","",IF(Raw_Data!AS705="oui",1,0))</f>
        <v/>
      </c>
      <c r="Z702" s="12" t="str">
        <f>IF(Raw_Data!V705="","",IF(Raw_Data!V705="oui",1,0))</f>
        <v/>
      </c>
      <c r="AA702" s="12" t="str">
        <f>IF(Raw_Data!W705="","",IF(Raw_Data!W705="oui",1,0))</f>
        <v/>
      </c>
      <c r="AB702" s="12" t="str">
        <f>IF(Raw_Data!Q705="","",IF(Raw_Data!Q705="oui",1,0))</f>
        <v/>
      </c>
      <c r="AC702" s="12">
        <f>Raw_Data!AF705</f>
        <v>0</v>
      </c>
      <c r="AD702" s="12" t="str">
        <f t="shared" si="95"/>
        <v/>
      </c>
      <c r="AE702" s="12" t="str">
        <f t="shared" si="96"/>
        <v/>
      </c>
      <c r="AF702" s="12" t="str">
        <f t="shared" si="97"/>
        <v/>
      </c>
      <c r="AG702" s="12">
        <f t="shared" si="98"/>
        <v>0</v>
      </c>
    </row>
    <row r="703" spans="1:33" ht="15" customHeight="1" x14ac:dyDescent="0.25">
      <c r="A703" s="12" t="str">
        <f>IF(Raw_Data!B706="","",Raw_Data!B706)</f>
        <v/>
      </c>
      <c r="B703" s="12">
        <f>IF(Raw_Data!X706&lt;&gt;"",Raw_Data!X706,Raw_Data!C706)</f>
        <v>0</v>
      </c>
      <c r="C703" s="12" t="str">
        <f>IF(Raw_Data!G706="","",Raw_Data!G706)</f>
        <v/>
      </c>
      <c r="D703" s="12" t="str">
        <f>IF(Raw_Data!H706="","",Raw_Data!H706)</f>
        <v/>
      </c>
      <c r="E703" s="12" t="str">
        <f>IF(Raw_Data!I706="","",Raw_Data!I706)</f>
        <v/>
      </c>
      <c r="F703" s="12" t="str">
        <f>IF(Raw_Data!J706="","",Raw_Data!J706)</f>
        <v/>
      </c>
      <c r="G703" s="12" t="str">
        <f>IF(Raw_Data!AH706&lt;&gt;"",Raw_Data!AH706,IF(Raw_Data!K706&lt;&gt;"",Raw_Data!K706,""))</f>
        <v/>
      </c>
      <c r="H703" s="12" t="str">
        <f>IF(Raw_Data!AI706&lt;&gt;"",Raw_Data!AI706,IF(Raw_Data!L706&lt;&gt;"",Raw_Data!L706,""))</f>
        <v/>
      </c>
      <c r="I703" s="12" t="str">
        <f t="shared" si="90"/>
        <v/>
      </c>
      <c r="J703" s="12" t="str">
        <f>IF(Raw_Data!M706="","",Raw_Data!M706)</f>
        <v/>
      </c>
      <c r="K703" s="12">
        <f>IF(Raw_Data!AJ706&lt;&gt;"",Raw_Data!AJ706,Raw_Data!N706)</f>
        <v>0</v>
      </c>
      <c r="L703" s="12">
        <f t="shared" si="91"/>
        <v>1</v>
      </c>
      <c r="M703" s="12" t="str">
        <f>IF(Raw_Data!AK706="","",Raw_Data!AK706)</f>
        <v/>
      </c>
      <c r="N703" s="12" t="str">
        <f>IF(Raw_Data!T706="","",Raw_Data!T706)</f>
        <v/>
      </c>
      <c r="O703" s="12" t="str">
        <f>IF(Raw_Data!AB706&lt;&gt;"",Raw_Data!AB706,IF(N703="tres_insatisfait",1,IF(N703="insatisfait",2,IF(N703="neutre",3,IF(N703="satisfait",4,IF(N703="tres_satisfait",5,""))))))</f>
        <v/>
      </c>
      <c r="P703" s="12">
        <f>IF(Raw_Data!AL706&lt;&gt;"",Raw_Data!AL706,Raw_Data!R706)</f>
        <v>0</v>
      </c>
      <c r="Q703" s="12">
        <f t="shared" si="92"/>
        <v>0</v>
      </c>
      <c r="R703" s="12" t="str">
        <f>IF(Raw_Data!AM706="","",Raw_Data!AM706)</f>
        <v/>
      </c>
      <c r="S703" s="12" t="str">
        <f t="shared" si="93"/>
        <v/>
      </c>
      <c r="T703" s="12" t="str">
        <f>IF(Raw_Data!AN706="","",Raw_Data!AN706)</f>
        <v/>
      </c>
      <c r="U703" s="12" t="str">
        <f t="shared" si="94"/>
        <v/>
      </c>
      <c r="V703" s="12" t="str">
        <f>IF(Raw_Data!AP706="","",IF(Raw_Data!AP706="oui",1,0))</f>
        <v/>
      </c>
      <c r="W703" s="12" t="str">
        <f>IF(Raw_Data!AQ706="","",IF(Raw_Data!AQ706="oui",1,0))</f>
        <v/>
      </c>
      <c r="X703" s="12" t="str">
        <f>IF(Raw_Data!AR706="","",IF(Raw_Data!AR706="oui",1,0))</f>
        <v/>
      </c>
      <c r="Y703" s="12" t="str">
        <f>IF(Raw_Data!AS706="","",IF(Raw_Data!AS706="oui",1,0))</f>
        <v/>
      </c>
      <c r="Z703" s="12" t="str">
        <f>IF(Raw_Data!V706="","",IF(Raw_Data!V706="oui",1,0))</f>
        <v/>
      </c>
      <c r="AA703" s="12" t="str">
        <f>IF(Raw_Data!W706="","",IF(Raw_Data!W706="oui",1,0))</f>
        <v/>
      </c>
      <c r="AB703" s="12" t="str">
        <f>IF(Raw_Data!Q706="","",IF(Raw_Data!Q706="oui",1,0))</f>
        <v/>
      </c>
      <c r="AC703" s="12">
        <f>Raw_Data!AF706</f>
        <v>0</v>
      </c>
      <c r="AD703" s="12" t="str">
        <f t="shared" si="95"/>
        <v/>
      </c>
      <c r="AE703" s="12" t="str">
        <f t="shared" si="96"/>
        <v/>
      </c>
      <c r="AF703" s="12" t="str">
        <f t="shared" si="97"/>
        <v/>
      </c>
      <c r="AG703" s="12">
        <f t="shared" si="98"/>
        <v>0</v>
      </c>
    </row>
    <row r="704" spans="1:33" ht="15" customHeight="1" x14ac:dyDescent="0.25">
      <c r="A704" s="12" t="str">
        <f>IF(Raw_Data!B707="","",Raw_Data!B707)</f>
        <v/>
      </c>
      <c r="B704" s="12">
        <f>IF(Raw_Data!X707&lt;&gt;"",Raw_Data!X707,Raw_Data!C707)</f>
        <v>0</v>
      </c>
      <c r="C704" s="12" t="str">
        <f>IF(Raw_Data!G707="","",Raw_Data!G707)</f>
        <v/>
      </c>
      <c r="D704" s="12" t="str">
        <f>IF(Raw_Data!H707="","",Raw_Data!H707)</f>
        <v/>
      </c>
      <c r="E704" s="12" t="str">
        <f>IF(Raw_Data!I707="","",Raw_Data!I707)</f>
        <v/>
      </c>
      <c r="F704" s="12" t="str">
        <f>IF(Raw_Data!J707="","",Raw_Data!J707)</f>
        <v/>
      </c>
      <c r="G704" s="12" t="str">
        <f>IF(Raw_Data!AH707&lt;&gt;"",Raw_Data!AH707,IF(Raw_Data!K707&lt;&gt;"",Raw_Data!K707,""))</f>
        <v/>
      </c>
      <c r="H704" s="12" t="str">
        <f>IF(Raw_Data!AI707&lt;&gt;"",Raw_Data!AI707,IF(Raw_Data!L707&lt;&gt;"",Raw_Data!L707,""))</f>
        <v/>
      </c>
      <c r="I704" s="12" t="str">
        <f t="shared" si="90"/>
        <v/>
      </c>
      <c r="J704" s="12" t="str">
        <f>IF(Raw_Data!M707="","",Raw_Data!M707)</f>
        <v/>
      </c>
      <c r="K704" s="12">
        <f>IF(Raw_Data!AJ707&lt;&gt;"",Raw_Data!AJ707,Raw_Data!N707)</f>
        <v>0</v>
      </c>
      <c r="L704" s="12">
        <f t="shared" si="91"/>
        <v>1</v>
      </c>
      <c r="M704" s="12" t="str">
        <f>IF(Raw_Data!AK707="","",Raw_Data!AK707)</f>
        <v/>
      </c>
      <c r="N704" s="12" t="str">
        <f>IF(Raw_Data!T707="","",Raw_Data!T707)</f>
        <v/>
      </c>
      <c r="O704" s="12" t="str">
        <f>IF(Raw_Data!AB707&lt;&gt;"",Raw_Data!AB707,IF(N704="tres_insatisfait",1,IF(N704="insatisfait",2,IF(N704="neutre",3,IF(N704="satisfait",4,IF(N704="tres_satisfait",5,""))))))</f>
        <v/>
      </c>
      <c r="P704" s="12">
        <f>IF(Raw_Data!AL707&lt;&gt;"",Raw_Data!AL707,Raw_Data!R707)</f>
        <v>0</v>
      </c>
      <c r="Q704" s="12">
        <f t="shared" si="92"/>
        <v>0</v>
      </c>
      <c r="R704" s="12" t="str">
        <f>IF(Raw_Data!AM707="","",Raw_Data!AM707)</f>
        <v/>
      </c>
      <c r="S704" s="12" t="str">
        <f t="shared" si="93"/>
        <v/>
      </c>
      <c r="T704" s="12" t="str">
        <f>IF(Raw_Data!AN707="","",Raw_Data!AN707)</f>
        <v/>
      </c>
      <c r="U704" s="12" t="str">
        <f t="shared" si="94"/>
        <v/>
      </c>
      <c r="V704" s="12" t="str">
        <f>IF(Raw_Data!AP707="","",IF(Raw_Data!AP707="oui",1,0))</f>
        <v/>
      </c>
      <c r="W704" s="12" t="str">
        <f>IF(Raw_Data!AQ707="","",IF(Raw_Data!AQ707="oui",1,0))</f>
        <v/>
      </c>
      <c r="X704" s="12" t="str">
        <f>IF(Raw_Data!AR707="","",IF(Raw_Data!AR707="oui",1,0))</f>
        <v/>
      </c>
      <c r="Y704" s="12" t="str">
        <f>IF(Raw_Data!AS707="","",IF(Raw_Data!AS707="oui",1,0))</f>
        <v/>
      </c>
      <c r="Z704" s="12" t="str">
        <f>IF(Raw_Data!V707="","",IF(Raw_Data!V707="oui",1,0))</f>
        <v/>
      </c>
      <c r="AA704" s="12" t="str">
        <f>IF(Raw_Data!W707="","",IF(Raw_Data!W707="oui",1,0))</f>
        <v/>
      </c>
      <c r="AB704" s="12" t="str">
        <f>IF(Raw_Data!Q707="","",IF(Raw_Data!Q707="oui",1,0))</f>
        <v/>
      </c>
      <c r="AC704" s="12">
        <f>Raw_Data!AF707</f>
        <v>0</v>
      </c>
      <c r="AD704" s="12" t="str">
        <f t="shared" si="95"/>
        <v/>
      </c>
      <c r="AE704" s="12" t="str">
        <f t="shared" si="96"/>
        <v/>
      </c>
      <c r="AF704" s="12" t="str">
        <f t="shared" si="97"/>
        <v/>
      </c>
      <c r="AG704" s="12">
        <f t="shared" si="98"/>
        <v>0</v>
      </c>
    </row>
    <row r="705" spans="1:33" ht="15" customHeight="1" x14ac:dyDescent="0.25">
      <c r="A705" s="12" t="str">
        <f>IF(Raw_Data!B708="","",Raw_Data!B708)</f>
        <v/>
      </c>
      <c r="B705" s="12">
        <f>IF(Raw_Data!X708&lt;&gt;"",Raw_Data!X708,Raw_Data!C708)</f>
        <v>0</v>
      </c>
      <c r="C705" s="12" t="str">
        <f>IF(Raw_Data!G708="","",Raw_Data!G708)</f>
        <v/>
      </c>
      <c r="D705" s="12" t="str">
        <f>IF(Raw_Data!H708="","",Raw_Data!H708)</f>
        <v/>
      </c>
      <c r="E705" s="12" t="str">
        <f>IF(Raw_Data!I708="","",Raw_Data!I708)</f>
        <v/>
      </c>
      <c r="F705" s="12" t="str">
        <f>IF(Raw_Data!J708="","",Raw_Data!J708)</f>
        <v/>
      </c>
      <c r="G705" s="12" t="str">
        <f>IF(Raw_Data!AH708&lt;&gt;"",Raw_Data!AH708,IF(Raw_Data!K708&lt;&gt;"",Raw_Data!K708,""))</f>
        <v/>
      </c>
      <c r="H705" s="12" t="str">
        <f>IF(Raw_Data!AI708&lt;&gt;"",Raw_Data!AI708,IF(Raw_Data!L708&lt;&gt;"",Raw_Data!L708,""))</f>
        <v/>
      </c>
      <c r="I705" s="12" t="str">
        <f t="shared" si="90"/>
        <v/>
      </c>
      <c r="J705" s="12" t="str">
        <f>IF(Raw_Data!M708="","",Raw_Data!M708)</f>
        <v/>
      </c>
      <c r="K705" s="12">
        <f>IF(Raw_Data!AJ708&lt;&gt;"",Raw_Data!AJ708,Raw_Data!N708)</f>
        <v>0</v>
      </c>
      <c r="L705" s="12">
        <f t="shared" si="91"/>
        <v>1</v>
      </c>
      <c r="M705" s="12" t="str">
        <f>IF(Raw_Data!AK708="","",Raw_Data!AK708)</f>
        <v/>
      </c>
      <c r="N705" s="12" t="str">
        <f>IF(Raw_Data!T708="","",Raw_Data!T708)</f>
        <v/>
      </c>
      <c r="O705" s="12" t="str">
        <f>IF(Raw_Data!AB708&lt;&gt;"",Raw_Data!AB708,IF(N705="tres_insatisfait",1,IF(N705="insatisfait",2,IF(N705="neutre",3,IF(N705="satisfait",4,IF(N705="tres_satisfait",5,""))))))</f>
        <v/>
      </c>
      <c r="P705" s="12">
        <f>IF(Raw_Data!AL708&lt;&gt;"",Raw_Data!AL708,Raw_Data!R708)</f>
        <v>0</v>
      </c>
      <c r="Q705" s="12">
        <f t="shared" si="92"/>
        <v>0</v>
      </c>
      <c r="R705" s="12" t="str">
        <f>IF(Raw_Data!AM708="","",Raw_Data!AM708)</f>
        <v/>
      </c>
      <c r="S705" s="12" t="str">
        <f t="shared" si="93"/>
        <v/>
      </c>
      <c r="T705" s="12" t="str">
        <f>IF(Raw_Data!AN708="","",Raw_Data!AN708)</f>
        <v/>
      </c>
      <c r="U705" s="12" t="str">
        <f t="shared" si="94"/>
        <v/>
      </c>
      <c r="V705" s="12" t="str">
        <f>IF(Raw_Data!AP708="","",IF(Raw_Data!AP708="oui",1,0))</f>
        <v/>
      </c>
      <c r="W705" s="12" t="str">
        <f>IF(Raw_Data!AQ708="","",IF(Raw_Data!AQ708="oui",1,0))</f>
        <v/>
      </c>
      <c r="X705" s="12" t="str">
        <f>IF(Raw_Data!AR708="","",IF(Raw_Data!AR708="oui",1,0))</f>
        <v/>
      </c>
      <c r="Y705" s="12" t="str">
        <f>IF(Raw_Data!AS708="","",IF(Raw_Data!AS708="oui",1,0))</f>
        <v/>
      </c>
      <c r="Z705" s="12" t="str">
        <f>IF(Raw_Data!V708="","",IF(Raw_Data!V708="oui",1,0))</f>
        <v/>
      </c>
      <c r="AA705" s="12" t="str">
        <f>IF(Raw_Data!W708="","",IF(Raw_Data!W708="oui",1,0))</f>
        <v/>
      </c>
      <c r="AB705" s="12" t="str">
        <f>IF(Raw_Data!Q708="","",IF(Raw_Data!Q708="oui",1,0))</f>
        <v/>
      </c>
      <c r="AC705" s="12">
        <f>Raw_Data!AF708</f>
        <v>0</v>
      </c>
      <c r="AD705" s="12" t="str">
        <f t="shared" si="95"/>
        <v/>
      </c>
      <c r="AE705" s="12" t="str">
        <f t="shared" si="96"/>
        <v/>
      </c>
      <c r="AF705" s="12" t="str">
        <f t="shared" si="97"/>
        <v/>
      </c>
      <c r="AG705" s="12">
        <f t="shared" si="98"/>
        <v>0</v>
      </c>
    </row>
    <row r="706" spans="1:33" ht="15" customHeight="1" x14ac:dyDescent="0.25">
      <c r="A706" s="12" t="str">
        <f>IF(Raw_Data!B709="","",Raw_Data!B709)</f>
        <v/>
      </c>
      <c r="B706" s="12">
        <f>IF(Raw_Data!X709&lt;&gt;"",Raw_Data!X709,Raw_Data!C709)</f>
        <v>0</v>
      </c>
      <c r="C706" s="12" t="str">
        <f>IF(Raw_Data!G709="","",Raw_Data!G709)</f>
        <v/>
      </c>
      <c r="D706" s="12" t="str">
        <f>IF(Raw_Data!H709="","",Raw_Data!H709)</f>
        <v/>
      </c>
      <c r="E706" s="12" t="str">
        <f>IF(Raw_Data!I709="","",Raw_Data!I709)</f>
        <v/>
      </c>
      <c r="F706" s="12" t="str">
        <f>IF(Raw_Data!J709="","",Raw_Data!J709)</f>
        <v/>
      </c>
      <c r="G706" s="12" t="str">
        <f>IF(Raw_Data!AH709&lt;&gt;"",Raw_Data!AH709,IF(Raw_Data!K709&lt;&gt;"",Raw_Data!K709,""))</f>
        <v/>
      </c>
      <c r="H706" s="12" t="str">
        <f>IF(Raw_Data!AI709&lt;&gt;"",Raw_Data!AI709,IF(Raw_Data!L709&lt;&gt;"",Raw_Data!L709,""))</f>
        <v/>
      </c>
      <c r="I706" s="12" t="str">
        <f t="shared" ref="I706:I769" si="99">IF(H706="","",IF(H706&lt;18,"&lt;18 ans",IF(H706&lt;60,"18-59 ans","60 ans et +")))</f>
        <v/>
      </c>
      <c r="J706" s="12" t="str">
        <f>IF(Raw_Data!M709="","",Raw_Data!M709)</f>
        <v/>
      </c>
      <c r="K706" s="12">
        <f>IF(Raw_Data!AJ709&lt;&gt;"",Raw_Data!AJ709,Raw_Data!N709)</f>
        <v>0</v>
      </c>
      <c r="L706" s="12">
        <f t="shared" ref="L706:L769" si="100">IF(K706="",0,1)</f>
        <v>1</v>
      </c>
      <c r="M706" s="12" t="str">
        <f>IF(Raw_Data!AK709="","",Raw_Data!AK709)</f>
        <v/>
      </c>
      <c r="N706" s="12" t="str">
        <f>IF(Raw_Data!T709="","",Raw_Data!T709)</f>
        <v/>
      </c>
      <c r="O706" s="12" t="str">
        <f>IF(Raw_Data!AB709&lt;&gt;"",Raw_Data!AB709,IF(N706="tres_insatisfait",1,IF(N706="insatisfait",2,IF(N706="neutre",3,IF(N706="satisfait",4,IF(N706="tres_satisfait",5,""))))))</f>
        <v/>
      </c>
      <c r="P706" s="12">
        <f>IF(Raw_Data!AL709&lt;&gt;"",Raw_Data!AL709,Raw_Data!R709)</f>
        <v>0</v>
      </c>
      <c r="Q706" s="12">
        <f t="shared" ref="Q706:Q769" si="101">IF(P706="","",IF(P706="oui",1,0))</f>
        <v>0</v>
      </c>
      <c r="R706" s="12" t="str">
        <f>IF(Raw_Data!AM709="","",Raw_Data!AM709)</f>
        <v/>
      </c>
      <c r="S706" s="12" t="str">
        <f t="shared" ref="S706:S769" si="102">IF(R706="","",IF(R706="oui",1,0))</f>
        <v/>
      </c>
      <c r="T706" s="12" t="str">
        <f>IF(Raw_Data!AN709="","",Raw_Data!AN709)</f>
        <v/>
      </c>
      <c r="U706" s="12" t="str">
        <f t="shared" ref="U706:U769" si="103">IF(T706="","",IF(T706="oui",1,0))</f>
        <v/>
      </c>
      <c r="V706" s="12" t="str">
        <f>IF(Raw_Data!AP709="","",IF(Raw_Data!AP709="oui",1,0))</f>
        <v/>
      </c>
      <c r="W706" s="12" t="str">
        <f>IF(Raw_Data!AQ709="","",IF(Raw_Data!AQ709="oui",1,0))</f>
        <v/>
      </c>
      <c r="X706" s="12" t="str">
        <f>IF(Raw_Data!AR709="","",IF(Raw_Data!AR709="oui",1,0))</f>
        <v/>
      </c>
      <c r="Y706" s="12" t="str">
        <f>IF(Raw_Data!AS709="","",IF(Raw_Data!AS709="oui",1,0))</f>
        <v/>
      </c>
      <c r="Z706" s="12" t="str">
        <f>IF(Raw_Data!V709="","",IF(Raw_Data!V709="oui",1,0))</f>
        <v/>
      </c>
      <c r="AA706" s="12" t="str">
        <f>IF(Raw_Data!W709="","",IF(Raw_Data!W709="oui",1,0))</f>
        <v/>
      </c>
      <c r="AB706" s="12" t="str">
        <f>IF(Raw_Data!Q709="","",IF(Raw_Data!Q709="oui",1,0))</f>
        <v/>
      </c>
      <c r="AC706" s="12">
        <f>Raw_Data!AF709</f>
        <v>0</v>
      </c>
      <c r="AD706" s="12" t="str">
        <f t="shared" ref="AD706:AD769" si="104">IF(A706="","",F706&amp;"|"&amp;E706&amp;"|"&amp;TEXT(B706,"YYYY-MM-DD"))</f>
        <v/>
      </c>
      <c r="AE706" s="12" t="str">
        <f t="shared" ref="AE706:AE769" si="105">IF(AD706="","",IF(COUNTIF($AD$2:$AD$1000,AD706)&gt;1,1,0))</f>
        <v/>
      </c>
      <c r="AF706" s="12" t="str">
        <f t="shared" ref="AF706:AF769" si="106">IF(A706="","",IF(OR(C706="",D706="",G706="",H706="",N706=""),1,0))</f>
        <v/>
      </c>
      <c r="AG706" s="12">
        <f t="shared" ref="AG706:AG769" si="107">IF(A706="",0,1)</f>
        <v>0</v>
      </c>
    </row>
    <row r="707" spans="1:33" ht="15" customHeight="1" x14ac:dyDescent="0.25">
      <c r="A707" s="12" t="str">
        <f>IF(Raw_Data!B710="","",Raw_Data!B710)</f>
        <v/>
      </c>
      <c r="B707" s="12">
        <f>IF(Raw_Data!X710&lt;&gt;"",Raw_Data!X710,Raw_Data!C710)</f>
        <v>0</v>
      </c>
      <c r="C707" s="12" t="str">
        <f>IF(Raw_Data!G710="","",Raw_Data!G710)</f>
        <v/>
      </c>
      <c r="D707" s="12" t="str">
        <f>IF(Raw_Data!H710="","",Raw_Data!H710)</f>
        <v/>
      </c>
      <c r="E707" s="12" t="str">
        <f>IF(Raw_Data!I710="","",Raw_Data!I710)</f>
        <v/>
      </c>
      <c r="F707" s="12" t="str">
        <f>IF(Raw_Data!J710="","",Raw_Data!J710)</f>
        <v/>
      </c>
      <c r="G707" s="12" t="str">
        <f>IF(Raw_Data!AH710&lt;&gt;"",Raw_Data!AH710,IF(Raw_Data!K710&lt;&gt;"",Raw_Data!K710,""))</f>
        <v/>
      </c>
      <c r="H707" s="12" t="str">
        <f>IF(Raw_Data!AI710&lt;&gt;"",Raw_Data!AI710,IF(Raw_Data!L710&lt;&gt;"",Raw_Data!L710,""))</f>
        <v/>
      </c>
      <c r="I707" s="12" t="str">
        <f t="shared" si="99"/>
        <v/>
      </c>
      <c r="J707" s="12" t="str">
        <f>IF(Raw_Data!M710="","",Raw_Data!M710)</f>
        <v/>
      </c>
      <c r="K707" s="12">
        <f>IF(Raw_Data!AJ710&lt;&gt;"",Raw_Data!AJ710,Raw_Data!N710)</f>
        <v>0</v>
      </c>
      <c r="L707" s="12">
        <f t="shared" si="100"/>
        <v>1</v>
      </c>
      <c r="M707" s="12" t="str">
        <f>IF(Raw_Data!AK710="","",Raw_Data!AK710)</f>
        <v/>
      </c>
      <c r="N707" s="12" t="str">
        <f>IF(Raw_Data!T710="","",Raw_Data!T710)</f>
        <v/>
      </c>
      <c r="O707" s="12" t="str">
        <f>IF(Raw_Data!AB710&lt;&gt;"",Raw_Data!AB710,IF(N707="tres_insatisfait",1,IF(N707="insatisfait",2,IF(N707="neutre",3,IF(N707="satisfait",4,IF(N707="tres_satisfait",5,""))))))</f>
        <v/>
      </c>
      <c r="P707" s="12">
        <f>IF(Raw_Data!AL710&lt;&gt;"",Raw_Data!AL710,Raw_Data!R710)</f>
        <v>0</v>
      </c>
      <c r="Q707" s="12">
        <f t="shared" si="101"/>
        <v>0</v>
      </c>
      <c r="R707" s="12" t="str">
        <f>IF(Raw_Data!AM710="","",Raw_Data!AM710)</f>
        <v/>
      </c>
      <c r="S707" s="12" t="str">
        <f t="shared" si="102"/>
        <v/>
      </c>
      <c r="T707" s="12" t="str">
        <f>IF(Raw_Data!AN710="","",Raw_Data!AN710)</f>
        <v/>
      </c>
      <c r="U707" s="12" t="str">
        <f t="shared" si="103"/>
        <v/>
      </c>
      <c r="V707" s="12" t="str">
        <f>IF(Raw_Data!AP710="","",IF(Raw_Data!AP710="oui",1,0))</f>
        <v/>
      </c>
      <c r="W707" s="12" t="str">
        <f>IF(Raw_Data!AQ710="","",IF(Raw_Data!AQ710="oui",1,0))</f>
        <v/>
      </c>
      <c r="X707" s="12" t="str">
        <f>IF(Raw_Data!AR710="","",IF(Raw_Data!AR710="oui",1,0))</f>
        <v/>
      </c>
      <c r="Y707" s="12" t="str">
        <f>IF(Raw_Data!AS710="","",IF(Raw_Data!AS710="oui",1,0))</f>
        <v/>
      </c>
      <c r="Z707" s="12" t="str">
        <f>IF(Raw_Data!V710="","",IF(Raw_Data!V710="oui",1,0))</f>
        <v/>
      </c>
      <c r="AA707" s="12" t="str">
        <f>IF(Raw_Data!W710="","",IF(Raw_Data!W710="oui",1,0))</f>
        <v/>
      </c>
      <c r="AB707" s="12" t="str">
        <f>IF(Raw_Data!Q710="","",IF(Raw_Data!Q710="oui",1,0))</f>
        <v/>
      </c>
      <c r="AC707" s="12">
        <f>Raw_Data!AF710</f>
        <v>0</v>
      </c>
      <c r="AD707" s="12" t="str">
        <f t="shared" si="104"/>
        <v/>
      </c>
      <c r="AE707" s="12" t="str">
        <f t="shared" si="105"/>
        <v/>
      </c>
      <c r="AF707" s="12" t="str">
        <f t="shared" si="106"/>
        <v/>
      </c>
      <c r="AG707" s="12">
        <f t="shared" si="107"/>
        <v>0</v>
      </c>
    </row>
    <row r="708" spans="1:33" ht="15" customHeight="1" x14ac:dyDescent="0.25">
      <c r="A708" s="12" t="str">
        <f>IF(Raw_Data!B711="","",Raw_Data!B711)</f>
        <v/>
      </c>
      <c r="B708" s="12">
        <f>IF(Raw_Data!X711&lt;&gt;"",Raw_Data!X711,Raw_Data!C711)</f>
        <v>0</v>
      </c>
      <c r="C708" s="12" t="str">
        <f>IF(Raw_Data!G711="","",Raw_Data!G711)</f>
        <v/>
      </c>
      <c r="D708" s="12" t="str">
        <f>IF(Raw_Data!H711="","",Raw_Data!H711)</f>
        <v/>
      </c>
      <c r="E708" s="12" t="str">
        <f>IF(Raw_Data!I711="","",Raw_Data!I711)</f>
        <v/>
      </c>
      <c r="F708" s="12" t="str">
        <f>IF(Raw_Data!J711="","",Raw_Data!J711)</f>
        <v/>
      </c>
      <c r="G708" s="12" t="str">
        <f>IF(Raw_Data!AH711&lt;&gt;"",Raw_Data!AH711,IF(Raw_Data!K711&lt;&gt;"",Raw_Data!K711,""))</f>
        <v/>
      </c>
      <c r="H708" s="12" t="str">
        <f>IF(Raw_Data!AI711&lt;&gt;"",Raw_Data!AI711,IF(Raw_Data!L711&lt;&gt;"",Raw_Data!L711,""))</f>
        <v/>
      </c>
      <c r="I708" s="12" t="str">
        <f t="shared" si="99"/>
        <v/>
      </c>
      <c r="J708" s="12" t="str">
        <f>IF(Raw_Data!M711="","",Raw_Data!M711)</f>
        <v/>
      </c>
      <c r="K708" s="12">
        <f>IF(Raw_Data!AJ711&lt;&gt;"",Raw_Data!AJ711,Raw_Data!N711)</f>
        <v>0</v>
      </c>
      <c r="L708" s="12">
        <f t="shared" si="100"/>
        <v>1</v>
      </c>
      <c r="M708" s="12" t="str">
        <f>IF(Raw_Data!AK711="","",Raw_Data!AK711)</f>
        <v/>
      </c>
      <c r="N708" s="12" t="str">
        <f>IF(Raw_Data!T711="","",Raw_Data!T711)</f>
        <v/>
      </c>
      <c r="O708" s="12" t="str">
        <f>IF(Raw_Data!AB711&lt;&gt;"",Raw_Data!AB711,IF(N708="tres_insatisfait",1,IF(N708="insatisfait",2,IF(N708="neutre",3,IF(N708="satisfait",4,IF(N708="tres_satisfait",5,""))))))</f>
        <v/>
      </c>
      <c r="P708" s="12">
        <f>IF(Raw_Data!AL711&lt;&gt;"",Raw_Data!AL711,Raw_Data!R711)</f>
        <v>0</v>
      </c>
      <c r="Q708" s="12">
        <f t="shared" si="101"/>
        <v>0</v>
      </c>
      <c r="R708" s="12" t="str">
        <f>IF(Raw_Data!AM711="","",Raw_Data!AM711)</f>
        <v/>
      </c>
      <c r="S708" s="12" t="str">
        <f t="shared" si="102"/>
        <v/>
      </c>
      <c r="T708" s="12" t="str">
        <f>IF(Raw_Data!AN711="","",Raw_Data!AN711)</f>
        <v/>
      </c>
      <c r="U708" s="12" t="str">
        <f t="shared" si="103"/>
        <v/>
      </c>
      <c r="V708" s="12" t="str">
        <f>IF(Raw_Data!AP711="","",IF(Raw_Data!AP711="oui",1,0))</f>
        <v/>
      </c>
      <c r="W708" s="12" t="str">
        <f>IF(Raw_Data!AQ711="","",IF(Raw_Data!AQ711="oui",1,0))</f>
        <v/>
      </c>
      <c r="X708" s="12" t="str">
        <f>IF(Raw_Data!AR711="","",IF(Raw_Data!AR711="oui",1,0))</f>
        <v/>
      </c>
      <c r="Y708" s="12" t="str">
        <f>IF(Raw_Data!AS711="","",IF(Raw_Data!AS711="oui",1,0))</f>
        <v/>
      </c>
      <c r="Z708" s="12" t="str">
        <f>IF(Raw_Data!V711="","",IF(Raw_Data!V711="oui",1,0))</f>
        <v/>
      </c>
      <c r="AA708" s="12" t="str">
        <f>IF(Raw_Data!W711="","",IF(Raw_Data!W711="oui",1,0))</f>
        <v/>
      </c>
      <c r="AB708" s="12" t="str">
        <f>IF(Raw_Data!Q711="","",IF(Raw_Data!Q711="oui",1,0))</f>
        <v/>
      </c>
      <c r="AC708" s="12">
        <f>Raw_Data!AF711</f>
        <v>0</v>
      </c>
      <c r="AD708" s="12" t="str">
        <f t="shared" si="104"/>
        <v/>
      </c>
      <c r="AE708" s="12" t="str">
        <f t="shared" si="105"/>
        <v/>
      </c>
      <c r="AF708" s="12" t="str">
        <f t="shared" si="106"/>
        <v/>
      </c>
      <c r="AG708" s="12">
        <f t="shared" si="107"/>
        <v>0</v>
      </c>
    </row>
    <row r="709" spans="1:33" ht="15" customHeight="1" x14ac:dyDescent="0.25">
      <c r="A709" s="12" t="str">
        <f>IF(Raw_Data!B712="","",Raw_Data!B712)</f>
        <v/>
      </c>
      <c r="B709" s="12">
        <f>IF(Raw_Data!X712&lt;&gt;"",Raw_Data!X712,Raw_Data!C712)</f>
        <v>0</v>
      </c>
      <c r="C709" s="12" t="str">
        <f>IF(Raw_Data!G712="","",Raw_Data!G712)</f>
        <v/>
      </c>
      <c r="D709" s="12" t="str">
        <f>IF(Raw_Data!H712="","",Raw_Data!H712)</f>
        <v/>
      </c>
      <c r="E709" s="12" t="str">
        <f>IF(Raw_Data!I712="","",Raw_Data!I712)</f>
        <v/>
      </c>
      <c r="F709" s="12" t="str">
        <f>IF(Raw_Data!J712="","",Raw_Data!J712)</f>
        <v/>
      </c>
      <c r="G709" s="12" t="str">
        <f>IF(Raw_Data!AH712&lt;&gt;"",Raw_Data!AH712,IF(Raw_Data!K712&lt;&gt;"",Raw_Data!K712,""))</f>
        <v/>
      </c>
      <c r="H709" s="12" t="str">
        <f>IF(Raw_Data!AI712&lt;&gt;"",Raw_Data!AI712,IF(Raw_Data!L712&lt;&gt;"",Raw_Data!L712,""))</f>
        <v/>
      </c>
      <c r="I709" s="12" t="str">
        <f t="shared" si="99"/>
        <v/>
      </c>
      <c r="J709" s="12" t="str">
        <f>IF(Raw_Data!M712="","",Raw_Data!M712)</f>
        <v/>
      </c>
      <c r="K709" s="12">
        <f>IF(Raw_Data!AJ712&lt;&gt;"",Raw_Data!AJ712,Raw_Data!N712)</f>
        <v>0</v>
      </c>
      <c r="L709" s="12">
        <f t="shared" si="100"/>
        <v>1</v>
      </c>
      <c r="M709" s="12" t="str">
        <f>IF(Raw_Data!AK712="","",Raw_Data!AK712)</f>
        <v/>
      </c>
      <c r="N709" s="12" t="str">
        <f>IF(Raw_Data!T712="","",Raw_Data!T712)</f>
        <v/>
      </c>
      <c r="O709" s="12" t="str">
        <f>IF(Raw_Data!AB712&lt;&gt;"",Raw_Data!AB712,IF(N709="tres_insatisfait",1,IF(N709="insatisfait",2,IF(N709="neutre",3,IF(N709="satisfait",4,IF(N709="tres_satisfait",5,""))))))</f>
        <v/>
      </c>
      <c r="P709" s="12">
        <f>IF(Raw_Data!AL712&lt;&gt;"",Raw_Data!AL712,Raw_Data!R712)</f>
        <v>0</v>
      </c>
      <c r="Q709" s="12">
        <f t="shared" si="101"/>
        <v>0</v>
      </c>
      <c r="R709" s="12" t="str">
        <f>IF(Raw_Data!AM712="","",Raw_Data!AM712)</f>
        <v/>
      </c>
      <c r="S709" s="12" t="str">
        <f t="shared" si="102"/>
        <v/>
      </c>
      <c r="T709" s="12" t="str">
        <f>IF(Raw_Data!AN712="","",Raw_Data!AN712)</f>
        <v/>
      </c>
      <c r="U709" s="12" t="str">
        <f t="shared" si="103"/>
        <v/>
      </c>
      <c r="V709" s="12" t="str">
        <f>IF(Raw_Data!AP712="","",IF(Raw_Data!AP712="oui",1,0))</f>
        <v/>
      </c>
      <c r="W709" s="12" t="str">
        <f>IF(Raw_Data!AQ712="","",IF(Raw_Data!AQ712="oui",1,0))</f>
        <v/>
      </c>
      <c r="X709" s="12" t="str">
        <f>IF(Raw_Data!AR712="","",IF(Raw_Data!AR712="oui",1,0))</f>
        <v/>
      </c>
      <c r="Y709" s="12" t="str">
        <f>IF(Raw_Data!AS712="","",IF(Raw_Data!AS712="oui",1,0))</f>
        <v/>
      </c>
      <c r="Z709" s="12" t="str">
        <f>IF(Raw_Data!V712="","",IF(Raw_Data!V712="oui",1,0))</f>
        <v/>
      </c>
      <c r="AA709" s="12" t="str">
        <f>IF(Raw_Data!W712="","",IF(Raw_Data!W712="oui",1,0))</f>
        <v/>
      </c>
      <c r="AB709" s="12" t="str">
        <f>IF(Raw_Data!Q712="","",IF(Raw_Data!Q712="oui",1,0))</f>
        <v/>
      </c>
      <c r="AC709" s="12">
        <f>Raw_Data!AF712</f>
        <v>0</v>
      </c>
      <c r="AD709" s="12" t="str">
        <f t="shared" si="104"/>
        <v/>
      </c>
      <c r="AE709" s="12" t="str">
        <f t="shared" si="105"/>
        <v/>
      </c>
      <c r="AF709" s="12" t="str">
        <f t="shared" si="106"/>
        <v/>
      </c>
      <c r="AG709" s="12">
        <f t="shared" si="107"/>
        <v>0</v>
      </c>
    </row>
    <row r="710" spans="1:33" ht="15" customHeight="1" x14ac:dyDescent="0.25">
      <c r="A710" s="12" t="str">
        <f>IF(Raw_Data!B713="","",Raw_Data!B713)</f>
        <v/>
      </c>
      <c r="B710" s="12">
        <f>IF(Raw_Data!X713&lt;&gt;"",Raw_Data!X713,Raw_Data!C713)</f>
        <v>0</v>
      </c>
      <c r="C710" s="12" t="str">
        <f>IF(Raw_Data!G713="","",Raw_Data!G713)</f>
        <v/>
      </c>
      <c r="D710" s="12" t="str">
        <f>IF(Raw_Data!H713="","",Raw_Data!H713)</f>
        <v/>
      </c>
      <c r="E710" s="12" t="str">
        <f>IF(Raw_Data!I713="","",Raw_Data!I713)</f>
        <v/>
      </c>
      <c r="F710" s="12" t="str">
        <f>IF(Raw_Data!J713="","",Raw_Data!J713)</f>
        <v/>
      </c>
      <c r="G710" s="12" t="str">
        <f>IF(Raw_Data!AH713&lt;&gt;"",Raw_Data!AH713,IF(Raw_Data!K713&lt;&gt;"",Raw_Data!K713,""))</f>
        <v/>
      </c>
      <c r="H710" s="12" t="str">
        <f>IF(Raw_Data!AI713&lt;&gt;"",Raw_Data!AI713,IF(Raw_Data!L713&lt;&gt;"",Raw_Data!L713,""))</f>
        <v/>
      </c>
      <c r="I710" s="12" t="str">
        <f t="shared" si="99"/>
        <v/>
      </c>
      <c r="J710" s="12" t="str">
        <f>IF(Raw_Data!M713="","",Raw_Data!M713)</f>
        <v/>
      </c>
      <c r="K710" s="12">
        <f>IF(Raw_Data!AJ713&lt;&gt;"",Raw_Data!AJ713,Raw_Data!N713)</f>
        <v>0</v>
      </c>
      <c r="L710" s="12">
        <f t="shared" si="100"/>
        <v>1</v>
      </c>
      <c r="M710" s="12" t="str">
        <f>IF(Raw_Data!AK713="","",Raw_Data!AK713)</f>
        <v/>
      </c>
      <c r="N710" s="12" t="str">
        <f>IF(Raw_Data!T713="","",Raw_Data!T713)</f>
        <v/>
      </c>
      <c r="O710" s="12" t="str">
        <f>IF(Raw_Data!AB713&lt;&gt;"",Raw_Data!AB713,IF(N710="tres_insatisfait",1,IF(N710="insatisfait",2,IF(N710="neutre",3,IF(N710="satisfait",4,IF(N710="tres_satisfait",5,""))))))</f>
        <v/>
      </c>
      <c r="P710" s="12">
        <f>IF(Raw_Data!AL713&lt;&gt;"",Raw_Data!AL713,Raw_Data!R713)</f>
        <v>0</v>
      </c>
      <c r="Q710" s="12">
        <f t="shared" si="101"/>
        <v>0</v>
      </c>
      <c r="R710" s="12" t="str">
        <f>IF(Raw_Data!AM713="","",Raw_Data!AM713)</f>
        <v/>
      </c>
      <c r="S710" s="12" t="str">
        <f t="shared" si="102"/>
        <v/>
      </c>
      <c r="T710" s="12" t="str">
        <f>IF(Raw_Data!AN713="","",Raw_Data!AN713)</f>
        <v/>
      </c>
      <c r="U710" s="12" t="str">
        <f t="shared" si="103"/>
        <v/>
      </c>
      <c r="V710" s="12" t="str">
        <f>IF(Raw_Data!AP713="","",IF(Raw_Data!AP713="oui",1,0))</f>
        <v/>
      </c>
      <c r="W710" s="12" t="str">
        <f>IF(Raw_Data!AQ713="","",IF(Raw_Data!AQ713="oui",1,0))</f>
        <v/>
      </c>
      <c r="X710" s="12" t="str">
        <f>IF(Raw_Data!AR713="","",IF(Raw_Data!AR713="oui",1,0))</f>
        <v/>
      </c>
      <c r="Y710" s="12" t="str">
        <f>IF(Raw_Data!AS713="","",IF(Raw_Data!AS713="oui",1,0))</f>
        <v/>
      </c>
      <c r="Z710" s="12" t="str">
        <f>IF(Raw_Data!V713="","",IF(Raw_Data!V713="oui",1,0))</f>
        <v/>
      </c>
      <c r="AA710" s="12" t="str">
        <f>IF(Raw_Data!W713="","",IF(Raw_Data!W713="oui",1,0))</f>
        <v/>
      </c>
      <c r="AB710" s="12" t="str">
        <f>IF(Raw_Data!Q713="","",IF(Raw_Data!Q713="oui",1,0))</f>
        <v/>
      </c>
      <c r="AC710" s="12">
        <f>Raw_Data!AF713</f>
        <v>0</v>
      </c>
      <c r="AD710" s="12" t="str">
        <f t="shared" si="104"/>
        <v/>
      </c>
      <c r="AE710" s="12" t="str">
        <f t="shared" si="105"/>
        <v/>
      </c>
      <c r="AF710" s="12" t="str">
        <f t="shared" si="106"/>
        <v/>
      </c>
      <c r="AG710" s="12">
        <f t="shared" si="107"/>
        <v>0</v>
      </c>
    </row>
    <row r="711" spans="1:33" ht="15" customHeight="1" x14ac:dyDescent="0.25">
      <c r="A711" s="12" t="str">
        <f>IF(Raw_Data!B714="","",Raw_Data!B714)</f>
        <v/>
      </c>
      <c r="B711" s="12">
        <f>IF(Raw_Data!X714&lt;&gt;"",Raw_Data!X714,Raw_Data!C714)</f>
        <v>0</v>
      </c>
      <c r="C711" s="12" t="str">
        <f>IF(Raw_Data!G714="","",Raw_Data!G714)</f>
        <v/>
      </c>
      <c r="D711" s="12" t="str">
        <f>IF(Raw_Data!H714="","",Raw_Data!H714)</f>
        <v/>
      </c>
      <c r="E711" s="12" t="str">
        <f>IF(Raw_Data!I714="","",Raw_Data!I714)</f>
        <v/>
      </c>
      <c r="F711" s="12" t="str">
        <f>IF(Raw_Data!J714="","",Raw_Data!J714)</f>
        <v/>
      </c>
      <c r="G711" s="12" t="str">
        <f>IF(Raw_Data!AH714&lt;&gt;"",Raw_Data!AH714,IF(Raw_Data!K714&lt;&gt;"",Raw_Data!K714,""))</f>
        <v/>
      </c>
      <c r="H711" s="12" t="str">
        <f>IF(Raw_Data!AI714&lt;&gt;"",Raw_Data!AI714,IF(Raw_Data!L714&lt;&gt;"",Raw_Data!L714,""))</f>
        <v/>
      </c>
      <c r="I711" s="12" t="str">
        <f t="shared" si="99"/>
        <v/>
      </c>
      <c r="J711" s="12" t="str">
        <f>IF(Raw_Data!M714="","",Raw_Data!M714)</f>
        <v/>
      </c>
      <c r="K711" s="12">
        <f>IF(Raw_Data!AJ714&lt;&gt;"",Raw_Data!AJ714,Raw_Data!N714)</f>
        <v>0</v>
      </c>
      <c r="L711" s="12">
        <f t="shared" si="100"/>
        <v>1</v>
      </c>
      <c r="M711" s="12" t="str">
        <f>IF(Raw_Data!AK714="","",Raw_Data!AK714)</f>
        <v/>
      </c>
      <c r="N711" s="12" t="str">
        <f>IF(Raw_Data!T714="","",Raw_Data!T714)</f>
        <v/>
      </c>
      <c r="O711" s="12" t="str">
        <f>IF(Raw_Data!AB714&lt;&gt;"",Raw_Data!AB714,IF(N711="tres_insatisfait",1,IF(N711="insatisfait",2,IF(N711="neutre",3,IF(N711="satisfait",4,IF(N711="tres_satisfait",5,""))))))</f>
        <v/>
      </c>
      <c r="P711" s="12">
        <f>IF(Raw_Data!AL714&lt;&gt;"",Raw_Data!AL714,Raw_Data!R714)</f>
        <v>0</v>
      </c>
      <c r="Q711" s="12">
        <f t="shared" si="101"/>
        <v>0</v>
      </c>
      <c r="R711" s="12" t="str">
        <f>IF(Raw_Data!AM714="","",Raw_Data!AM714)</f>
        <v/>
      </c>
      <c r="S711" s="12" t="str">
        <f t="shared" si="102"/>
        <v/>
      </c>
      <c r="T711" s="12" t="str">
        <f>IF(Raw_Data!AN714="","",Raw_Data!AN714)</f>
        <v/>
      </c>
      <c r="U711" s="12" t="str">
        <f t="shared" si="103"/>
        <v/>
      </c>
      <c r="V711" s="12" t="str">
        <f>IF(Raw_Data!AP714="","",IF(Raw_Data!AP714="oui",1,0))</f>
        <v/>
      </c>
      <c r="W711" s="12" t="str">
        <f>IF(Raw_Data!AQ714="","",IF(Raw_Data!AQ714="oui",1,0))</f>
        <v/>
      </c>
      <c r="X711" s="12" t="str">
        <f>IF(Raw_Data!AR714="","",IF(Raw_Data!AR714="oui",1,0))</f>
        <v/>
      </c>
      <c r="Y711" s="12" t="str">
        <f>IF(Raw_Data!AS714="","",IF(Raw_Data!AS714="oui",1,0))</f>
        <v/>
      </c>
      <c r="Z711" s="12" t="str">
        <f>IF(Raw_Data!V714="","",IF(Raw_Data!V714="oui",1,0))</f>
        <v/>
      </c>
      <c r="AA711" s="12" t="str">
        <f>IF(Raw_Data!W714="","",IF(Raw_Data!W714="oui",1,0))</f>
        <v/>
      </c>
      <c r="AB711" s="12" t="str">
        <f>IF(Raw_Data!Q714="","",IF(Raw_Data!Q714="oui",1,0))</f>
        <v/>
      </c>
      <c r="AC711" s="12">
        <f>Raw_Data!AF714</f>
        <v>0</v>
      </c>
      <c r="AD711" s="12" t="str">
        <f t="shared" si="104"/>
        <v/>
      </c>
      <c r="AE711" s="12" t="str">
        <f t="shared" si="105"/>
        <v/>
      </c>
      <c r="AF711" s="12" t="str">
        <f t="shared" si="106"/>
        <v/>
      </c>
      <c r="AG711" s="12">
        <f t="shared" si="107"/>
        <v>0</v>
      </c>
    </row>
    <row r="712" spans="1:33" ht="15" customHeight="1" x14ac:dyDescent="0.25">
      <c r="A712" s="12" t="str">
        <f>IF(Raw_Data!B715="","",Raw_Data!B715)</f>
        <v/>
      </c>
      <c r="B712" s="12">
        <f>IF(Raw_Data!X715&lt;&gt;"",Raw_Data!X715,Raw_Data!C715)</f>
        <v>0</v>
      </c>
      <c r="C712" s="12" t="str">
        <f>IF(Raw_Data!G715="","",Raw_Data!G715)</f>
        <v/>
      </c>
      <c r="D712" s="12" t="str">
        <f>IF(Raw_Data!H715="","",Raw_Data!H715)</f>
        <v/>
      </c>
      <c r="E712" s="12" t="str">
        <f>IF(Raw_Data!I715="","",Raw_Data!I715)</f>
        <v/>
      </c>
      <c r="F712" s="12" t="str">
        <f>IF(Raw_Data!J715="","",Raw_Data!J715)</f>
        <v/>
      </c>
      <c r="G712" s="12" t="str">
        <f>IF(Raw_Data!AH715&lt;&gt;"",Raw_Data!AH715,IF(Raw_Data!K715&lt;&gt;"",Raw_Data!K715,""))</f>
        <v/>
      </c>
      <c r="H712" s="12" t="str">
        <f>IF(Raw_Data!AI715&lt;&gt;"",Raw_Data!AI715,IF(Raw_Data!L715&lt;&gt;"",Raw_Data!L715,""))</f>
        <v/>
      </c>
      <c r="I712" s="12" t="str">
        <f t="shared" si="99"/>
        <v/>
      </c>
      <c r="J712" s="12" t="str">
        <f>IF(Raw_Data!M715="","",Raw_Data!M715)</f>
        <v/>
      </c>
      <c r="K712" s="12">
        <f>IF(Raw_Data!AJ715&lt;&gt;"",Raw_Data!AJ715,Raw_Data!N715)</f>
        <v>0</v>
      </c>
      <c r="L712" s="12">
        <f t="shared" si="100"/>
        <v>1</v>
      </c>
      <c r="M712" s="12" t="str">
        <f>IF(Raw_Data!AK715="","",Raw_Data!AK715)</f>
        <v/>
      </c>
      <c r="N712" s="12" t="str">
        <f>IF(Raw_Data!T715="","",Raw_Data!T715)</f>
        <v/>
      </c>
      <c r="O712" s="12" t="str">
        <f>IF(Raw_Data!AB715&lt;&gt;"",Raw_Data!AB715,IF(N712="tres_insatisfait",1,IF(N712="insatisfait",2,IF(N712="neutre",3,IF(N712="satisfait",4,IF(N712="tres_satisfait",5,""))))))</f>
        <v/>
      </c>
      <c r="P712" s="12">
        <f>IF(Raw_Data!AL715&lt;&gt;"",Raw_Data!AL715,Raw_Data!R715)</f>
        <v>0</v>
      </c>
      <c r="Q712" s="12">
        <f t="shared" si="101"/>
        <v>0</v>
      </c>
      <c r="R712" s="12" t="str">
        <f>IF(Raw_Data!AM715="","",Raw_Data!AM715)</f>
        <v/>
      </c>
      <c r="S712" s="12" t="str">
        <f t="shared" si="102"/>
        <v/>
      </c>
      <c r="T712" s="12" t="str">
        <f>IF(Raw_Data!AN715="","",Raw_Data!AN715)</f>
        <v/>
      </c>
      <c r="U712" s="12" t="str">
        <f t="shared" si="103"/>
        <v/>
      </c>
      <c r="V712" s="12" t="str">
        <f>IF(Raw_Data!AP715="","",IF(Raw_Data!AP715="oui",1,0))</f>
        <v/>
      </c>
      <c r="W712" s="12" t="str">
        <f>IF(Raw_Data!AQ715="","",IF(Raw_Data!AQ715="oui",1,0))</f>
        <v/>
      </c>
      <c r="X712" s="12" t="str">
        <f>IF(Raw_Data!AR715="","",IF(Raw_Data!AR715="oui",1,0))</f>
        <v/>
      </c>
      <c r="Y712" s="12" t="str">
        <f>IF(Raw_Data!AS715="","",IF(Raw_Data!AS715="oui",1,0))</f>
        <v/>
      </c>
      <c r="Z712" s="12" t="str">
        <f>IF(Raw_Data!V715="","",IF(Raw_Data!V715="oui",1,0))</f>
        <v/>
      </c>
      <c r="AA712" s="12" t="str">
        <f>IF(Raw_Data!W715="","",IF(Raw_Data!W715="oui",1,0))</f>
        <v/>
      </c>
      <c r="AB712" s="12" t="str">
        <f>IF(Raw_Data!Q715="","",IF(Raw_Data!Q715="oui",1,0))</f>
        <v/>
      </c>
      <c r="AC712" s="12">
        <f>Raw_Data!AF715</f>
        <v>0</v>
      </c>
      <c r="AD712" s="12" t="str">
        <f t="shared" si="104"/>
        <v/>
      </c>
      <c r="AE712" s="12" t="str">
        <f t="shared" si="105"/>
        <v/>
      </c>
      <c r="AF712" s="12" t="str">
        <f t="shared" si="106"/>
        <v/>
      </c>
      <c r="AG712" s="12">
        <f t="shared" si="107"/>
        <v>0</v>
      </c>
    </row>
    <row r="713" spans="1:33" ht="15" customHeight="1" x14ac:dyDescent="0.25">
      <c r="A713" s="12" t="str">
        <f>IF(Raw_Data!B716="","",Raw_Data!B716)</f>
        <v/>
      </c>
      <c r="B713" s="12">
        <f>IF(Raw_Data!X716&lt;&gt;"",Raw_Data!X716,Raw_Data!C716)</f>
        <v>0</v>
      </c>
      <c r="C713" s="12" t="str">
        <f>IF(Raw_Data!G716="","",Raw_Data!G716)</f>
        <v/>
      </c>
      <c r="D713" s="12" t="str">
        <f>IF(Raw_Data!H716="","",Raw_Data!H716)</f>
        <v/>
      </c>
      <c r="E713" s="12" t="str">
        <f>IF(Raw_Data!I716="","",Raw_Data!I716)</f>
        <v/>
      </c>
      <c r="F713" s="12" t="str">
        <f>IF(Raw_Data!J716="","",Raw_Data!J716)</f>
        <v/>
      </c>
      <c r="G713" s="12" t="str">
        <f>IF(Raw_Data!AH716&lt;&gt;"",Raw_Data!AH716,IF(Raw_Data!K716&lt;&gt;"",Raw_Data!K716,""))</f>
        <v/>
      </c>
      <c r="H713" s="12" t="str">
        <f>IF(Raw_Data!AI716&lt;&gt;"",Raw_Data!AI716,IF(Raw_Data!L716&lt;&gt;"",Raw_Data!L716,""))</f>
        <v/>
      </c>
      <c r="I713" s="12" t="str">
        <f t="shared" si="99"/>
        <v/>
      </c>
      <c r="J713" s="12" t="str">
        <f>IF(Raw_Data!M716="","",Raw_Data!M716)</f>
        <v/>
      </c>
      <c r="K713" s="12">
        <f>IF(Raw_Data!AJ716&lt;&gt;"",Raw_Data!AJ716,Raw_Data!N716)</f>
        <v>0</v>
      </c>
      <c r="L713" s="12">
        <f t="shared" si="100"/>
        <v>1</v>
      </c>
      <c r="M713" s="12" t="str">
        <f>IF(Raw_Data!AK716="","",Raw_Data!AK716)</f>
        <v/>
      </c>
      <c r="N713" s="12" t="str">
        <f>IF(Raw_Data!T716="","",Raw_Data!T716)</f>
        <v/>
      </c>
      <c r="O713" s="12" t="str">
        <f>IF(Raw_Data!AB716&lt;&gt;"",Raw_Data!AB716,IF(N713="tres_insatisfait",1,IF(N713="insatisfait",2,IF(N713="neutre",3,IF(N713="satisfait",4,IF(N713="tres_satisfait",5,""))))))</f>
        <v/>
      </c>
      <c r="P713" s="12">
        <f>IF(Raw_Data!AL716&lt;&gt;"",Raw_Data!AL716,Raw_Data!R716)</f>
        <v>0</v>
      </c>
      <c r="Q713" s="12">
        <f t="shared" si="101"/>
        <v>0</v>
      </c>
      <c r="R713" s="12" t="str">
        <f>IF(Raw_Data!AM716="","",Raw_Data!AM716)</f>
        <v/>
      </c>
      <c r="S713" s="12" t="str">
        <f t="shared" si="102"/>
        <v/>
      </c>
      <c r="T713" s="12" t="str">
        <f>IF(Raw_Data!AN716="","",Raw_Data!AN716)</f>
        <v/>
      </c>
      <c r="U713" s="12" t="str">
        <f t="shared" si="103"/>
        <v/>
      </c>
      <c r="V713" s="12" t="str">
        <f>IF(Raw_Data!AP716="","",IF(Raw_Data!AP716="oui",1,0))</f>
        <v/>
      </c>
      <c r="W713" s="12" t="str">
        <f>IF(Raw_Data!AQ716="","",IF(Raw_Data!AQ716="oui",1,0))</f>
        <v/>
      </c>
      <c r="X713" s="12" t="str">
        <f>IF(Raw_Data!AR716="","",IF(Raw_Data!AR716="oui",1,0))</f>
        <v/>
      </c>
      <c r="Y713" s="12" t="str">
        <f>IF(Raw_Data!AS716="","",IF(Raw_Data!AS716="oui",1,0))</f>
        <v/>
      </c>
      <c r="Z713" s="12" t="str">
        <f>IF(Raw_Data!V716="","",IF(Raw_Data!V716="oui",1,0))</f>
        <v/>
      </c>
      <c r="AA713" s="12" t="str">
        <f>IF(Raw_Data!W716="","",IF(Raw_Data!W716="oui",1,0))</f>
        <v/>
      </c>
      <c r="AB713" s="12" t="str">
        <f>IF(Raw_Data!Q716="","",IF(Raw_Data!Q716="oui",1,0))</f>
        <v/>
      </c>
      <c r="AC713" s="12">
        <f>Raw_Data!AF716</f>
        <v>0</v>
      </c>
      <c r="AD713" s="12" t="str">
        <f t="shared" si="104"/>
        <v/>
      </c>
      <c r="AE713" s="12" t="str">
        <f t="shared" si="105"/>
        <v/>
      </c>
      <c r="AF713" s="12" t="str">
        <f t="shared" si="106"/>
        <v/>
      </c>
      <c r="AG713" s="12">
        <f t="shared" si="107"/>
        <v>0</v>
      </c>
    </row>
    <row r="714" spans="1:33" ht="15" customHeight="1" x14ac:dyDescent="0.25">
      <c r="A714" s="12" t="str">
        <f>IF(Raw_Data!B717="","",Raw_Data!B717)</f>
        <v/>
      </c>
      <c r="B714" s="12">
        <f>IF(Raw_Data!X717&lt;&gt;"",Raw_Data!X717,Raw_Data!C717)</f>
        <v>0</v>
      </c>
      <c r="C714" s="12" t="str">
        <f>IF(Raw_Data!G717="","",Raw_Data!G717)</f>
        <v/>
      </c>
      <c r="D714" s="12" t="str">
        <f>IF(Raw_Data!H717="","",Raw_Data!H717)</f>
        <v/>
      </c>
      <c r="E714" s="12" t="str">
        <f>IF(Raw_Data!I717="","",Raw_Data!I717)</f>
        <v/>
      </c>
      <c r="F714" s="12" t="str">
        <f>IF(Raw_Data!J717="","",Raw_Data!J717)</f>
        <v/>
      </c>
      <c r="G714" s="12" t="str">
        <f>IF(Raw_Data!AH717&lt;&gt;"",Raw_Data!AH717,IF(Raw_Data!K717&lt;&gt;"",Raw_Data!K717,""))</f>
        <v/>
      </c>
      <c r="H714" s="12" t="str">
        <f>IF(Raw_Data!AI717&lt;&gt;"",Raw_Data!AI717,IF(Raw_Data!L717&lt;&gt;"",Raw_Data!L717,""))</f>
        <v/>
      </c>
      <c r="I714" s="12" t="str">
        <f t="shared" si="99"/>
        <v/>
      </c>
      <c r="J714" s="12" t="str">
        <f>IF(Raw_Data!M717="","",Raw_Data!M717)</f>
        <v/>
      </c>
      <c r="K714" s="12">
        <f>IF(Raw_Data!AJ717&lt;&gt;"",Raw_Data!AJ717,Raw_Data!N717)</f>
        <v>0</v>
      </c>
      <c r="L714" s="12">
        <f t="shared" si="100"/>
        <v>1</v>
      </c>
      <c r="M714" s="12" t="str">
        <f>IF(Raw_Data!AK717="","",Raw_Data!AK717)</f>
        <v/>
      </c>
      <c r="N714" s="12" t="str">
        <f>IF(Raw_Data!T717="","",Raw_Data!T717)</f>
        <v/>
      </c>
      <c r="O714" s="12" t="str">
        <f>IF(Raw_Data!AB717&lt;&gt;"",Raw_Data!AB717,IF(N714="tres_insatisfait",1,IF(N714="insatisfait",2,IF(N714="neutre",3,IF(N714="satisfait",4,IF(N714="tres_satisfait",5,""))))))</f>
        <v/>
      </c>
      <c r="P714" s="12">
        <f>IF(Raw_Data!AL717&lt;&gt;"",Raw_Data!AL717,Raw_Data!R717)</f>
        <v>0</v>
      </c>
      <c r="Q714" s="12">
        <f t="shared" si="101"/>
        <v>0</v>
      </c>
      <c r="R714" s="12" t="str">
        <f>IF(Raw_Data!AM717="","",Raw_Data!AM717)</f>
        <v/>
      </c>
      <c r="S714" s="12" t="str">
        <f t="shared" si="102"/>
        <v/>
      </c>
      <c r="T714" s="12" t="str">
        <f>IF(Raw_Data!AN717="","",Raw_Data!AN717)</f>
        <v/>
      </c>
      <c r="U714" s="12" t="str">
        <f t="shared" si="103"/>
        <v/>
      </c>
      <c r="V714" s="12" t="str">
        <f>IF(Raw_Data!AP717="","",IF(Raw_Data!AP717="oui",1,0))</f>
        <v/>
      </c>
      <c r="W714" s="12" t="str">
        <f>IF(Raw_Data!AQ717="","",IF(Raw_Data!AQ717="oui",1,0))</f>
        <v/>
      </c>
      <c r="X714" s="12" t="str">
        <f>IF(Raw_Data!AR717="","",IF(Raw_Data!AR717="oui",1,0))</f>
        <v/>
      </c>
      <c r="Y714" s="12" t="str">
        <f>IF(Raw_Data!AS717="","",IF(Raw_Data!AS717="oui",1,0))</f>
        <v/>
      </c>
      <c r="Z714" s="12" t="str">
        <f>IF(Raw_Data!V717="","",IF(Raw_Data!V717="oui",1,0))</f>
        <v/>
      </c>
      <c r="AA714" s="12" t="str">
        <f>IF(Raw_Data!W717="","",IF(Raw_Data!W717="oui",1,0))</f>
        <v/>
      </c>
      <c r="AB714" s="12" t="str">
        <f>IF(Raw_Data!Q717="","",IF(Raw_Data!Q717="oui",1,0))</f>
        <v/>
      </c>
      <c r="AC714" s="12">
        <f>Raw_Data!AF717</f>
        <v>0</v>
      </c>
      <c r="AD714" s="12" t="str">
        <f t="shared" si="104"/>
        <v/>
      </c>
      <c r="AE714" s="12" t="str">
        <f t="shared" si="105"/>
        <v/>
      </c>
      <c r="AF714" s="12" t="str">
        <f t="shared" si="106"/>
        <v/>
      </c>
      <c r="AG714" s="12">
        <f t="shared" si="107"/>
        <v>0</v>
      </c>
    </row>
    <row r="715" spans="1:33" ht="15" customHeight="1" x14ac:dyDescent="0.25">
      <c r="A715" s="12" t="str">
        <f>IF(Raw_Data!B718="","",Raw_Data!B718)</f>
        <v/>
      </c>
      <c r="B715" s="12">
        <f>IF(Raw_Data!X718&lt;&gt;"",Raw_Data!X718,Raw_Data!C718)</f>
        <v>0</v>
      </c>
      <c r="C715" s="12" t="str">
        <f>IF(Raw_Data!G718="","",Raw_Data!G718)</f>
        <v/>
      </c>
      <c r="D715" s="12" t="str">
        <f>IF(Raw_Data!H718="","",Raw_Data!H718)</f>
        <v/>
      </c>
      <c r="E715" s="12" t="str">
        <f>IF(Raw_Data!I718="","",Raw_Data!I718)</f>
        <v/>
      </c>
      <c r="F715" s="12" t="str">
        <f>IF(Raw_Data!J718="","",Raw_Data!J718)</f>
        <v/>
      </c>
      <c r="G715" s="12" t="str">
        <f>IF(Raw_Data!AH718&lt;&gt;"",Raw_Data!AH718,IF(Raw_Data!K718&lt;&gt;"",Raw_Data!K718,""))</f>
        <v/>
      </c>
      <c r="H715" s="12" t="str">
        <f>IF(Raw_Data!AI718&lt;&gt;"",Raw_Data!AI718,IF(Raw_Data!L718&lt;&gt;"",Raw_Data!L718,""))</f>
        <v/>
      </c>
      <c r="I715" s="12" t="str">
        <f t="shared" si="99"/>
        <v/>
      </c>
      <c r="J715" s="12" t="str">
        <f>IF(Raw_Data!M718="","",Raw_Data!M718)</f>
        <v/>
      </c>
      <c r="K715" s="12">
        <f>IF(Raw_Data!AJ718&lt;&gt;"",Raw_Data!AJ718,Raw_Data!N718)</f>
        <v>0</v>
      </c>
      <c r="L715" s="12">
        <f t="shared" si="100"/>
        <v>1</v>
      </c>
      <c r="M715" s="12" t="str">
        <f>IF(Raw_Data!AK718="","",Raw_Data!AK718)</f>
        <v/>
      </c>
      <c r="N715" s="12" t="str">
        <f>IF(Raw_Data!T718="","",Raw_Data!T718)</f>
        <v/>
      </c>
      <c r="O715" s="12" t="str">
        <f>IF(Raw_Data!AB718&lt;&gt;"",Raw_Data!AB718,IF(N715="tres_insatisfait",1,IF(N715="insatisfait",2,IF(N715="neutre",3,IF(N715="satisfait",4,IF(N715="tres_satisfait",5,""))))))</f>
        <v/>
      </c>
      <c r="P715" s="12">
        <f>IF(Raw_Data!AL718&lt;&gt;"",Raw_Data!AL718,Raw_Data!R718)</f>
        <v>0</v>
      </c>
      <c r="Q715" s="12">
        <f t="shared" si="101"/>
        <v>0</v>
      </c>
      <c r="R715" s="12" t="str">
        <f>IF(Raw_Data!AM718="","",Raw_Data!AM718)</f>
        <v/>
      </c>
      <c r="S715" s="12" t="str">
        <f t="shared" si="102"/>
        <v/>
      </c>
      <c r="T715" s="12" t="str">
        <f>IF(Raw_Data!AN718="","",Raw_Data!AN718)</f>
        <v/>
      </c>
      <c r="U715" s="12" t="str">
        <f t="shared" si="103"/>
        <v/>
      </c>
      <c r="V715" s="12" t="str">
        <f>IF(Raw_Data!AP718="","",IF(Raw_Data!AP718="oui",1,0))</f>
        <v/>
      </c>
      <c r="W715" s="12" t="str">
        <f>IF(Raw_Data!AQ718="","",IF(Raw_Data!AQ718="oui",1,0))</f>
        <v/>
      </c>
      <c r="X715" s="12" t="str">
        <f>IF(Raw_Data!AR718="","",IF(Raw_Data!AR718="oui",1,0))</f>
        <v/>
      </c>
      <c r="Y715" s="12" t="str">
        <f>IF(Raw_Data!AS718="","",IF(Raw_Data!AS718="oui",1,0))</f>
        <v/>
      </c>
      <c r="Z715" s="12" t="str">
        <f>IF(Raw_Data!V718="","",IF(Raw_Data!V718="oui",1,0))</f>
        <v/>
      </c>
      <c r="AA715" s="12" t="str">
        <f>IF(Raw_Data!W718="","",IF(Raw_Data!W718="oui",1,0))</f>
        <v/>
      </c>
      <c r="AB715" s="12" t="str">
        <f>IF(Raw_Data!Q718="","",IF(Raw_Data!Q718="oui",1,0))</f>
        <v/>
      </c>
      <c r="AC715" s="12">
        <f>Raw_Data!AF718</f>
        <v>0</v>
      </c>
      <c r="AD715" s="12" t="str">
        <f t="shared" si="104"/>
        <v/>
      </c>
      <c r="AE715" s="12" t="str">
        <f t="shared" si="105"/>
        <v/>
      </c>
      <c r="AF715" s="12" t="str">
        <f t="shared" si="106"/>
        <v/>
      </c>
      <c r="AG715" s="12">
        <f t="shared" si="107"/>
        <v>0</v>
      </c>
    </row>
    <row r="716" spans="1:33" ht="15" customHeight="1" x14ac:dyDescent="0.25">
      <c r="A716" s="12" t="str">
        <f>IF(Raw_Data!B719="","",Raw_Data!B719)</f>
        <v/>
      </c>
      <c r="B716" s="12">
        <f>IF(Raw_Data!X719&lt;&gt;"",Raw_Data!X719,Raw_Data!C719)</f>
        <v>0</v>
      </c>
      <c r="C716" s="12" t="str">
        <f>IF(Raw_Data!G719="","",Raw_Data!G719)</f>
        <v/>
      </c>
      <c r="D716" s="12" t="str">
        <f>IF(Raw_Data!H719="","",Raw_Data!H719)</f>
        <v/>
      </c>
      <c r="E716" s="12" t="str">
        <f>IF(Raw_Data!I719="","",Raw_Data!I719)</f>
        <v/>
      </c>
      <c r="F716" s="12" t="str">
        <f>IF(Raw_Data!J719="","",Raw_Data!J719)</f>
        <v/>
      </c>
      <c r="G716" s="12" t="str">
        <f>IF(Raw_Data!AH719&lt;&gt;"",Raw_Data!AH719,IF(Raw_Data!K719&lt;&gt;"",Raw_Data!K719,""))</f>
        <v/>
      </c>
      <c r="H716" s="12" t="str">
        <f>IF(Raw_Data!AI719&lt;&gt;"",Raw_Data!AI719,IF(Raw_Data!L719&lt;&gt;"",Raw_Data!L719,""))</f>
        <v/>
      </c>
      <c r="I716" s="12" t="str">
        <f t="shared" si="99"/>
        <v/>
      </c>
      <c r="J716" s="12" t="str">
        <f>IF(Raw_Data!M719="","",Raw_Data!M719)</f>
        <v/>
      </c>
      <c r="K716" s="12">
        <f>IF(Raw_Data!AJ719&lt;&gt;"",Raw_Data!AJ719,Raw_Data!N719)</f>
        <v>0</v>
      </c>
      <c r="L716" s="12">
        <f t="shared" si="100"/>
        <v>1</v>
      </c>
      <c r="M716" s="12" t="str">
        <f>IF(Raw_Data!AK719="","",Raw_Data!AK719)</f>
        <v/>
      </c>
      <c r="N716" s="12" t="str">
        <f>IF(Raw_Data!T719="","",Raw_Data!T719)</f>
        <v/>
      </c>
      <c r="O716" s="12" t="str">
        <f>IF(Raw_Data!AB719&lt;&gt;"",Raw_Data!AB719,IF(N716="tres_insatisfait",1,IF(N716="insatisfait",2,IF(N716="neutre",3,IF(N716="satisfait",4,IF(N716="tres_satisfait",5,""))))))</f>
        <v/>
      </c>
      <c r="P716" s="12">
        <f>IF(Raw_Data!AL719&lt;&gt;"",Raw_Data!AL719,Raw_Data!R719)</f>
        <v>0</v>
      </c>
      <c r="Q716" s="12">
        <f t="shared" si="101"/>
        <v>0</v>
      </c>
      <c r="R716" s="12" t="str">
        <f>IF(Raw_Data!AM719="","",Raw_Data!AM719)</f>
        <v/>
      </c>
      <c r="S716" s="12" t="str">
        <f t="shared" si="102"/>
        <v/>
      </c>
      <c r="T716" s="12" t="str">
        <f>IF(Raw_Data!AN719="","",Raw_Data!AN719)</f>
        <v/>
      </c>
      <c r="U716" s="12" t="str">
        <f t="shared" si="103"/>
        <v/>
      </c>
      <c r="V716" s="12" t="str">
        <f>IF(Raw_Data!AP719="","",IF(Raw_Data!AP719="oui",1,0))</f>
        <v/>
      </c>
      <c r="W716" s="12" t="str">
        <f>IF(Raw_Data!AQ719="","",IF(Raw_Data!AQ719="oui",1,0))</f>
        <v/>
      </c>
      <c r="X716" s="12" t="str">
        <f>IF(Raw_Data!AR719="","",IF(Raw_Data!AR719="oui",1,0))</f>
        <v/>
      </c>
      <c r="Y716" s="12" t="str">
        <f>IF(Raw_Data!AS719="","",IF(Raw_Data!AS719="oui",1,0))</f>
        <v/>
      </c>
      <c r="Z716" s="12" t="str">
        <f>IF(Raw_Data!V719="","",IF(Raw_Data!V719="oui",1,0))</f>
        <v/>
      </c>
      <c r="AA716" s="12" t="str">
        <f>IF(Raw_Data!W719="","",IF(Raw_Data!W719="oui",1,0))</f>
        <v/>
      </c>
      <c r="AB716" s="12" t="str">
        <f>IF(Raw_Data!Q719="","",IF(Raw_Data!Q719="oui",1,0))</f>
        <v/>
      </c>
      <c r="AC716" s="12">
        <f>Raw_Data!AF719</f>
        <v>0</v>
      </c>
      <c r="AD716" s="12" t="str">
        <f t="shared" si="104"/>
        <v/>
      </c>
      <c r="AE716" s="12" t="str">
        <f t="shared" si="105"/>
        <v/>
      </c>
      <c r="AF716" s="12" t="str">
        <f t="shared" si="106"/>
        <v/>
      </c>
      <c r="AG716" s="12">
        <f t="shared" si="107"/>
        <v>0</v>
      </c>
    </row>
    <row r="717" spans="1:33" ht="15" customHeight="1" x14ac:dyDescent="0.25">
      <c r="A717" s="12" t="str">
        <f>IF(Raw_Data!B720="","",Raw_Data!B720)</f>
        <v/>
      </c>
      <c r="B717" s="12">
        <f>IF(Raw_Data!X720&lt;&gt;"",Raw_Data!X720,Raw_Data!C720)</f>
        <v>0</v>
      </c>
      <c r="C717" s="12" t="str">
        <f>IF(Raw_Data!G720="","",Raw_Data!G720)</f>
        <v/>
      </c>
      <c r="D717" s="12" t="str">
        <f>IF(Raw_Data!H720="","",Raw_Data!H720)</f>
        <v/>
      </c>
      <c r="E717" s="12" t="str">
        <f>IF(Raw_Data!I720="","",Raw_Data!I720)</f>
        <v/>
      </c>
      <c r="F717" s="12" t="str">
        <f>IF(Raw_Data!J720="","",Raw_Data!J720)</f>
        <v/>
      </c>
      <c r="G717" s="12" t="str">
        <f>IF(Raw_Data!AH720&lt;&gt;"",Raw_Data!AH720,IF(Raw_Data!K720&lt;&gt;"",Raw_Data!K720,""))</f>
        <v/>
      </c>
      <c r="H717" s="12" t="str">
        <f>IF(Raw_Data!AI720&lt;&gt;"",Raw_Data!AI720,IF(Raw_Data!L720&lt;&gt;"",Raw_Data!L720,""))</f>
        <v/>
      </c>
      <c r="I717" s="12" t="str">
        <f t="shared" si="99"/>
        <v/>
      </c>
      <c r="J717" s="12" t="str">
        <f>IF(Raw_Data!M720="","",Raw_Data!M720)</f>
        <v/>
      </c>
      <c r="K717" s="12">
        <f>IF(Raw_Data!AJ720&lt;&gt;"",Raw_Data!AJ720,Raw_Data!N720)</f>
        <v>0</v>
      </c>
      <c r="L717" s="12">
        <f t="shared" si="100"/>
        <v>1</v>
      </c>
      <c r="M717" s="12" t="str">
        <f>IF(Raw_Data!AK720="","",Raw_Data!AK720)</f>
        <v/>
      </c>
      <c r="N717" s="12" t="str">
        <f>IF(Raw_Data!T720="","",Raw_Data!T720)</f>
        <v/>
      </c>
      <c r="O717" s="12" t="str">
        <f>IF(Raw_Data!AB720&lt;&gt;"",Raw_Data!AB720,IF(N717="tres_insatisfait",1,IF(N717="insatisfait",2,IF(N717="neutre",3,IF(N717="satisfait",4,IF(N717="tres_satisfait",5,""))))))</f>
        <v/>
      </c>
      <c r="P717" s="12">
        <f>IF(Raw_Data!AL720&lt;&gt;"",Raw_Data!AL720,Raw_Data!R720)</f>
        <v>0</v>
      </c>
      <c r="Q717" s="12">
        <f t="shared" si="101"/>
        <v>0</v>
      </c>
      <c r="R717" s="12" t="str">
        <f>IF(Raw_Data!AM720="","",Raw_Data!AM720)</f>
        <v/>
      </c>
      <c r="S717" s="12" t="str">
        <f t="shared" si="102"/>
        <v/>
      </c>
      <c r="T717" s="12" t="str">
        <f>IF(Raw_Data!AN720="","",Raw_Data!AN720)</f>
        <v/>
      </c>
      <c r="U717" s="12" t="str">
        <f t="shared" si="103"/>
        <v/>
      </c>
      <c r="V717" s="12" t="str">
        <f>IF(Raw_Data!AP720="","",IF(Raw_Data!AP720="oui",1,0))</f>
        <v/>
      </c>
      <c r="W717" s="12" t="str">
        <f>IF(Raw_Data!AQ720="","",IF(Raw_Data!AQ720="oui",1,0))</f>
        <v/>
      </c>
      <c r="X717" s="12" t="str">
        <f>IF(Raw_Data!AR720="","",IF(Raw_Data!AR720="oui",1,0))</f>
        <v/>
      </c>
      <c r="Y717" s="12" t="str">
        <f>IF(Raw_Data!AS720="","",IF(Raw_Data!AS720="oui",1,0))</f>
        <v/>
      </c>
      <c r="Z717" s="12" t="str">
        <f>IF(Raw_Data!V720="","",IF(Raw_Data!V720="oui",1,0))</f>
        <v/>
      </c>
      <c r="AA717" s="12" t="str">
        <f>IF(Raw_Data!W720="","",IF(Raw_Data!W720="oui",1,0))</f>
        <v/>
      </c>
      <c r="AB717" s="12" t="str">
        <f>IF(Raw_Data!Q720="","",IF(Raw_Data!Q720="oui",1,0))</f>
        <v/>
      </c>
      <c r="AC717" s="12">
        <f>Raw_Data!AF720</f>
        <v>0</v>
      </c>
      <c r="AD717" s="12" t="str">
        <f t="shared" si="104"/>
        <v/>
      </c>
      <c r="AE717" s="12" t="str">
        <f t="shared" si="105"/>
        <v/>
      </c>
      <c r="AF717" s="12" t="str">
        <f t="shared" si="106"/>
        <v/>
      </c>
      <c r="AG717" s="12">
        <f t="shared" si="107"/>
        <v>0</v>
      </c>
    </row>
    <row r="718" spans="1:33" ht="15" customHeight="1" x14ac:dyDescent="0.25">
      <c r="A718" s="12" t="str">
        <f>IF(Raw_Data!B721="","",Raw_Data!B721)</f>
        <v/>
      </c>
      <c r="B718" s="12">
        <f>IF(Raw_Data!X721&lt;&gt;"",Raw_Data!X721,Raw_Data!C721)</f>
        <v>0</v>
      </c>
      <c r="C718" s="12" t="str">
        <f>IF(Raw_Data!G721="","",Raw_Data!G721)</f>
        <v/>
      </c>
      <c r="D718" s="12" t="str">
        <f>IF(Raw_Data!H721="","",Raw_Data!H721)</f>
        <v/>
      </c>
      <c r="E718" s="12" t="str">
        <f>IF(Raw_Data!I721="","",Raw_Data!I721)</f>
        <v/>
      </c>
      <c r="F718" s="12" t="str">
        <f>IF(Raw_Data!J721="","",Raw_Data!J721)</f>
        <v/>
      </c>
      <c r="G718" s="12" t="str">
        <f>IF(Raw_Data!AH721&lt;&gt;"",Raw_Data!AH721,IF(Raw_Data!K721&lt;&gt;"",Raw_Data!K721,""))</f>
        <v/>
      </c>
      <c r="H718" s="12" t="str">
        <f>IF(Raw_Data!AI721&lt;&gt;"",Raw_Data!AI721,IF(Raw_Data!L721&lt;&gt;"",Raw_Data!L721,""))</f>
        <v/>
      </c>
      <c r="I718" s="12" t="str">
        <f t="shared" si="99"/>
        <v/>
      </c>
      <c r="J718" s="12" t="str">
        <f>IF(Raw_Data!M721="","",Raw_Data!M721)</f>
        <v/>
      </c>
      <c r="K718" s="12">
        <f>IF(Raw_Data!AJ721&lt;&gt;"",Raw_Data!AJ721,Raw_Data!N721)</f>
        <v>0</v>
      </c>
      <c r="L718" s="12">
        <f t="shared" si="100"/>
        <v>1</v>
      </c>
      <c r="M718" s="12" t="str">
        <f>IF(Raw_Data!AK721="","",Raw_Data!AK721)</f>
        <v/>
      </c>
      <c r="N718" s="12" t="str">
        <f>IF(Raw_Data!T721="","",Raw_Data!T721)</f>
        <v/>
      </c>
      <c r="O718" s="12" t="str">
        <f>IF(Raw_Data!AB721&lt;&gt;"",Raw_Data!AB721,IF(N718="tres_insatisfait",1,IF(N718="insatisfait",2,IF(N718="neutre",3,IF(N718="satisfait",4,IF(N718="tres_satisfait",5,""))))))</f>
        <v/>
      </c>
      <c r="P718" s="12">
        <f>IF(Raw_Data!AL721&lt;&gt;"",Raw_Data!AL721,Raw_Data!R721)</f>
        <v>0</v>
      </c>
      <c r="Q718" s="12">
        <f t="shared" si="101"/>
        <v>0</v>
      </c>
      <c r="R718" s="12" t="str">
        <f>IF(Raw_Data!AM721="","",Raw_Data!AM721)</f>
        <v/>
      </c>
      <c r="S718" s="12" t="str">
        <f t="shared" si="102"/>
        <v/>
      </c>
      <c r="T718" s="12" t="str">
        <f>IF(Raw_Data!AN721="","",Raw_Data!AN721)</f>
        <v/>
      </c>
      <c r="U718" s="12" t="str">
        <f t="shared" si="103"/>
        <v/>
      </c>
      <c r="V718" s="12" t="str">
        <f>IF(Raw_Data!AP721="","",IF(Raw_Data!AP721="oui",1,0))</f>
        <v/>
      </c>
      <c r="W718" s="12" t="str">
        <f>IF(Raw_Data!AQ721="","",IF(Raw_Data!AQ721="oui",1,0))</f>
        <v/>
      </c>
      <c r="X718" s="12" t="str">
        <f>IF(Raw_Data!AR721="","",IF(Raw_Data!AR721="oui",1,0))</f>
        <v/>
      </c>
      <c r="Y718" s="12" t="str">
        <f>IF(Raw_Data!AS721="","",IF(Raw_Data!AS721="oui",1,0))</f>
        <v/>
      </c>
      <c r="Z718" s="12" t="str">
        <f>IF(Raw_Data!V721="","",IF(Raw_Data!V721="oui",1,0))</f>
        <v/>
      </c>
      <c r="AA718" s="12" t="str">
        <f>IF(Raw_Data!W721="","",IF(Raw_Data!W721="oui",1,0))</f>
        <v/>
      </c>
      <c r="AB718" s="12" t="str">
        <f>IF(Raw_Data!Q721="","",IF(Raw_Data!Q721="oui",1,0))</f>
        <v/>
      </c>
      <c r="AC718" s="12">
        <f>Raw_Data!AF721</f>
        <v>0</v>
      </c>
      <c r="AD718" s="12" t="str">
        <f t="shared" si="104"/>
        <v/>
      </c>
      <c r="AE718" s="12" t="str">
        <f t="shared" si="105"/>
        <v/>
      </c>
      <c r="AF718" s="12" t="str">
        <f t="shared" si="106"/>
        <v/>
      </c>
      <c r="AG718" s="12">
        <f t="shared" si="107"/>
        <v>0</v>
      </c>
    </row>
    <row r="719" spans="1:33" ht="15" customHeight="1" x14ac:dyDescent="0.25">
      <c r="A719" s="12" t="str">
        <f>IF(Raw_Data!B722="","",Raw_Data!B722)</f>
        <v/>
      </c>
      <c r="B719" s="12">
        <f>IF(Raw_Data!X722&lt;&gt;"",Raw_Data!X722,Raw_Data!C722)</f>
        <v>0</v>
      </c>
      <c r="C719" s="12" t="str">
        <f>IF(Raw_Data!G722="","",Raw_Data!G722)</f>
        <v/>
      </c>
      <c r="D719" s="12" t="str">
        <f>IF(Raw_Data!H722="","",Raw_Data!H722)</f>
        <v/>
      </c>
      <c r="E719" s="12" t="str">
        <f>IF(Raw_Data!I722="","",Raw_Data!I722)</f>
        <v/>
      </c>
      <c r="F719" s="12" t="str">
        <f>IF(Raw_Data!J722="","",Raw_Data!J722)</f>
        <v/>
      </c>
      <c r="G719" s="12" t="str">
        <f>IF(Raw_Data!AH722&lt;&gt;"",Raw_Data!AH722,IF(Raw_Data!K722&lt;&gt;"",Raw_Data!K722,""))</f>
        <v/>
      </c>
      <c r="H719" s="12" t="str">
        <f>IF(Raw_Data!AI722&lt;&gt;"",Raw_Data!AI722,IF(Raw_Data!L722&lt;&gt;"",Raw_Data!L722,""))</f>
        <v/>
      </c>
      <c r="I719" s="12" t="str">
        <f t="shared" si="99"/>
        <v/>
      </c>
      <c r="J719" s="12" t="str">
        <f>IF(Raw_Data!M722="","",Raw_Data!M722)</f>
        <v/>
      </c>
      <c r="K719" s="12">
        <f>IF(Raw_Data!AJ722&lt;&gt;"",Raw_Data!AJ722,Raw_Data!N722)</f>
        <v>0</v>
      </c>
      <c r="L719" s="12">
        <f t="shared" si="100"/>
        <v>1</v>
      </c>
      <c r="M719" s="12" t="str">
        <f>IF(Raw_Data!AK722="","",Raw_Data!AK722)</f>
        <v/>
      </c>
      <c r="N719" s="12" t="str">
        <f>IF(Raw_Data!T722="","",Raw_Data!T722)</f>
        <v/>
      </c>
      <c r="O719" s="12" t="str">
        <f>IF(Raw_Data!AB722&lt;&gt;"",Raw_Data!AB722,IF(N719="tres_insatisfait",1,IF(N719="insatisfait",2,IF(N719="neutre",3,IF(N719="satisfait",4,IF(N719="tres_satisfait",5,""))))))</f>
        <v/>
      </c>
      <c r="P719" s="12">
        <f>IF(Raw_Data!AL722&lt;&gt;"",Raw_Data!AL722,Raw_Data!R722)</f>
        <v>0</v>
      </c>
      <c r="Q719" s="12">
        <f t="shared" si="101"/>
        <v>0</v>
      </c>
      <c r="R719" s="12" t="str">
        <f>IF(Raw_Data!AM722="","",Raw_Data!AM722)</f>
        <v/>
      </c>
      <c r="S719" s="12" t="str">
        <f t="shared" si="102"/>
        <v/>
      </c>
      <c r="T719" s="12" t="str">
        <f>IF(Raw_Data!AN722="","",Raw_Data!AN722)</f>
        <v/>
      </c>
      <c r="U719" s="12" t="str">
        <f t="shared" si="103"/>
        <v/>
      </c>
      <c r="V719" s="12" t="str">
        <f>IF(Raw_Data!AP722="","",IF(Raw_Data!AP722="oui",1,0))</f>
        <v/>
      </c>
      <c r="W719" s="12" t="str">
        <f>IF(Raw_Data!AQ722="","",IF(Raw_Data!AQ722="oui",1,0))</f>
        <v/>
      </c>
      <c r="X719" s="12" t="str">
        <f>IF(Raw_Data!AR722="","",IF(Raw_Data!AR722="oui",1,0))</f>
        <v/>
      </c>
      <c r="Y719" s="12" t="str">
        <f>IF(Raw_Data!AS722="","",IF(Raw_Data!AS722="oui",1,0))</f>
        <v/>
      </c>
      <c r="Z719" s="12" t="str">
        <f>IF(Raw_Data!V722="","",IF(Raw_Data!V722="oui",1,0))</f>
        <v/>
      </c>
      <c r="AA719" s="12" t="str">
        <f>IF(Raw_Data!W722="","",IF(Raw_Data!W722="oui",1,0))</f>
        <v/>
      </c>
      <c r="AB719" s="12" t="str">
        <f>IF(Raw_Data!Q722="","",IF(Raw_Data!Q722="oui",1,0))</f>
        <v/>
      </c>
      <c r="AC719" s="12">
        <f>Raw_Data!AF722</f>
        <v>0</v>
      </c>
      <c r="AD719" s="12" t="str">
        <f t="shared" si="104"/>
        <v/>
      </c>
      <c r="AE719" s="12" t="str">
        <f t="shared" si="105"/>
        <v/>
      </c>
      <c r="AF719" s="12" t="str">
        <f t="shared" si="106"/>
        <v/>
      </c>
      <c r="AG719" s="12">
        <f t="shared" si="107"/>
        <v>0</v>
      </c>
    </row>
    <row r="720" spans="1:33" ht="15" customHeight="1" x14ac:dyDescent="0.25">
      <c r="A720" s="12" t="str">
        <f>IF(Raw_Data!B723="","",Raw_Data!B723)</f>
        <v/>
      </c>
      <c r="B720" s="12">
        <f>IF(Raw_Data!X723&lt;&gt;"",Raw_Data!X723,Raw_Data!C723)</f>
        <v>0</v>
      </c>
      <c r="C720" s="12" t="str">
        <f>IF(Raw_Data!G723="","",Raw_Data!G723)</f>
        <v/>
      </c>
      <c r="D720" s="12" t="str">
        <f>IF(Raw_Data!H723="","",Raw_Data!H723)</f>
        <v/>
      </c>
      <c r="E720" s="12" t="str">
        <f>IF(Raw_Data!I723="","",Raw_Data!I723)</f>
        <v/>
      </c>
      <c r="F720" s="12" t="str">
        <f>IF(Raw_Data!J723="","",Raw_Data!J723)</f>
        <v/>
      </c>
      <c r="G720" s="12" t="str">
        <f>IF(Raw_Data!AH723&lt;&gt;"",Raw_Data!AH723,IF(Raw_Data!K723&lt;&gt;"",Raw_Data!K723,""))</f>
        <v/>
      </c>
      <c r="H720" s="12" t="str">
        <f>IF(Raw_Data!AI723&lt;&gt;"",Raw_Data!AI723,IF(Raw_Data!L723&lt;&gt;"",Raw_Data!L723,""))</f>
        <v/>
      </c>
      <c r="I720" s="12" t="str">
        <f t="shared" si="99"/>
        <v/>
      </c>
      <c r="J720" s="12" t="str">
        <f>IF(Raw_Data!M723="","",Raw_Data!M723)</f>
        <v/>
      </c>
      <c r="K720" s="12">
        <f>IF(Raw_Data!AJ723&lt;&gt;"",Raw_Data!AJ723,Raw_Data!N723)</f>
        <v>0</v>
      </c>
      <c r="L720" s="12">
        <f t="shared" si="100"/>
        <v>1</v>
      </c>
      <c r="M720" s="12" t="str">
        <f>IF(Raw_Data!AK723="","",Raw_Data!AK723)</f>
        <v/>
      </c>
      <c r="N720" s="12" t="str">
        <f>IF(Raw_Data!T723="","",Raw_Data!T723)</f>
        <v/>
      </c>
      <c r="O720" s="12" t="str">
        <f>IF(Raw_Data!AB723&lt;&gt;"",Raw_Data!AB723,IF(N720="tres_insatisfait",1,IF(N720="insatisfait",2,IF(N720="neutre",3,IF(N720="satisfait",4,IF(N720="tres_satisfait",5,""))))))</f>
        <v/>
      </c>
      <c r="P720" s="12">
        <f>IF(Raw_Data!AL723&lt;&gt;"",Raw_Data!AL723,Raw_Data!R723)</f>
        <v>0</v>
      </c>
      <c r="Q720" s="12">
        <f t="shared" si="101"/>
        <v>0</v>
      </c>
      <c r="R720" s="12" t="str">
        <f>IF(Raw_Data!AM723="","",Raw_Data!AM723)</f>
        <v/>
      </c>
      <c r="S720" s="12" t="str">
        <f t="shared" si="102"/>
        <v/>
      </c>
      <c r="T720" s="12" t="str">
        <f>IF(Raw_Data!AN723="","",Raw_Data!AN723)</f>
        <v/>
      </c>
      <c r="U720" s="12" t="str">
        <f t="shared" si="103"/>
        <v/>
      </c>
      <c r="V720" s="12" t="str">
        <f>IF(Raw_Data!AP723="","",IF(Raw_Data!AP723="oui",1,0))</f>
        <v/>
      </c>
      <c r="W720" s="12" t="str">
        <f>IF(Raw_Data!AQ723="","",IF(Raw_Data!AQ723="oui",1,0))</f>
        <v/>
      </c>
      <c r="X720" s="12" t="str">
        <f>IF(Raw_Data!AR723="","",IF(Raw_Data!AR723="oui",1,0))</f>
        <v/>
      </c>
      <c r="Y720" s="12" t="str">
        <f>IF(Raw_Data!AS723="","",IF(Raw_Data!AS723="oui",1,0))</f>
        <v/>
      </c>
      <c r="Z720" s="12" t="str">
        <f>IF(Raw_Data!V723="","",IF(Raw_Data!V723="oui",1,0))</f>
        <v/>
      </c>
      <c r="AA720" s="12" t="str">
        <f>IF(Raw_Data!W723="","",IF(Raw_Data!W723="oui",1,0))</f>
        <v/>
      </c>
      <c r="AB720" s="12" t="str">
        <f>IF(Raw_Data!Q723="","",IF(Raw_Data!Q723="oui",1,0))</f>
        <v/>
      </c>
      <c r="AC720" s="12">
        <f>Raw_Data!AF723</f>
        <v>0</v>
      </c>
      <c r="AD720" s="12" t="str">
        <f t="shared" si="104"/>
        <v/>
      </c>
      <c r="AE720" s="12" t="str">
        <f t="shared" si="105"/>
        <v/>
      </c>
      <c r="AF720" s="12" t="str">
        <f t="shared" si="106"/>
        <v/>
      </c>
      <c r="AG720" s="12">
        <f t="shared" si="107"/>
        <v>0</v>
      </c>
    </row>
    <row r="721" spans="1:33" ht="15" customHeight="1" x14ac:dyDescent="0.25">
      <c r="A721" s="12" t="str">
        <f>IF(Raw_Data!B724="","",Raw_Data!B724)</f>
        <v/>
      </c>
      <c r="B721" s="12">
        <f>IF(Raw_Data!X724&lt;&gt;"",Raw_Data!X724,Raw_Data!C724)</f>
        <v>0</v>
      </c>
      <c r="C721" s="12" t="str">
        <f>IF(Raw_Data!G724="","",Raw_Data!G724)</f>
        <v/>
      </c>
      <c r="D721" s="12" t="str">
        <f>IF(Raw_Data!H724="","",Raw_Data!H724)</f>
        <v/>
      </c>
      <c r="E721" s="12" t="str">
        <f>IF(Raw_Data!I724="","",Raw_Data!I724)</f>
        <v/>
      </c>
      <c r="F721" s="12" t="str">
        <f>IF(Raw_Data!J724="","",Raw_Data!J724)</f>
        <v/>
      </c>
      <c r="G721" s="12" t="str">
        <f>IF(Raw_Data!AH724&lt;&gt;"",Raw_Data!AH724,IF(Raw_Data!K724&lt;&gt;"",Raw_Data!K724,""))</f>
        <v/>
      </c>
      <c r="H721" s="12" t="str">
        <f>IF(Raw_Data!AI724&lt;&gt;"",Raw_Data!AI724,IF(Raw_Data!L724&lt;&gt;"",Raw_Data!L724,""))</f>
        <v/>
      </c>
      <c r="I721" s="12" t="str">
        <f t="shared" si="99"/>
        <v/>
      </c>
      <c r="J721" s="12" t="str">
        <f>IF(Raw_Data!M724="","",Raw_Data!M724)</f>
        <v/>
      </c>
      <c r="K721" s="12">
        <f>IF(Raw_Data!AJ724&lt;&gt;"",Raw_Data!AJ724,Raw_Data!N724)</f>
        <v>0</v>
      </c>
      <c r="L721" s="12">
        <f t="shared" si="100"/>
        <v>1</v>
      </c>
      <c r="M721" s="12" t="str">
        <f>IF(Raw_Data!AK724="","",Raw_Data!AK724)</f>
        <v/>
      </c>
      <c r="N721" s="12" t="str">
        <f>IF(Raw_Data!T724="","",Raw_Data!T724)</f>
        <v/>
      </c>
      <c r="O721" s="12" t="str">
        <f>IF(Raw_Data!AB724&lt;&gt;"",Raw_Data!AB724,IF(N721="tres_insatisfait",1,IF(N721="insatisfait",2,IF(N721="neutre",3,IF(N721="satisfait",4,IF(N721="tres_satisfait",5,""))))))</f>
        <v/>
      </c>
      <c r="P721" s="12">
        <f>IF(Raw_Data!AL724&lt;&gt;"",Raw_Data!AL724,Raw_Data!R724)</f>
        <v>0</v>
      </c>
      <c r="Q721" s="12">
        <f t="shared" si="101"/>
        <v>0</v>
      </c>
      <c r="R721" s="12" t="str">
        <f>IF(Raw_Data!AM724="","",Raw_Data!AM724)</f>
        <v/>
      </c>
      <c r="S721" s="12" t="str">
        <f t="shared" si="102"/>
        <v/>
      </c>
      <c r="T721" s="12" t="str">
        <f>IF(Raw_Data!AN724="","",Raw_Data!AN724)</f>
        <v/>
      </c>
      <c r="U721" s="12" t="str">
        <f t="shared" si="103"/>
        <v/>
      </c>
      <c r="V721" s="12" t="str">
        <f>IF(Raw_Data!AP724="","",IF(Raw_Data!AP724="oui",1,0))</f>
        <v/>
      </c>
      <c r="W721" s="12" t="str">
        <f>IF(Raw_Data!AQ724="","",IF(Raw_Data!AQ724="oui",1,0))</f>
        <v/>
      </c>
      <c r="X721" s="12" t="str">
        <f>IF(Raw_Data!AR724="","",IF(Raw_Data!AR724="oui",1,0))</f>
        <v/>
      </c>
      <c r="Y721" s="12" t="str">
        <f>IF(Raw_Data!AS724="","",IF(Raw_Data!AS724="oui",1,0))</f>
        <v/>
      </c>
      <c r="Z721" s="12" t="str">
        <f>IF(Raw_Data!V724="","",IF(Raw_Data!V724="oui",1,0))</f>
        <v/>
      </c>
      <c r="AA721" s="12" t="str">
        <f>IF(Raw_Data!W724="","",IF(Raw_Data!W724="oui",1,0))</f>
        <v/>
      </c>
      <c r="AB721" s="12" t="str">
        <f>IF(Raw_Data!Q724="","",IF(Raw_Data!Q724="oui",1,0))</f>
        <v/>
      </c>
      <c r="AC721" s="12">
        <f>Raw_Data!AF724</f>
        <v>0</v>
      </c>
      <c r="AD721" s="12" t="str">
        <f t="shared" si="104"/>
        <v/>
      </c>
      <c r="AE721" s="12" t="str">
        <f t="shared" si="105"/>
        <v/>
      </c>
      <c r="AF721" s="12" t="str">
        <f t="shared" si="106"/>
        <v/>
      </c>
      <c r="AG721" s="12">
        <f t="shared" si="107"/>
        <v>0</v>
      </c>
    </row>
    <row r="722" spans="1:33" ht="15" customHeight="1" x14ac:dyDescent="0.25">
      <c r="A722" s="12" t="str">
        <f>IF(Raw_Data!B725="","",Raw_Data!B725)</f>
        <v/>
      </c>
      <c r="B722" s="12">
        <f>IF(Raw_Data!X725&lt;&gt;"",Raw_Data!X725,Raw_Data!C725)</f>
        <v>0</v>
      </c>
      <c r="C722" s="12" t="str">
        <f>IF(Raw_Data!G725="","",Raw_Data!G725)</f>
        <v/>
      </c>
      <c r="D722" s="12" t="str">
        <f>IF(Raw_Data!H725="","",Raw_Data!H725)</f>
        <v/>
      </c>
      <c r="E722" s="12" t="str">
        <f>IF(Raw_Data!I725="","",Raw_Data!I725)</f>
        <v/>
      </c>
      <c r="F722" s="12" t="str">
        <f>IF(Raw_Data!J725="","",Raw_Data!J725)</f>
        <v/>
      </c>
      <c r="G722" s="12" t="str">
        <f>IF(Raw_Data!AH725&lt;&gt;"",Raw_Data!AH725,IF(Raw_Data!K725&lt;&gt;"",Raw_Data!K725,""))</f>
        <v/>
      </c>
      <c r="H722" s="12" t="str">
        <f>IF(Raw_Data!AI725&lt;&gt;"",Raw_Data!AI725,IF(Raw_Data!L725&lt;&gt;"",Raw_Data!L725,""))</f>
        <v/>
      </c>
      <c r="I722" s="12" t="str">
        <f t="shared" si="99"/>
        <v/>
      </c>
      <c r="J722" s="12" t="str">
        <f>IF(Raw_Data!M725="","",Raw_Data!M725)</f>
        <v/>
      </c>
      <c r="K722" s="12">
        <f>IF(Raw_Data!AJ725&lt;&gt;"",Raw_Data!AJ725,Raw_Data!N725)</f>
        <v>0</v>
      </c>
      <c r="L722" s="12">
        <f t="shared" si="100"/>
        <v>1</v>
      </c>
      <c r="M722" s="12" t="str">
        <f>IF(Raw_Data!AK725="","",Raw_Data!AK725)</f>
        <v/>
      </c>
      <c r="N722" s="12" t="str">
        <f>IF(Raw_Data!T725="","",Raw_Data!T725)</f>
        <v/>
      </c>
      <c r="O722" s="12" t="str">
        <f>IF(Raw_Data!AB725&lt;&gt;"",Raw_Data!AB725,IF(N722="tres_insatisfait",1,IF(N722="insatisfait",2,IF(N722="neutre",3,IF(N722="satisfait",4,IF(N722="tres_satisfait",5,""))))))</f>
        <v/>
      </c>
      <c r="P722" s="12">
        <f>IF(Raw_Data!AL725&lt;&gt;"",Raw_Data!AL725,Raw_Data!R725)</f>
        <v>0</v>
      </c>
      <c r="Q722" s="12">
        <f t="shared" si="101"/>
        <v>0</v>
      </c>
      <c r="R722" s="12" t="str">
        <f>IF(Raw_Data!AM725="","",Raw_Data!AM725)</f>
        <v/>
      </c>
      <c r="S722" s="12" t="str">
        <f t="shared" si="102"/>
        <v/>
      </c>
      <c r="T722" s="12" t="str">
        <f>IF(Raw_Data!AN725="","",Raw_Data!AN725)</f>
        <v/>
      </c>
      <c r="U722" s="12" t="str">
        <f t="shared" si="103"/>
        <v/>
      </c>
      <c r="V722" s="12" t="str">
        <f>IF(Raw_Data!AP725="","",IF(Raw_Data!AP725="oui",1,0))</f>
        <v/>
      </c>
      <c r="W722" s="12" t="str">
        <f>IF(Raw_Data!AQ725="","",IF(Raw_Data!AQ725="oui",1,0))</f>
        <v/>
      </c>
      <c r="X722" s="12" t="str">
        <f>IF(Raw_Data!AR725="","",IF(Raw_Data!AR725="oui",1,0))</f>
        <v/>
      </c>
      <c r="Y722" s="12" t="str">
        <f>IF(Raw_Data!AS725="","",IF(Raw_Data!AS725="oui",1,0))</f>
        <v/>
      </c>
      <c r="Z722" s="12" t="str">
        <f>IF(Raw_Data!V725="","",IF(Raw_Data!V725="oui",1,0))</f>
        <v/>
      </c>
      <c r="AA722" s="12" t="str">
        <f>IF(Raw_Data!W725="","",IF(Raw_Data!W725="oui",1,0))</f>
        <v/>
      </c>
      <c r="AB722" s="12" t="str">
        <f>IF(Raw_Data!Q725="","",IF(Raw_Data!Q725="oui",1,0))</f>
        <v/>
      </c>
      <c r="AC722" s="12">
        <f>Raw_Data!AF725</f>
        <v>0</v>
      </c>
      <c r="AD722" s="12" t="str">
        <f t="shared" si="104"/>
        <v/>
      </c>
      <c r="AE722" s="12" t="str">
        <f t="shared" si="105"/>
        <v/>
      </c>
      <c r="AF722" s="12" t="str">
        <f t="shared" si="106"/>
        <v/>
      </c>
      <c r="AG722" s="12">
        <f t="shared" si="107"/>
        <v>0</v>
      </c>
    </row>
    <row r="723" spans="1:33" ht="15" customHeight="1" x14ac:dyDescent="0.25">
      <c r="A723" s="12" t="str">
        <f>IF(Raw_Data!B726="","",Raw_Data!B726)</f>
        <v/>
      </c>
      <c r="B723" s="12">
        <f>IF(Raw_Data!X726&lt;&gt;"",Raw_Data!X726,Raw_Data!C726)</f>
        <v>0</v>
      </c>
      <c r="C723" s="12" t="str">
        <f>IF(Raw_Data!G726="","",Raw_Data!G726)</f>
        <v/>
      </c>
      <c r="D723" s="12" t="str">
        <f>IF(Raw_Data!H726="","",Raw_Data!H726)</f>
        <v/>
      </c>
      <c r="E723" s="12" t="str">
        <f>IF(Raw_Data!I726="","",Raw_Data!I726)</f>
        <v/>
      </c>
      <c r="F723" s="12" t="str">
        <f>IF(Raw_Data!J726="","",Raw_Data!J726)</f>
        <v/>
      </c>
      <c r="G723" s="12" t="str">
        <f>IF(Raw_Data!AH726&lt;&gt;"",Raw_Data!AH726,IF(Raw_Data!K726&lt;&gt;"",Raw_Data!K726,""))</f>
        <v/>
      </c>
      <c r="H723" s="12" t="str">
        <f>IF(Raw_Data!AI726&lt;&gt;"",Raw_Data!AI726,IF(Raw_Data!L726&lt;&gt;"",Raw_Data!L726,""))</f>
        <v/>
      </c>
      <c r="I723" s="12" t="str">
        <f t="shared" si="99"/>
        <v/>
      </c>
      <c r="J723" s="12" t="str">
        <f>IF(Raw_Data!M726="","",Raw_Data!M726)</f>
        <v/>
      </c>
      <c r="K723" s="12">
        <f>IF(Raw_Data!AJ726&lt;&gt;"",Raw_Data!AJ726,Raw_Data!N726)</f>
        <v>0</v>
      </c>
      <c r="L723" s="12">
        <f t="shared" si="100"/>
        <v>1</v>
      </c>
      <c r="M723" s="12" t="str">
        <f>IF(Raw_Data!AK726="","",Raw_Data!AK726)</f>
        <v/>
      </c>
      <c r="N723" s="12" t="str">
        <f>IF(Raw_Data!T726="","",Raw_Data!T726)</f>
        <v/>
      </c>
      <c r="O723" s="12" t="str">
        <f>IF(Raw_Data!AB726&lt;&gt;"",Raw_Data!AB726,IF(N723="tres_insatisfait",1,IF(N723="insatisfait",2,IF(N723="neutre",3,IF(N723="satisfait",4,IF(N723="tres_satisfait",5,""))))))</f>
        <v/>
      </c>
      <c r="P723" s="12">
        <f>IF(Raw_Data!AL726&lt;&gt;"",Raw_Data!AL726,Raw_Data!R726)</f>
        <v>0</v>
      </c>
      <c r="Q723" s="12">
        <f t="shared" si="101"/>
        <v>0</v>
      </c>
      <c r="R723" s="12" t="str">
        <f>IF(Raw_Data!AM726="","",Raw_Data!AM726)</f>
        <v/>
      </c>
      <c r="S723" s="12" t="str">
        <f t="shared" si="102"/>
        <v/>
      </c>
      <c r="T723" s="12" t="str">
        <f>IF(Raw_Data!AN726="","",Raw_Data!AN726)</f>
        <v/>
      </c>
      <c r="U723" s="12" t="str">
        <f t="shared" si="103"/>
        <v/>
      </c>
      <c r="V723" s="12" t="str">
        <f>IF(Raw_Data!AP726="","",IF(Raw_Data!AP726="oui",1,0))</f>
        <v/>
      </c>
      <c r="W723" s="12" t="str">
        <f>IF(Raw_Data!AQ726="","",IF(Raw_Data!AQ726="oui",1,0))</f>
        <v/>
      </c>
      <c r="X723" s="12" t="str">
        <f>IF(Raw_Data!AR726="","",IF(Raw_Data!AR726="oui",1,0))</f>
        <v/>
      </c>
      <c r="Y723" s="12" t="str">
        <f>IF(Raw_Data!AS726="","",IF(Raw_Data!AS726="oui",1,0))</f>
        <v/>
      </c>
      <c r="Z723" s="12" t="str">
        <f>IF(Raw_Data!V726="","",IF(Raw_Data!V726="oui",1,0))</f>
        <v/>
      </c>
      <c r="AA723" s="12" t="str">
        <f>IF(Raw_Data!W726="","",IF(Raw_Data!W726="oui",1,0))</f>
        <v/>
      </c>
      <c r="AB723" s="12" t="str">
        <f>IF(Raw_Data!Q726="","",IF(Raw_Data!Q726="oui",1,0))</f>
        <v/>
      </c>
      <c r="AC723" s="12">
        <f>Raw_Data!AF726</f>
        <v>0</v>
      </c>
      <c r="AD723" s="12" t="str">
        <f t="shared" si="104"/>
        <v/>
      </c>
      <c r="AE723" s="12" t="str">
        <f t="shared" si="105"/>
        <v/>
      </c>
      <c r="AF723" s="12" t="str">
        <f t="shared" si="106"/>
        <v/>
      </c>
      <c r="AG723" s="12">
        <f t="shared" si="107"/>
        <v>0</v>
      </c>
    </row>
    <row r="724" spans="1:33" ht="15" customHeight="1" x14ac:dyDescent="0.25">
      <c r="A724" s="12" t="str">
        <f>IF(Raw_Data!B727="","",Raw_Data!B727)</f>
        <v/>
      </c>
      <c r="B724" s="12">
        <f>IF(Raw_Data!X727&lt;&gt;"",Raw_Data!X727,Raw_Data!C727)</f>
        <v>0</v>
      </c>
      <c r="C724" s="12" t="str">
        <f>IF(Raw_Data!G727="","",Raw_Data!G727)</f>
        <v/>
      </c>
      <c r="D724" s="12" t="str">
        <f>IF(Raw_Data!H727="","",Raw_Data!H727)</f>
        <v/>
      </c>
      <c r="E724" s="12" t="str">
        <f>IF(Raw_Data!I727="","",Raw_Data!I727)</f>
        <v/>
      </c>
      <c r="F724" s="12" t="str">
        <f>IF(Raw_Data!J727="","",Raw_Data!J727)</f>
        <v/>
      </c>
      <c r="G724" s="12" t="str">
        <f>IF(Raw_Data!AH727&lt;&gt;"",Raw_Data!AH727,IF(Raw_Data!K727&lt;&gt;"",Raw_Data!K727,""))</f>
        <v/>
      </c>
      <c r="H724" s="12" t="str">
        <f>IF(Raw_Data!AI727&lt;&gt;"",Raw_Data!AI727,IF(Raw_Data!L727&lt;&gt;"",Raw_Data!L727,""))</f>
        <v/>
      </c>
      <c r="I724" s="12" t="str">
        <f t="shared" si="99"/>
        <v/>
      </c>
      <c r="J724" s="12" t="str">
        <f>IF(Raw_Data!M727="","",Raw_Data!M727)</f>
        <v/>
      </c>
      <c r="K724" s="12">
        <f>IF(Raw_Data!AJ727&lt;&gt;"",Raw_Data!AJ727,Raw_Data!N727)</f>
        <v>0</v>
      </c>
      <c r="L724" s="12">
        <f t="shared" si="100"/>
        <v>1</v>
      </c>
      <c r="M724" s="12" t="str">
        <f>IF(Raw_Data!AK727="","",Raw_Data!AK727)</f>
        <v/>
      </c>
      <c r="N724" s="12" t="str">
        <f>IF(Raw_Data!T727="","",Raw_Data!T727)</f>
        <v/>
      </c>
      <c r="O724" s="12" t="str">
        <f>IF(Raw_Data!AB727&lt;&gt;"",Raw_Data!AB727,IF(N724="tres_insatisfait",1,IF(N724="insatisfait",2,IF(N724="neutre",3,IF(N724="satisfait",4,IF(N724="tres_satisfait",5,""))))))</f>
        <v/>
      </c>
      <c r="P724" s="12">
        <f>IF(Raw_Data!AL727&lt;&gt;"",Raw_Data!AL727,Raw_Data!R727)</f>
        <v>0</v>
      </c>
      <c r="Q724" s="12">
        <f t="shared" si="101"/>
        <v>0</v>
      </c>
      <c r="R724" s="12" t="str">
        <f>IF(Raw_Data!AM727="","",Raw_Data!AM727)</f>
        <v/>
      </c>
      <c r="S724" s="12" t="str">
        <f t="shared" si="102"/>
        <v/>
      </c>
      <c r="T724" s="12" t="str">
        <f>IF(Raw_Data!AN727="","",Raw_Data!AN727)</f>
        <v/>
      </c>
      <c r="U724" s="12" t="str">
        <f t="shared" si="103"/>
        <v/>
      </c>
      <c r="V724" s="12" t="str">
        <f>IF(Raw_Data!AP727="","",IF(Raw_Data!AP727="oui",1,0))</f>
        <v/>
      </c>
      <c r="W724" s="12" t="str">
        <f>IF(Raw_Data!AQ727="","",IF(Raw_Data!AQ727="oui",1,0))</f>
        <v/>
      </c>
      <c r="X724" s="12" t="str">
        <f>IF(Raw_Data!AR727="","",IF(Raw_Data!AR727="oui",1,0))</f>
        <v/>
      </c>
      <c r="Y724" s="12" t="str">
        <f>IF(Raw_Data!AS727="","",IF(Raw_Data!AS727="oui",1,0))</f>
        <v/>
      </c>
      <c r="Z724" s="12" t="str">
        <f>IF(Raw_Data!V727="","",IF(Raw_Data!V727="oui",1,0))</f>
        <v/>
      </c>
      <c r="AA724" s="12" t="str">
        <f>IF(Raw_Data!W727="","",IF(Raw_Data!W727="oui",1,0))</f>
        <v/>
      </c>
      <c r="AB724" s="12" t="str">
        <f>IF(Raw_Data!Q727="","",IF(Raw_Data!Q727="oui",1,0))</f>
        <v/>
      </c>
      <c r="AC724" s="12">
        <f>Raw_Data!AF727</f>
        <v>0</v>
      </c>
      <c r="AD724" s="12" t="str">
        <f t="shared" si="104"/>
        <v/>
      </c>
      <c r="AE724" s="12" t="str">
        <f t="shared" si="105"/>
        <v/>
      </c>
      <c r="AF724" s="12" t="str">
        <f t="shared" si="106"/>
        <v/>
      </c>
      <c r="AG724" s="12">
        <f t="shared" si="107"/>
        <v>0</v>
      </c>
    </row>
    <row r="725" spans="1:33" ht="15" customHeight="1" x14ac:dyDescent="0.25">
      <c r="A725" s="12" t="str">
        <f>IF(Raw_Data!B728="","",Raw_Data!B728)</f>
        <v/>
      </c>
      <c r="B725" s="12">
        <f>IF(Raw_Data!X728&lt;&gt;"",Raw_Data!X728,Raw_Data!C728)</f>
        <v>0</v>
      </c>
      <c r="C725" s="12" t="str">
        <f>IF(Raw_Data!G728="","",Raw_Data!G728)</f>
        <v/>
      </c>
      <c r="D725" s="12" t="str">
        <f>IF(Raw_Data!H728="","",Raw_Data!H728)</f>
        <v/>
      </c>
      <c r="E725" s="12" t="str">
        <f>IF(Raw_Data!I728="","",Raw_Data!I728)</f>
        <v/>
      </c>
      <c r="F725" s="12" t="str">
        <f>IF(Raw_Data!J728="","",Raw_Data!J728)</f>
        <v/>
      </c>
      <c r="G725" s="12" t="str">
        <f>IF(Raw_Data!AH728&lt;&gt;"",Raw_Data!AH728,IF(Raw_Data!K728&lt;&gt;"",Raw_Data!K728,""))</f>
        <v/>
      </c>
      <c r="H725" s="12" t="str">
        <f>IF(Raw_Data!AI728&lt;&gt;"",Raw_Data!AI728,IF(Raw_Data!L728&lt;&gt;"",Raw_Data!L728,""))</f>
        <v/>
      </c>
      <c r="I725" s="12" t="str">
        <f t="shared" si="99"/>
        <v/>
      </c>
      <c r="J725" s="12" t="str">
        <f>IF(Raw_Data!M728="","",Raw_Data!M728)</f>
        <v/>
      </c>
      <c r="K725" s="12">
        <f>IF(Raw_Data!AJ728&lt;&gt;"",Raw_Data!AJ728,Raw_Data!N728)</f>
        <v>0</v>
      </c>
      <c r="L725" s="12">
        <f t="shared" si="100"/>
        <v>1</v>
      </c>
      <c r="M725" s="12" t="str">
        <f>IF(Raw_Data!AK728="","",Raw_Data!AK728)</f>
        <v/>
      </c>
      <c r="N725" s="12" t="str">
        <f>IF(Raw_Data!T728="","",Raw_Data!T728)</f>
        <v/>
      </c>
      <c r="O725" s="12" t="str">
        <f>IF(Raw_Data!AB728&lt;&gt;"",Raw_Data!AB728,IF(N725="tres_insatisfait",1,IF(N725="insatisfait",2,IF(N725="neutre",3,IF(N725="satisfait",4,IF(N725="tres_satisfait",5,""))))))</f>
        <v/>
      </c>
      <c r="P725" s="12">
        <f>IF(Raw_Data!AL728&lt;&gt;"",Raw_Data!AL728,Raw_Data!R728)</f>
        <v>0</v>
      </c>
      <c r="Q725" s="12">
        <f t="shared" si="101"/>
        <v>0</v>
      </c>
      <c r="R725" s="12" t="str">
        <f>IF(Raw_Data!AM728="","",Raw_Data!AM728)</f>
        <v/>
      </c>
      <c r="S725" s="12" t="str">
        <f t="shared" si="102"/>
        <v/>
      </c>
      <c r="T725" s="12" t="str">
        <f>IF(Raw_Data!AN728="","",Raw_Data!AN728)</f>
        <v/>
      </c>
      <c r="U725" s="12" t="str">
        <f t="shared" si="103"/>
        <v/>
      </c>
      <c r="V725" s="12" t="str">
        <f>IF(Raw_Data!AP728="","",IF(Raw_Data!AP728="oui",1,0))</f>
        <v/>
      </c>
      <c r="W725" s="12" t="str">
        <f>IF(Raw_Data!AQ728="","",IF(Raw_Data!AQ728="oui",1,0))</f>
        <v/>
      </c>
      <c r="X725" s="12" t="str">
        <f>IF(Raw_Data!AR728="","",IF(Raw_Data!AR728="oui",1,0))</f>
        <v/>
      </c>
      <c r="Y725" s="12" t="str">
        <f>IF(Raw_Data!AS728="","",IF(Raw_Data!AS728="oui",1,0))</f>
        <v/>
      </c>
      <c r="Z725" s="12" t="str">
        <f>IF(Raw_Data!V728="","",IF(Raw_Data!V728="oui",1,0))</f>
        <v/>
      </c>
      <c r="AA725" s="12" t="str">
        <f>IF(Raw_Data!W728="","",IF(Raw_Data!W728="oui",1,0))</f>
        <v/>
      </c>
      <c r="AB725" s="12" t="str">
        <f>IF(Raw_Data!Q728="","",IF(Raw_Data!Q728="oui",1,0))</f>
        <v/>
      </c>
      <c r="AC725" s="12">
        <f>Raw_Data!AF728</f>
        <v>0</v>
      </c>
      <c r="AD725" s="12" t="str">
        <f t="shared" si="104"/>
        <v/>
      </c>
      <c r="AE725" s="12" t="str">
        <f t="shared" si="105"/>
        <v/>
      </c>
      <c r="AF725" s="12" t="str">
        <f t="shared" si="106"/>
        <v/>
      </c>
      <c r="AG725" s="12">
        <f t="shared" si="107"/>
        <v>0</v>
      </c>
    </row>
    <row r="726" spans="1:33" ht="15" customHeight="1" x14ac:dyDescent="0.25">
      <c r="A726" s="12" t="str">
        <f>IF(Raw_Data!B729="","",Raw_Data!B729)</f>
        <v/>
      </c>
      <c r="B726" s="12">
        <f>IF(Raw_Data!X729&lt;&gt;"",Raw_Data!X729,Raw_Data!C729)</f>
        <v>0</v>
      </c>
      <c r="C726" s="12" t="str">
        <f>IF(Raw_Data!G729="","",Raw_Data!G729)</f>
        <v/>
      </c>
      <c r="D726" s="12" t="str">
        <f>IF(Raw_Data!H729="","",Raw_Data!H729)</f>
        <v/>
      </c>
      <c r="E726" s="12" t="str">
        <f>IF(Raw_Data!I729="","",Raw_Data!I729)</f>
        <v/>
      </c>
      <c r="F726" s="12" t="str">
        <f>IF(Raw_Data!J729="","",Raw_Data!J729)</f>
        <v/>
      </c>
      <c r="G726" s="12" t="str">
        <f>IF(Raw_Data!AH729&lt;&gt;"",Raw_Data!AH729,IF(Raw_Data!K729&lt;&gt;"",Raw_Data!K729,""))</f>
        <v/>
      </c>
      <c r="H726" s="12" t="str">
        <f>IF(Raw_Data!AI729&lt;&gt;"",Raw_Data!AI729,IF(Raw_Data!L729&lt;&gt;"",Raw_Data!L729,""))</f>
        <v/>
      </c>
      <c r="I726" s="12" t="str">
        <f t="shared" si="99"/>
        <v/>
      </c>
      <c r="J726" s="12" t="str">
        <f>IF(Raw_Data!M729="","",Raw_Data!M729)</f>
        <v/>
      </c>
      <c r="K726" s="12">
        <f>IF(Raw_Data!AJ729&lt;&gt;"",Raw_Data!AJ729,Raw_Data!N729)</f>
        <v>0</v>
      </c>
      <c r="L726" s="12">
        <f t="shared" si="100"/>
        <v>1</v>
      </c>
      <c r="M726" s="12" t="str">
        <f>IF(Raw_Data!AK729="","",Raw_Data!AK729)</f>
        <v/>
      </c>
      <c r="N726" s="12" t="str">
        <f>IF(Raw_Data!T729="","",Raw_Data!T729)</f>
        <v/>
      </c>
      <c r="O726" s="12" t="str">
        <f>IF(Raw_Data!AB729&lt;&gt;"",Raw_Data!AB729,IF(N726="tres_insatisfait",1,IF(N726="insatisfait",2,IF(N726="neutre",3,IF(N726="satisfait",4,IF(N726="tres_satisfait",5,""))))))</f>
        <v/>
      </c>
      <c r="P726" s="12">
        <f>IF(Raw_Data!AL729&lt;&gt;"",Raw_Data!AL729,Raw_Data!R729)</f>
        <v>0</v>
      </c>
      <c r="Q726" s="12">
        <f t="shared" si="101"/>
        <v>0</v>
      </c>
      <c r="R726" s="12" t="str">
        <f>IF(Raw_Data!AM729="","",Raw_Data!AM729)</f>
        <v/>
      </c>
      <c r="S726" s="12" t="str">
        <f t="shared" si="102"/>
        <v/>
      </c>
      <c r="T726" s="12" t="str">
        <f>IF(Raw_Data!AN729="","",Raw_Data!AN729)</f>
        <v/>
      </c>
      <c r="U726" s="12" t="str">
        <f t="shared" si="103"/>
        <v/>
      </c>
      <c r="V726" s="12" t="str">
        <f>IF(Raw_Data!AP729="","",IF(Raw_Data!AP729="oui",1,0))</f>
        <v/>
      </c>
      <c r="W726" s="12" t="str">
        <f>IF(Raw_Data!AQ729="","",IF(Raw_Data!AQ729="oui",1,0))</f>
        <v/>
      </c>
      <c r="X726" s="12" t="str">
        <f>IF(Raw_Data!AR729="","",IF(Raw_Data!AR729="oui",1,0))</f>
        <v/>
      </c>
      <c r="Y726" s="12" t="str">
        <f>IF(Raw_Data!AS729="","",IF(Raw_Data!AS729="oui",1,0))</f>
        <v/>
      </c>
      <c r="Z726" s="12" t="str">
        <f>IF(Raw_Data!V729="","",IF(Raw_Data!V729="oui",1,0))</f>
        <v/>
      </c>
      <c r="AA726" s="12" t="str">
        <f>IF(Raw_Data!W729="","",IF(Raw_Data!W729="oui",1,0))</f>
        <v/>
      </c>
      <c r="AB726" s="12" t="str">
        <f>IF(Raw_Data!Q729="","",IF(Raw_Data!Q729="oui",1,0))</f>
        <v/>
      </c>
      <c r="AC726" s="12">
        <f>Raw_Data!AF729</f>
        <v>0</v>
      </c>
      <c r="AD726" s="12" t="str">
        <f t="shared" si="104"/>
        <v/>
      </c>
      <c r="AE726" s="12" t="str">
        <f t="shared" si="105"/>
        <v/>
      </c>
      <c r="AF726" s="12" t="str">
        <f t="shared" si="106"/>
        <v/>
      </c>
      <c r="AG726" s="12">
        <f t="shared" si="107"/>
        <v>0</v>
      </c>
    </row>
    <row r="727" spans="1:33" ht="15" customHeight="1" x14ac:dyDescent="0.25">
      <c r="A727" s="12" t="str">
        <f>IF(Raw_Data!B730="","",Raw_Data!B730)</f>
        <v/>
      </c>
      <c r="B727" s="12">
        <f>IF(Raw_Data!X730&lt;&gt;"",Raw_Data!X730,Raw_Data!C730)</f>
        <v>0</v>
      </c>
      <c r="C727" s="12" t="str">
        <f>IF(Raw_Data!G730="","",Raw_Data!G730)</f>
        <v/>
      </c>
      <c r="D727" s="12" t="str">
        <f>IF(Raw_Data!H730="","",Raw_Data!H730)</f>
        <v/>
      </c>
      <c r="E727" s="12" t="str">
        <f>IF(Raw_Data!I730="","",Raw_Data!I730)</f>
        <v/>
      </c>
      <c r="F727" s="12" t="str">
        <f>IF(Raw_Data!J730="","",Raw_Data!J730)</f>
        <v/>
      </c>
      <c r="G727" s="12" t="str">
        <f>IF(Raw_Data!AH730&lt;&gt;"",Raw_Data!AH730,IF(Raw_Data!K730&lt;&gt;"",Raw_Data!K730,""))</f>
        <v/>
      </c>
      <c r="H727" s="12" t="str">
        <f>IF(Raw_Data!AI730&lt;&gt;"",Raw_Data!AI730,IF(Raw_Data!L730&lt;&gt;"",Raw_Data!L730,""))</f>
        <v/>
      </c>
      <c r="I727" s="12" t="str">
        <f t="shared" si="99"/>
        <v/>
      </c>
      <c r="J727" s="12" t="str">
        <f>IF(Raw_Data!M730="","",Raw_Data!M730)</f>
        <v/>
      </c>
      <c r="K727" s="12">
        <f>IF(Raw_Data!AJ730&lt;&gt;"",Raw_Data!AJ730,Raw_Data!N730)</f>
        <v>0</v>
      </c>
      <c r="L727" s="12">
        <f t="shared" si="100"/>
        <v>1</v>
      </c>
      <c r="M727" s="12" t="str">
        <f>IF(Raw_Data!AK730="","",Raw_Data!AK730)</f>
        <v/>
      </c>
      <c r="N727" s="12" t="str">
        <f>IF(Raw_Data!T730="","",Raw_Data!T730)</f>
        <v/>
      </c>
      <c r="O727" s="12" t="str">
        <f>IF(Raw_Data!AB730&lt;&gt;"",Raw_Data!AB730,IF(N727="tres_insatisfait",1,IF(N727="insatisfait",2,IF(N727="neutre",3,IF(N727="satisfait",4,IF(N727="tres_satisfait",5,""))))))</f>
        <v/>
      </c>
      <c r="P727" s="12">
        <f>IF(Raw_Data!AL730&lt;&gt;"",Raw_Data!AL730,Raw_Data!R730)</f>
        <v>0</v>
      </c>
      <c r="Q727" s="12">
        <f t="shared" si="101"/>
        <v>0</v>
      </c>
      <c r="R727" s="12" t="str">
        <f>IF(Raw_Data!AM730="","",Raw_Data!AM730)</f>
        <v/>
      </c>
      <c r="S727" s="12" t="str">
        <f t="shared" si="102"/>
        <v/>
      </c>
      <c r="T727" s="12" t="str">
        <f>IF(Raw_Data!AN730="","",Raw_Data!AN730)</f>
        <v/>
      </c>
      <c r="U727" s="12" t="str">
        <f t="shared" si="103"/>
        <v/>
      </c>
      <c r="V727" s="12" t="str">
        <f>IF(Raw_Data!AP730="","",IF(Raw_Data!AP730="oui",1,0))</f>
        <v/>
      </c>
      <c r="W727" s="12" t="str">
        <f>IF(Raw_Data!AQ730="","",IF(Raw_Data!AQ730="oui",1,0))</f>
        <v/>
      </c>
      <c r="X727" s="12" t="str">
        <f>IF(Raw_Data!AR730="","",IF(Raw_Data!AR730="oui",1,0))</f>
        <v/>
      </c>
      <c r="Y727" s="12" t="str">
        <f>IF(Raw_Data!AS730="","",IF(Raw_Data!AS730="oui",1,0))</f>
        <v/>
      </c>
      <c r="Z727" s="12" t="str">
        <f>IF(Raw_Data!V730="","",IF(Raw_Data!V730="oui",1,0))</f>
        <v/>
      </c>
      <c r="AA727" s="12" t="str">
        <f>IF(Raw_Data!W730="","",IF(Raw_Data!W730="oui",1,0))</f>
        <v/>
      </c>
      <c r="AB727" s="12" t="str">
        <f>IF(Raw_Data!Q730="","",IF(Raw_Data!Q730="oui",1,0))</f>
        <v/>
      </c>
      <c r="AC727" s="12">
        <f>Raw_Data!AF730</f>
        <v>0</v>
      </c>
      <c r="AD727" s="12" t="str">
        <f t="shared" si="104"/>
        <v/>
      </c>
      <c r="AE727" s="12" t="str">
        <f t="shared" si="105"/>
        <v/>
      </c>
      <c r="AF727" s="12" t="str">
        <f t="shared" si="106"/>
        <v/>
      </c>
      <c r="AG727" s="12">
        <f t="shared" si="107"/>
        <v>0</v>
      </c>
    </row>
    <row r="728" spans="1:33" ht="15" customHeight="1" x14ac:dyDescent="0.25">
      <c r="A728" s="12" t="str">
        <f>IF(Raw_Data!B731="","",Raw_Data!B731)</f>
        <v/>
      </c>
      <c r="B728" s="12">
        <f>IF(Raw_Data!X731&lt;&gt;"",Raw_Data!X731,Raw_Data!C731)</f>
        <v>0</v>
      </c>
      <c r="C728" s="12" t="str">
        <f>IF(Raw_Data!G731="","",Raw_Data!G731)</f>
        <v/>
      </c>
      <c r="D728" s="12" t="str">
        <f>IF(Raw_Data!H731="","",Raw_Data!H731)</f>
        <v/>
      </c>
      <c r="E728" s="12" t="str">
        <f>IF(Raw_Data!I731="","",Raw_Data!I731)</f>
        <v/>
      </c>
      <c r="F728" s="12" t="str">
        <f>IF(Raw_Data!J731="","",Raw_Data!J731)</f>
        <v/>
      </c>
      <c r="G728" s="12" t="str">
        <f>IF(Raw_Data!AH731&lt;&gt;"",Raw_Data!AH731,IF(Raw_Data!K731&lt;&gt;"",Raw_Data!K731,""))</f>
        <v/>
      </c>
      <c r="H728" s="12" t="str">
        <f>IF(Raw_Data!AI731&lt;&gt;"",Raw_Data!AI731,IF(Raw_Data!L731&lt;&gt;"",Raw_Data!L731,""))</f>
        <v/>
      </c>
      <c r="I728" s="12" t="str">
        <f t="shared" si="99"/>
        <v/>
      </c>
      <c r="J728" s="12" t="str">
        <f>IF(Raw_Data!M731="","",Raw_Data!M731)</f>
        <v/>
      </c>
      <c r="K728" s="12">
        <f>IF(Raw_Data!AJ731&lt;&gt;"",Raw_Data!AJ731,Raw_Data!N731)</f>
        <v>0</v>
      </c>
      <c r="L728" s="12">
        <f t="shared" si="100"/>
        <v>1</v>
      </c>
      <c r="M728" s="12" t="str">
        <f>IF(Raw_Data!AK731="","",Raw_Data!AK731)</f>
        <v/>
      </c>
      <c r="N728" s="12" t="str">
        <f>IF(Raw_Data!T731="","",Raw_Data!T731)</f>
        <v/>
      </c>
      <c r="O728" s="12" t="str">
        <f>IF(Raw_Data!AB731&lt;&gt;"",Raw_Data!AB731,IF(N728="tres_insatisfait",1,IF(N728="insatisfait",2,IF(N728="neutre",3,IF(N728="satisfait",4,IF(N728="tres_satisfait",5,""))))))</f>
        <v/>
      </c>
      <c r="P728" s="12">
        <f>IF(Raw_Data!AL731&lt;&gt;"",Raw_Data!AL731,Raw_Data!R731)</f>
        <v>0</v>
      </c>
      <c r="Q728" s="12">
        <f t="shared" si="101"/>
        <v>0</v>
      </c>
      <c r="R728" s="12" t="str">
        <f>IF(Raw_Data!AM731="","",Raw_Data!AM731)</f>
        <v/>
      </c>
      <c r="S728" s="12" t="str">
        <f t="shared" si="102"/>
        <v/>
      </c>
      <c r="T728" s="12" t="str">
        <f>IF(Raw_Data!AN731="","",Raw_Data!AN731)</f>
        <v/>
      </c>
      <c r="U728" s="12" t="str">
        <f t="shared" si="103"/>
        <v/>
      </c>
      <c r="V728" s="12" t="str">
        <f>IF(Raw_Data!AP731="","",IF(Raw_Data!AP731="oui",1,0))</f>
        <v/>
      </c>
      <c r="W728" s="12" t="str">
        <f>IF(Raw_Data!AQ731="","",IF(Raw_Data!AQ731="oui",1,0))</f>
        <v/>
      </c>
      <c r="X728" s="12" t="str">
        <f>IF(Raw_Data!AR731="","",IF(Raw_Data!AR731="oui",1,0))</f>
        <v/>
      </c>
      <c r="Y728" s="12" t="str">
        <f>IF(Raw_Data!AS731="","",IF(Raw_Data!AS731="oui",1,0))</f>
        <v/>
      </c>
      <c r="Z728" s="12" t="str">
        <f>IF(Raw_Data!V731="","",IF(Raw_Data!V731="oui",1,0))</f>
        <v/>
      </c>
      <c r="AA728" s="12" t="str">
        <f>IF(Raw_Data!W731="","",IF(Raw_Data!W731="oui",1,0))</f>
        <v/>
      </c>
      <c r="AB728" s="12" t="str">
        <f>IF(Raw_Data!Q731="","",IF(Raw_Data!Q731="oui",1,0))</f>
        <v/>
      </c>
      <c r="AC728" s="12">
        <f>Raw_Data!AF731</f>
        <v>0</v>
      </c>
      <c r="AD728" s="12" t="str">
        <f t="shared" si="104"/>
        <v/>
      </c>
      <c r="AE728" s="12" t="str">
        <f t="shared" si="105"/>
        <v/>
      </c>
      <c r="AF728" s="12" t="str">
        <f t="shared" si="106"/>
        <v/>
      </c>
      <c r="AG728" s="12">
        <f t="shared" si="107"/>
        <v>0</v>
      </c>
    </row>
    <row r="729" spans="1:33" ht="15" customHeight="1" x14ac:dyDescent="0.25">
      <c r="A729" s="12" t="str">
        <f>IF(Raw_Data!B732="","",Raw_Data!B732)</f>
        <v/>
      </c>
      <c r="B729" s="12">
        <f>IF(Raw_Data!X732&lt;&gt;"",Raw_Data!X732,Raw_Data!C732)</f>
        <v>0</v>
      </c>
      <c r="C729" s="12" t="str">
        <f>IF(Raw_Data!G732="","",Raw_Data!G732)</f>
        <v/>
      </c>
      <c r="D729" s="12" t="str">
        <f>IF(Raw_Data!H732="","",Raw_Data!H732)</f>
        <v/>
      </c>
      <c r="E729" s="12" t="str">
        <f>IF(Raw_Data!I732="","",Raw_Data!I732)</f>
        <v/>
      </c>
      <c r="F729" s="12" t="str">
        <f>IF(Raw_Data!J732="","",Raw_Data!J732)</f>
        <v/>
      </c>
      <c r="G729" s="12" t="str">
        <f>IF(Raw_Data!AH732&lt;&gt;"",Raw_Data!AH732,IF(Raw_Data!K732&lt;&gt;"",Raw_Data!K732,""))</f>
        <v/>
      </c>
      <c r="H729" s="12" t="str">
        <f>IF(Raw_Data!AI732&lt;&gt;"",Raw_Data!AI732,IF(Raw_Data!L732&lt;&gt;"",Raw_Data!L732,""))</f>
        <v/>
      </c>
      <c r="I729" s="12" t="str">
        <f t="shared" si="99"/>
        <v/>
      </c>
      <c r="J729" s="12" t="str">
        <f>IF(Raw_Data!M732="","",Raw_Data!M732)</f>
        <v/>
      </c>
      <c r="K729" s="12">
        <f>IF(Raw_Data!AJ732&lt;&gt;"",Raw_Data!AJ732,Raw_Data!N732)</f>
        <v>0</v>
      </c>
      <c r="L729" s="12">
        <f t="shared" si="100"/>
        <v>1</v>
      </c>
      <c r="M729" s="12" t="str">
        <f>IF(Raw_Data!AK732="","",Raw_Data!AK732)</f>
        <v/>
      </c>
      <c r="N729" s="12" t="str">
        <f>IF(Raw_Data!T732="","",Raw_Data!T732)</f>
        <v/>
      </c>
      <c r="O729" s="12" t="str">
        <f>IF(Raw_Data!AB732&lt;&gt;"",Raw_Data!AB732,IF(N729="tres_insatisfait",1,IF(N729="insatisfait",2,IF(N729="neutre",3,IF(N729="satisfait",4,IF(N729="tres_satisfait",5,""))))))</f>
        <v/>
      </c>
      <c r="P729" s="12">
        <f>IF(Raw_Data!AL732&lt;&gt;"",Raw_Data!AL732,Raw_Data!R732)</f>
        <v>0</v>
      </c>
      <c r="Q729" s="12">
        <f t="shared" si="101"/>
        <v>0</v>
      </c>
      <c r="R729" s="12" t="str">
        <f>IF(Raw_Data!AM732="","",Raw_Data!AM732)</f>
        <v/>
      </c>
      <c r="S729" s="12" t="str">
        <f t="shared" si="102"/>
        <v/>
      </c>
      <c r="T729" s="12" t="str">
        <f>IF(Raw_Data!AN732="","",Raw_Data!AN732)</f>
        <v/>
      </c>
      <c r="U729" s="12" t="str">
        <f t="shared" si="103"/>
        <v/>
      </c>
      <c r="V729" s="12" t="str">
        <f>IF(Raw_Data!AP732="","",IF(Raw_Data!AP732="oui",1,0))</f>
        <v/>
      </c>
      <c r="W729" s="12" t="str">
        <f>IF(Raw_Data!AQ732="","",IF(Raw_Data!AQ732="oui",1,0))</f>
        <v/>
      </c>
      <c r="X729" s="12" t="str">
        <f>IF(Raw_Data!AR732="","",IF(Raw_Data!AR732="oui",1,0))</f>
        <v/>
      </c>
      <c r="Y729" s="12" t="str">
        <f>IF(Raw_Data!AS732="","",IF(Raw_Data!AS732="oui",1,0))</f>
        <v/>
      </c>
      <c r="Z729" s="12" t="str">
        <f>IF(Raw_Data!V732="","",IF(Raw_Data!V732="oui",1,0))</f>
        <v/>
      </c>
      <c r="AA729" s="12" t="str">
        <f>IF(Raw_Data!W732="","",IF(Raw_Data!W732="oui",1,0))</f>
        <v/>
      </c>
      <c r="AB729" s="12" t="str">
        <f>IF(Raw_Data!Q732="","",IF(Raw_Data!Q732="oui",1,0))</f>
        <v/>
      </c>
      <c r="AC729" s="12">
        <f>Raw_Data!AF732</f>
        <v>0</v>
      </c>
      <c r="AD729" s="12" t="str">
        <f t="shared" si="104"/>
        <v/>
      </c>
      <c r="AE729" s="12" t="str">
        <f t="shared" si="105"/>
        <v/>
      </c>
      <c r="AF729" s="12" t="str">
        <f t="shared" si="106"/>
        <v/>
      </c>
      <c r="AG729" s="12">
        <f t="shared" si="107"/>
        <v>0</v>
      </c>
    </row>
    <row r="730" spans="1:33" ht="15" customHeight="1" x14ac:dyDescent="0.25">
      <c r="A730" s="12" t="str">
        <f>IF(Raw_Data!B733="","",Raw_Data!B733)</f>
        <v/>
      </c>
      <c r="B730" s="12">
        <f>IF(Raw_Data!X733&lt;&gt;"",Raw_Data!X733,Raw_Data!C733)</f>
        <v>0</v>
      </c>
      <c r="C730" s="12" t="str">
        <f>IF(Raw_Data!G733="","",Raw_Data!G733)</f>
        <v/>
      </c>
      <c r="D730" s="12" t="str">
        <f>IF(Raw_Data!H733="","",Raw_Data!H733)</f>
        <v/>
      </c>
      <c r="E730" s="12" t="str">
        <f>IF(Raw_Data!I733="","",Raw_Data!I733)</f>
        <v/>
      </c>
      <c r="F730" s="12" t="str">
        <f>IF(Raw_Data!J733="","",Raw_Data!J733)</f>
        <v/>
      </c>
      <c r="G730" s="12" t="str">
        <f>IF(Raw_Data!AH733&lt;&gt;"",Raw_Data!AH733,IF(Raw_Data!K733&lt;&gt;"",Raw_Data!K733,""))</f>
        <v/>
      </c>
      <c r="H730" s="12" t="str">
        <f>IF(Raw_Data!AI733&lt;&gt;"",Raw_Data!AI733,IF(Raw_Data!L733&lt;&gt;"",Raw_Data!L733,""))</f>
        <v/>
      </c>
      <c r="I730" s="12" t="str">
        <f t="shared" si="99"/>
        <v/>
      </c>
      <c r="J730" s="12" t="str">
        <f>IF(Raw_Data!M733="","",Raw_Data!M733)</f>
        <v/>
      </c>
      <c r="K730" s="12">
        <f>IF(Raw_Data!AJ733&lt;&gt;"",Raw_Data!AJ733,Raw_Data!N733)</f>
        <v>0</v>
      </c>
      <c r="L730" s="12">
        <f t="shared" si="100"/>
        <v>1</v>
      </c>
      <c r="M730" s="12" t="str">
        <f>IF(Raw_Data!AK733="","",Raw_Data!AK733)</f>
        <v/>
      </c>
      <c r="N730" s="12" t="str">
        <f>IF(Raw_Data!T733="","",Raw_Data!T733)</f>
        <v/>
      </c>
      <c r="O730" s="12" t="str">
        <f>IF(Raw_Data!AB733&lt;&gt;"",Raw_Data!AB733,IF(N730="tres_insatisfait",1,IF(N730="insatisfait",2,IF(N730="neutre",3,IF(N730="satisfait",4,IF(N730="tres_satisfait",5,""))))))</f>
        <v/>
      </c>
      <c r="P730" s="12">
        <f>IF(Raw_Data!AL733&lt;&gt;"",Raw_Data!AL733,Raw_Data!R733)</f>
        <v>0</v>
      </c>
      <c r="Q730" s="12">
        <f t="shared" si="101"/>
        <v>0</v>
      </c>
      <c r="R730" s="12" t="str">
        <f>IF(Raw_Data!AM733="","",Raw_Data!AM733)</f>
        <v/>
      </c>
      <c r="S730" s="12" t="str">
        <f t="shared" si="102"/>
        <v/>
      </c>
      <c r="T730" s="12" t="str">
        <f>IF(Raw_Data!AN733="","",Raw_Data!AN733)</f>
        <v/>
      </c>
      <c r="U730" s="12" t="str">
        <f t="shared" si="103"/>
        <v/>
      </c>
      <c r="V730" s="12" t="str">
        <f>IF(Raw_Data!AP733="","",IF(Raw_Data!AP733="oui",1,0))</f>
        <v/>
      </c>
      <c r="W730" s="12" t="str">
        <f>IF(Raw_Data!AQ733="","",IF(Raw_Data!AQ733="oui",1,0))</f>
        <v/>
      </c>
      <c r="X730" s="12" t="str">
        <f>IF(Raw_Data!AR733="","",IF(Raw_Data!AR733="oui",1,0))</f>
        <v/>
      </c>
      <c r="Y730" s="12" t="str">
        <f>IF(Raw_Data!AS733="","",IF(Raw_Data!AS733="oui",1,0))</f>
        <v/>
      </c>
      <c r="Z730" s="12" t="str">
        <f>IF(Raw_Data!V733="","",IF(Raw_Data!V733="oui",1,0))</f>
        <v/>
      </c>
      <c r="AA730" s="12" t="str">
        <f>IF(Raw_Data!W733="","",IF(Raw_Data!W733="oui",1,0))</f>
        <v/>
      </c>
      <c r="AB730" s="12" t="str">
        <f>IF(Raw_Data!Q733="","",IF(Raw_Data!Q733="oui",1,0))</f>
        <v/>
      </c>
      <c r="AC730" s="12">
        <f>Raw_Data!AF733</f>
        <v>0</v>
      </c>
      <c r="AD730" s="12" t="str">
        <f t="shared" si="104"/>
        <v/>
      </c>
      <c r="AE730" s="12" t="str">
        <f t="shared" si="105"/>
        <v/>
      </c>
      <c r="AF730" s="12" t="str">
        <f t="shared" si="106"/>
        <v/>
      </c>
      <c r="AG730" s="12">
        <f t="shared" si="107"/>
        <v>0</v>
      </c>
    </row>
    <row r="731" spans="1:33" ht="15" customHeight="1" x14ac:dyDescent="0.25">
      <c r="A731" s="12" t="str">
        <f>IF(Raw_Data!B734="","",Raw_Data!B734)</f>
        <v/>
      </c>
      <c r="B731" s="12">
        <f>IF(Raw_Data!X734&lt;&gt;"",Raw_Data!X734,Raw_Data!C734)</f>
        <v>0</v>
      </c>
      <c r="C731" s="12" t="str">
        <f>IF(Raw_Data!G734="","",Raw_Data!G734)</f>
        <v/>
      </c>
      <c r="D731" s="12" t="str">
        <f>IF(Raw_Data!H734="","",Raw_Data!H734)</f>
        <v/>
      </c>
      <c r="E731" s="12" t="str">
        <f>IF(Raw_Data!I734="","",Raw_Data!I734)</f>
        <v/>
      </c>
      <c r="F731" s="12" t="str">
        <f>IF(Raw_Data!J734="","",Raw_Data!J734)</f>
        <v/>
      </c>
      <c r="G731" s="12" t="str">
        <f>IF(Raw_Data!AH734&lt;&gt;"",Raw_Data!AH734,IF(Raw_Data!K734&lt;&gt;"",Raw_Data!K734,""))</f>
        <v/>
      </c>
      <c r="H731" s="12" t="str">
        <f>IF(Raw_Data!AI734&lt;&gt;"",Raw_Data!AI734,IF(Raw_Data!L734&lt;&gt;"",Raw_Data!L734,""))</f>
        <v/>
      </c>
      <c r="I731" s="12" t="str">
        <f t="shared" si="99"/>
        <v/>
      </c>
      <c r="J731" s="12" t="str">
        <f>IF(Raw_Data!M734="","",Raw_Data!M734)</f>
        <v/>
      </c>
      <c r="K731" s="12">
        <f>IF(Raw_Data!AJ734&lt;&gt;"",Raw_Data!AJ734,Raw_Data!N734)</f>
        <v>0</v>
      </c>
      <c r="L731" s="12">
        <f t="shared" si="100"/>
        <v>1</v>
      </c>
      <c r="M731" s="12" t="str">
        <f>IF(Raw_Data!AK734="","",Raw_Data!AK734)</f>
        <v/>
      </c>
      <c r="N731" s="12" t="str">
        <f>IF(Raw_Data!T734="","",Raw_Data!T734)</f>
        <v/>
      </c>
      <c r="O731" s="12" t="str">
        <f>IF(Raw_Data!AB734&lt;&gt;"",Raw_Data!AB734,IF(N731="tres_insatisfait",1,IF(N731="insatisfait",2,IF(N731="neutre",3,IF(N731="satisfait",4,IF(N731="tres_satisfait",5,""))))))</f>
        <v/>
      </c>
      <c r="P731" s="12">
        <f>IF(Raw_Data!AL734&lt;&gt;"",Raw_Data!AL734,Raw_Data!R734)</f>
        <v>0</v>
      </c>
      <c r="Q731" s="12">
        <f t="shared" si="101"/>
        <v>0</v>
      </c>
      <c r="R731" s="12" t="str">
        <f>IF(Raw_Data!AM734="","",Raw_Data!AM734)</f>
        <v/>
      </c>
      <c r="S731" s="12" t="str">
        <f t="shared" si="102"/>
        <v/>
      </c>
      <c r="T731" s="12" t="str">
        <f>IF(Raw_Data!AN734="","",Raw_Data!AN734)</f>
        <v/>
      </c>
      <c r="U731" s="12" t="str">
        <f t="shared" si="103"/>
        <v/>
      </c>
      <c r="V731" s="12" t="str">
        <f>IF(Raw_Data!AP734="","",IF(Raw_Data!AP734="oui",1,0))</f>
        <v/>
      </c>
      <c r="W731" s="12" t="str">
        <f>IF(Raw_Data!AQ734="","",IF(Raw_Data!AQ734="oui",1,0))</f>
        <v/>
      </c>
      <c r="X731" s="12" t="str">
        <f>IF(Raw_Data!AR734="","",IF(Raw_Data!AR734="oui",1,0))</f>
        <v/>
      </c>
      <c r="Y731" s="12" t="str">
        <f>IF(Raw_Data!AS734="","",IF(Raw_Data!AS734="oui",1,0))</f>
        <v/>
      </c>
      <c r="Z731" s="12" t="str">
        <f>IF(Raw_Data!V734="","",IF(Raw_Data!V734="oui",1,0))</f>
        <v/>
      </c>
      <c r="AA731" s="12" t="str">
        <f>IF(Raw_Data!W734="","",IF(Raw_Data!W734="oui",1,0))</f>
        <v/>
      </c>
      <c r="AB731" s="12" t="str">
        <f>IF(Raw_Data!Q734="","",IF(Raw_Data!Q734="oui",1,0))</f>
        <v/>
      </c>
      <c r="AC731" s="12">
        <f>Raw_Data!AF734</f>
        <v>0</v>
      </c>
      <c r="AD731" s="12" t="str">
        <f t="shared" si="104"/>
        <v/>
      </c>
      <c r="AE731" s="12" t="str">
        <f t="shared" si="105"/>
        <v/>
      </c>
      <c r="AF731" s="12" t="str">
        <f t="shared" si="106"/>
        <v/>
      </c>
      <c r="AG731" s="12">
        <f t="shared" si="107"/>
        <v>0</v>
      </c>
    </row>
    <row r="732" spans="1:33" ht="15" customHeight="1" x14ac:dyDescent="0.25">
      <c r="A732" s="12" t="str">
        <f>IF(Raw_Data!B735="","",Raw_Data!B735)</f>
        <v/>
      </c>
      <c r="B732" s="12">
        <f>IF(Raw_Data!X735&lt;&gt;"",Raw_Data!X735,Raw_Data!C735)</f>
        <v>0</v>
      </c>
      <c r="C732" s="12" t="str">
        <f>IF(Raw_Data!G735="","",Raw_Data!G735)</f>
        <v/>
      </c>
      <c r="D732" s="12" t="str">
        <f>IF(Raw_Data!H735="","",Raw_Data!H735)</f>
        <v/>
      </c>
      <c r="E732" s="12" t="str">
        <f>IF(Raw_Data!I735="","",Raw_Data!I735)</f>
        <v/>
      </c>
      <c r="F732" s="12" t="str">
        <f>IF(Raw_Data!J735="","",Raw_Data!J735)</f>
        <v/>
      </c>
      <c r="G732" s="12" t="str">
        <f>IF(Raw_Data!AH735&lt;&gt;"",Raw_Data!AH735,IF(Raw_Data!K735&lt;&gt;"",Raw_Data!K735,""))</f>
        <v/>
      </c>
      <c r="H732" s="12" t="str">
        <f>IF(Raw_Data!AI735&lt;&gt;"",Raw_Data!AI735,IF(Raw_Data!L735&lt;&gt;"",Raw_Data!L735,""))</f>
        <v/>
      </c>
      <c r="I732" s="12" t="str">
        <f t="shared" si="99"/>
        <v/>
      </c>
      <c r="J732" s="12" t="str">
        <f>IF(Raw_Data!M735="","",Raw_Data!M735)</f>
        <v/>
      </c>
      <c r="K732" s="12">
        <f>IF(Raw_Data!AJ735&lt;&gt;"",Raw_Data!AJ735,Raw_Data!N735)</f>
        <v>0</v>
      </c>
      <c r="L732" s="12">
        <f t="shared" si="100"/>
        <v>1</v>
      </c>
      <c r="M732" s="12" t="str">
        <f>IF(Raw_Data!AK735="","",Raw_Data!AK735)</f>
        <v/>
      </c>
      <c r="N732" s="12" t="str">
        <f>IF(Raw_Data!T735="","",Raw_Data!T735)</f>
        <v/>
      </c>
      <c r="O732" s="12" t="str">
        <f>IF(Raw_Data!AB735&lt;&gt;"",Raw_Data!AB735,IF(N732="tres_insatisfait",1,IF(N732="insatisfait",2,IF(N732="neutre",3,IF(N732="satisfait",4,IF(N732="tres_satisfait",5,""))))))</f>
        <v/>
      </c>
      <c r="P732" s="12">
        <f>IF(Raw_Data!AL735&lt;&gt;"",Raw_Data!AL735,Raw_Data!R735)</f>
        <v>0</v>
      </c>
      <c r="Q732" s="12">
        <f t="shared" si="101"/>
        <v>0</v>
      </c>
      <c r="R732" s="12" t="str">
        <f>IF(Raw_Data!AM735="","",Raw_Data!AM735)</f>
        <v/>
      </c>
      <c r="S732" s="12" t="str">
        <f t="shared" si="102"/>
        <v/>
      </c>
      <c r="T732" s="12" t="str">
        <f>IF(Raw_Data!AN735="","",Raw_Data!AN735)</f>
        <v/>
      </c>
      <c r="U732" s="12" t="str">
        <f t="shared" si="103"/>
        <v/>
      </c>
      <c r="V732" s="12" t="str">
        <f>IF(Raw_Data!AP735="","",IF(Raw_Data!AP735="oui",1,0))</f>
        <v/>
      </c>
      <c r="W732" s="12" t="str">
        <f>IF(Raw_Data!AQ735="","",IF(Raw_Data!AQ735="oui",1,0))</f>
        <v/>
      </c>
      <c r="X732" s="12" t="str">
        <f>IF(Raw_Data!AR735="","",IF(Raw_Data!AR735="oui",1,0))</f>
        <v/>
      </c>
      <c r="Y732" s="12" t="str">
        <f>IF(Raw_Data!AS735="","",IF(Raw_Data!AS735="oui",1,0))</f>
        <v/>
      </c>
      <c r="Z732" s="12" t="str">
        <f>IF(Raw_Data!V735="","",IF(Raw_Data!V735="oui",1,0))</f>
        <v/>
      </c>
      <c r="AA732" s="12" t="str">
        <f>IF(Raw_Data!W735="","",IF(Raw_Data!W735="oui",1,0))</f>
        <v/>
      </c>
      <c r="AB732" s="12" t="str">
        <f>IF(Raw_Data!Q735="","",IF(Raw_Data!Q735="oui",1,0))</f>
        <v/>
      </c>
      <c r="AC732" s="12">
        <f>Raw_Data!AF735</f>
        <v>0</v>
      </c>
      <c r="AD732" s="12" t="str">
        <f t="shared" si="104"/>
        <v/>
      </c>
      <c r="AE732" s="12" t="str">
        <f t="shared" si="105"/>
        <v/>
      </c>
      <c r="AF732" s="12" t="str">
        <f t="shared" si="106"/>
        <v/>
      </c>
      <c r="AG732" s="12">
        <f t="shared" si="107"/>
        <v>0</v>
      </c>
    </row>
    <row r="733" spans="1:33" ht="15" customHeight="1" x14ac:dyDescent="0.25">
      <c r="A733" s="12" t="str">
        <f>IF(Raw_Data!B736="","",Raw_Data!B736)</f>
        <v/>
      </c>
      <c r="B733" s="12">
        <f>IF(Raw_Data!X736&lt;&gt;"",Raw_Data!X736,Raw_Data!C736)</f>
        <v>0</v>
      </c>
      <c r="C733" s="12" t="str">
        <f>IF(Raw_Data!G736="","",Raw_Data!G736)</f>
        <v/>
      </c>
      <c r="D733" s="12" t="str">
        <f>IF(Raw_Data!H736="","",Raw_Data!H736)</f>
        <v/>
      </c>
      <c r="E733" s="12" t="str">
        <f>IF(Raw_Data!I736="","",Raw_Data!I736)</f>
        <v/>
      </c>
      <c r="F733" s="12" t="str">
        <f>IF(Raw_Data!J736="","",Raw_Data!J736)</f>
        <v/>
      </c>
      <c r="G733" s="12" t="str">
        <f>IF(Raw_Data!AH736&lt;&gt;"",Raw_Data!AH736,IF(Raw_Data!K736&lt;&gt;"",Raw_Data!K736,""))</f>
        <v/>
      </c>
      <c r="H733" s="12" t="str">
        <f>IF(Raw_Data!AI736&lt;&gt;"",Raw_Data!AI736,IF(Raw_Data!L736&lt;&gt;"",Raw_Data!L736,""))</f>
        <v/>
      </c>
      <c r="I733" s="12" t="str">
        <f t="shared" si="99"/>
        <v/>
      </c>
      <c r="J733" s="12" t="str">
        <f>IF(Raw_Data!M736="","",Raw_Data!M736)</f>
        <v/>
      </c>
      <c r="K733" s="12">
        <f>IF(Raw_Data!AJ736&lt;&gt;"",Raw_Data!AJ736,Raw_Data!N736)</f>
        <v>0</v>
      </c>
      <c r="L733" s="12">
        <f t="shared" si="100"/>
        <v>1</v>
      </c>
      <c r="M733" s="12" t="str">
        <f>IF(Raw_Data!AK736="","",Raw_Data!AK736)</f>
        <v/>
      </c>
      <c r="N733" s="12" t="str">
        <f>IF(Raw_Data!T736="","",Raw_Data!T736)</f>
        <v/>
      </c>
      <c r="O733" s="12" t="str">
        <f>IF(Raw_Data!AB736&lt;&gt;"",Raw_Data!AB736,IF(N733="tres_insatisfait",1,IF(N733="insatisfait",2,IF(N733="neutre",3,IF(N733="satisfait",4,IF(N733="tres_satisfait",5,""))))))</f>
        <v/>
      </c>
      <c r="P733" s="12">
        <f>IF(Raw_Data!AL736&lt;&gt;"",Raw_Data!AL736,Raw_Data!R736)</f>
        <v>0</v>
      </c>
      <c r="Q733" s="12">
        <f t="shared" si="101"/>
        <v>0</v>
      </c>
      <c r="R733" s="12" t="str">
        <f>IF(Raw_Data!AM736="","",Raw_Data!AM736)</f>
        <v/>
      </c>
      <c r="S733" s="12" t="str">
        <f t="shared" si="102"/>
        <v/>
      </c>
      <c r="T733" s="12" t="str">
        <f>IF(Raw_Data!AN736="","",Raw_Data!AN736)</f>
        <v/>
      </c>
      <c r="U733" s="12" t="str">
        <f t="shared" si="103"/>
        <v/>
      </c>
      <c r="V733" s="12" t="str">
        <f>IF(Raw_Data!AP736="","",IF(Raw_Data!AP736="oui",1,0))</f>
        <v/>
      </c>
      <c r="W733" s="12" t="str">
        <f>IF(Raw_Data!AQ736="","",IF(Raw_Data!AQ736="oui",1,0))</f>
        <v/>
      </c>
      <c r="X733" s="12" t="str">
        <f>IF(Raw_Data!AR736="","",IF(Raw_Data!AR736="oui",1,0))</f>
        <v/>
      </c>
      <c r="Y733" s="12" t="str">
        <f>IF(Raw_Data!AS736="","",IF(Raw_Data!AS736="oui",1,0))</f>
        <v/>
      </c>
      <c r="Z733" s="12" t="str">
        <f>IF(Raw_Data!V736="","",IF(Raw_Data!V736="oui",1,0))</f>
        <v/>
      </c>
      <c r="AA733" s="12" t="str">
        <f>IF(Raw_Data!W736="","",IF(Raw_Data!W736="oui",1,0))</f>
        <v/>
      </c>
      <c r="AB733" s="12" t="str">
        <f>IF(Raw_Data!Q736="","",IF(Raw_Data!Q736="oui",1,0))</f>
        <v/>
      </c>
      <c r="AC733" s="12">
        <f>Raw_Data!AF736</f>
        <v>0</v>
      </c>
      <c r="AD733" s="12" t="str">
        <f t="shared" si="104"/>
        <v/>
      </c>
      <c r="AE733" s="12" t="str">
        <f t="shared" si="105"/>
        <v/>
      </c>
      <c r="AF733" s="12" t="str">
        <f t="shared" si="106"/>
        <v/>
      </c>
      <c r="AG733" s="12">
        <f t="shared" si="107"/>
        <v>0</v>
      </c>
    </row>
    <row r="734" spans="1:33" ht="15" customHeight="1" x14ac:dyDescent="0.25">
      <c r="A734" s="12" t="str">
        <f>IF(Raw_Data!B737="","",Raw_Data!B737)</f>
        <v/>
      </c>
      <c r="B734" s="12">
        <f>IF(Raw_Data!X737&lt;&gt;"",Raw_Data!X737,Raw_Data!C737)</f>
        <v>0</v>
      </c>
      <c r="C734" s="12" t="str">
        <f>IF(Raw_Data!G737="","",Raw_Data!G737)</f>
        <v/>
      </c>
      <c r="D734" s="12" t="str">
        <f>IF(Raw_Data!H737="","",Raw_Data!H737)</f>
        <v/>
      </c>
      <c r="E734" s="12" t="str">
        <f>IF(Raw_Data!I737="","",Raw_Data!I737)</f>
        <v/>
      </c>
      <c r="F734" s="12" t="str">
        <f>IF(Raw_Data!J737="","",Raw_Data!J737)</f>
        <v/>
      </c>
      <c r="G734" s="12" t="str">
        <f>IF(Raw_Data!AH737&lt;&gt;"",Raw_Data!AH737,IF(Raw_Data!K737&lt;&gt;"",Raw_Data!K737,""))</f>
        <v/>
      </c>
      <c r="H734" s="12" t="str">
        <f>IF(Raw_Data!AI737&lt;&gt;"",Raw_Data!AI737,IF(Raw_Data!L737&lt;&gt;"",Raw_Data!L737,""))</f>
        <v/>
      </c>
      <c r="I734" s="12" t="str">
        <f t="shared" si="99"/>
        <v/>
      </c>
      <c r="J734" s="12" t="str">
        <f>IF(Raw_Data!M737="","",Raw_Data!M737)</f>
        <v/>
      </c>
      <c r="K734" s="12">
        <f>IF(Raw_Data!AJ737&lt;&gt;"",Raw_Data!AJ737,Raw_Data!N737)</f>
        <v>0</v>
      </c>
      <c r="L734" s="12">
        <f t="shared" si="100"/>
        <v>1</v>
      </c>
      <c r="M734" s="12" t="str">
        <f>IF(Raw_Data!AK737="","",Raw_Data!AK737)</f>
        <v/>
      </c>
      <c r="N734" s="12" t="str">
        <f>IF(Raw_Data!T737="","",Raw_Data!T737)</f>
        <v/>
      </c>
      <c r="O734" s="12" t="str">
        <f>IF(Raw_Data!AB737&lt;&gt;"",Raw_Data!AB737,IF(N734="tres_insatisfait",1,IF(N734="insatisfait",2,IF(N734="neutre",3,IF(N734="satisfait",4,IF(N734="tres_satisfait",5,""))))))</f>
        <v/>
      </c>
      <c r="P734" s="12">
        <f>IF(Raw_Data!AL737&lt;&gt;"",Raw_Data!AL737,Raw_Data!R737)</f>
        <v>0</v>
      </c>
      <c r="Q734" s="12">
        <f t="shared" si="101"/>
        <v>0</v>
      </c>
      <c r="R734" s="12" t="str">
        <f>IF(Raw_Data!AM737="","",Raw_Data!AM737)</f>
        <v/>
      </c>
      <c r="S734" s="12" t="str">
        <f t="shared" si="102"/>
        <v/>
      </c>
      <c r="T734" s="12" t="str">
        <f>IF(Raw_Data!AN737="","",Raw_Data!AN737)</f>
        <v/>
      </c>
      <c r="U734" s="12" t="str">
        <f t="shared" si="103"/>
        <v/>
      </c>
      <c r="V734" s="12" t="str">
        <f>IF(Raw_Data!AP737="","",IF(Raw_Data!AP737="oui",1,0))</f>
        <v/>
      </c>
      <c r="W734" s="12" t="str">
        <f>IF(Raw_Data!AQ737="","",IF(Raw_Data!AQ737="oui",1,0))</f>
        <v/>
      </c>
      <c r="X734" s="12" t="str">
        <f>IF(Raw_Data!AR737="","",IF(Raw_Data!AR737="oui",1,0))</f>
        <v/>
      </c>
      <c r="Y734" s="12" t="str">
        <f>IF(Raw_Data!AS737="","",IF(Raw_Data!AS737="oui",1,0))</f>
        <v/>
      </c>
      <c r="Z734" s="12" t="str">
        <f>IF(Raw_Data!V737="","",IF(Raw_Data!V737="oui",1,0))</f>
        <v/>
      </c>
      <c r="AA734" s="12" t="str">
        <f>IF(Raw_Data!W737="","",IF(Raw_Data!W737="oui",1,0))</f>
        <v/>
      </c>
      <c r="AB734" s="12" t="str">
        <f>IF(Raw_Data!Q737="","",IF(Raw_Data!Q737="oui",1,0))</f>
        <v/>
      </c>
      <c r="AC734" s="12">
        <f>Raw_Data!AF737</f>
        <v>0</v>
      </c>
      <c r="AD734" s="12" t="str">
        <f t="shared" si="104"/>
        <v/>
      </c>
      <c r="AE734" s="12" t="str">
        <f t="shared" si="105"/>
        <v/>
      </c>
      <c r="AF734" s="12" t="str">
        <f t="shared" si="106"/>
        <v/>
      </c>
      <c r="AG734" s="12">
        <f t="shared" si="107"/>
        <v>0</v>
      </c>
    </row>
    <row r="735" spans="1:33" ht="15" customHeight="1" x14ac:dyDescent="0.25">
      <c r="A735" s="12" t="str">
        <f>IF(Raw_Data!B738="","",Raw_Data!B738)</f>
        <v/>
      </c>
      <c r="B735" s="12">
        <f>IF(Raw_Data!X738&lt;&gt;"",Raw_Data!X738,Raw_Data!C738)</f>
        <v>0</v>
      </c>
      <c r="C735" s="12" t="str">
        <f>IF(Raw_Data!G738="","",Raw_Data!G738)</f>
        <v/>
      </c>
      <c r="D735" s="12" t="str">
        <f>IF(Raw_Data!H738="","",Raw_Data!H738)</f>
        <v/>
      </c>
      <c r="E735" s="12" t="str">
        <f>IF(Raw_Data!I738="","",Raw_Data!I738)</f>
        <v/>
      </c>
      <c r="F735" s="12" t="str">
        <f>IF(Raw_Data!J738="","",Raw_Data!J738)</f>
        <v/>
      </c>
      <c r="G735" s="12" t="str">
        <f>IF(Raw_Data!AH738&lt;&gt;"",Raw_Data!AH738,IF(Raw_Data!K738&lt;&gt;"",Raw_Data!K738,""))</f>
        <v/>
      </c>
      <c r="H735" s="12" t="str">
        <f>IF(Raw_Data!AI738&lt;&gt;"",Raw_Data!AI738,IF(Raw_Data!L738&lt;&gt;"",Raw_Data!L738,""))</f>
        <v/>
      </c>
      <c r="I735" s="12" t="str">
        <f t="shared" si="99"/>
        <v/>
      </c>
      <c r="J735" s="12" t="str">
        <f>IF(Raw_Data!M738="","",Raw_Data!M738)</f>
        <v/>
      </c>
      <c r="K735" s="12">
        <f>IF(Raw_Data!AJ738&lt;&gt;"",Raw_Data!AJ738,Raw_Data!N738)</f>
        <v>0</v>
      </c>
      <c r="L735" s="12">
        <f t="shared" si="100"/>
        <v>1</v>
      </c>
      <c r="M735" s="12" t="str">
        <f>IF(Raw_Data!AK738="","",Raw_Data!AK738)</f>
        <v/>
      </c>
      <c r="N735" s="12" t="str">
        <f>IF(Raw_Data!T738="","",Raw_Data!T738)</f>
        <v/>
      </c>
      <c r="O735" s="12" t="str">
        <f>IF(Raw_Data!AB738&lt;&gt;"",Raw_Data!AB738,IF(N735="tres_insatisfait",1,IF(N735="insatisfait",2,IF(N735="neutre",3,IF(N735="satisfait",4,IF(N735="tres_satisfait",5,""))))))</f>
        <v/>
      </c>
      <c r="P735" s="12">
        <f>IF(Raw_Data!AL738&lt;&gt;"",Raw_Data!AL738,Raw_Data!R738)</f>
        <v>0</v>
      </c>
      <c r="Q735" s="12">
        <f t="shared" si="101"/>
        <v>0</v>
      </c>
      <c r="R735" s="12" t="str">
        <f>IF(Raw_Data!AM738="","",Raw_Data!AM738)</f>
        <v/>
      </c>
      <c r="S735" s="12" t="str">
        <f t="shared" si="102"/>
        <v/>
      </c>
      <c r="T735" s="12" t="str">
        <f>IF(Raw_Data!AN738="","",Raw_Data!AN738)</f>
        <v/>
      </c>
      <c r="U735" s="12" t="str">
        <f t="shared" si="103"/>
        <v/>
      </c>
      <c r="V735" s="12" t="str">
        <f>IF(Raw_Data!AP738="","",IF(Raw_Data!AP738="oui",1,0))</f>
        <v/>
      </c>
      <c r="W735" s="12" t="str">
        <f>IF(Raw_Data!AQ738="","",IF(Raw_Data!AQ738="oui",1,0))</f>
        <v/>
      </c>
      <c r="X735" s="12" t="str">
        <f>IF(Raw_Data!AR738="","",IF(Raw_Data!AR738="oui",1,0))</f>
        <v/>
      </c>
      <c r="Y735" s="12" t="str">
        <f>IF(Raw_Data!AS738="","",IF(Raw_Data!AS738="oui",1,0))</f>
        <v/>
      </c>
      <c r="Z735" s="12" t="str">
        <f>IF(Raw_Data!V738="","",IF(Raw_Data!V738="oui",1,0))</f>
        <v/>
      </c>
      <c r="AA735" s="12" t="str">
        <f>IF(Raw_Data!W738="","",IF(Raw_Data!W738="oui",1,0))</f>
        <v/>
      </c>
      <c r="AB735" s="12" t="str">
        <f>IF(Raw_Data!Q738="","",IF(Raw_Data!Q738="oui",1,0))</f>
        <v/>
      </c>
      <c r="AC735" s="12">
        <f>Raw_Data!AF738</f>
        <v>0</v>
      </c>
      <c r="AD735" s="12" t="str">
        <f t="shared" si="104"/>
        <v/>
      </c>
      <c r="AE735" s="12" t="str">
        <f t="shared" si="105"/>
        <v/>
      </c>
      <c r="AF735" s="12" t="str">
        <f t="shared" si="106"/>
        <v/>
      </c>
      <c r="AG735" s="12">
        <f t="shared" si="107"/>
        <v>0</v>
      </c>
    </row>
    <row r="736" spans="1:33" ht="15" customHeight="1" x14ac:dyDescent="0.25">
      <c r="A736" s="12" t="str">
        <f>IF(Raw_Data!B739="","",Raw_Data!B739)</f>
        <v/>
      </c>
      <c r="B736" s="12">
        <f>IF(Raw_Data!X739&lt;&gt;"",Raw_Data!X739,Raw_Data!C739)</f>
        <v>0</v>
      </c>
      <c r="C736" s="12" t="str">
        <f>IF(Raw_Data!G739="","",Raw_Data!G739)</f>
        <v/>
      </c>
      <c r="D736" s="12" t="str">
        <f>IF(Raw_Data!H739="","",Raw_Data!H739)</f>
        <v/>
      </c>
      <c r="E736" s="12" t="str">
        <f>IF(Raw_Data!I739="","",Raw_Data!I739)</f>
        <v/>
      </c>
      <c r="F736" s="12" t="str">
        <f>IF(Raw_Data!J739="","",Raw_Data!J739)</f>
        <v/>
      </c>
      <c r="G736" s="12" t="str">
        <f>IF(Raw_Data!AH739&lt;&gt;"",Raw_Data!AH739,IF(Raw_Data!K739&lt;&gt;"",Raw_Data!K739,""))</f>
        <v/>
      </c>
      <c r="H736" s="12" t="str">
        <f>IF(Raw_Data!AI739&lt;&gt;"",Raw_Data!AI739,IF(Raw_Data!L739&lt;&gt;"",Raw_Data!L739,""))</f>
        <v/>
      </c>
      <c r="I736" s="12" t="str">
        <f t="shared" si="99"/>
        <v/>
      </c>
      <c r="J736" s="12" t="str">
        <f>IF(Raw_Data!M739="","",Raw_Data!M739)</f>
        <v/>
      </c>
      <c r="K736" s="12">
        <f>IF(Raw_Data!AJ739&lt;&gt;"",Raw_Data!AJ739,Raw_Data!N739)</f>
        <v>0</v>
      </c>
      <c r="L736" s="12">
        <f t="shared" si="100"/>
        <v>1</v>
      </c>
      <c r="M736" s="12" t="str">
        <f>IF(Raw_Data!AK739="","",Raw_Data!AK739)</f>
        <v/>
      </c>
      <c r="N736" s="12" t="str">
        <f>IF(Raw_Data!T739="","",Raw_Data!T739)</f>
        <v/>
      </c>
      <c r="O736" s="12" t="str">
        <f>IF(Raw_Data!AB739&lt;&gt;"",Raw_Data!AB739,IF(N736="tres_insatisfait",1,IF(N736="insatisfait",2,IF(N736="neutre",3,IF(N736="satisfait",4,IF(N736="tres_satisfait",5,""))))))</f>
        <v/>
      </c>
      <c r="P736" s="12">
        <f>IF(Raw_Data!AL739&lt;&gt;"",Raw_Data!AL739,Raw_Data!R739)</f>
        <v>0</v>
      </c>
      <c r="Q736" s="12">
        <f t="shared" si="101"/>
        <v>0</v>
      </c>
      <c r="R736" s="12" t="str">
        <f>IF(Raw_Data!AM739="","",Raw_Data!AM739)</f>
        <v/>
      </c>
      <c r="S736" s="12" t="str">
        <f t="shared" si="102"/>
        <v/>
      </c>
      <c r="T736" s="12" t="str">
        <f>IF(Raw_Data!AN739="","",Raw_Data!AN739)</f>
        <v/>
      </c>
      <c r="U736" s="12" t="str">
        <f t="shared" si="103"/>
        <v/>
      </c>
      <c r="V736" s="12" t="str">
        <f>IF(Raw_Data!AP739="","",IF(Raw_Data!AP739="oui",1,0))</f>
        <v/>
      </c>
      <c r="W736" s="12" t="str">
        <f>IF(Raw_Data!AQ739="","",IF(Raw_Data!AQ739="oui",1,0))</f>
        <v/>
      </c>
      <c r="X736" s="12" t="str">
        <f>IF(Raw_Data!AR739="","",IF(Raw_Data!AR739="oui",1,0))</f>
        <v/>
      </c>
      <c r="Y736" s="12" t="str">
        <f>IF(Raw_Data!AS739="","",IF(Raw_Data!AS739="oui",1,0))</f>
        <v/>
      </c>
      <c r="Z736" s="12" t="str">
        <f>IF(Raw_Data!V739="","",IF(Raw_Data!V739="oui",1,0))</f>
        <v/>
      </c>
      <c r="AA736" s="12" t="str">
        <f>IF(Raw_Data!W739="","",IF(Raw_Data!W739="oui",1,0))</f>
        <v/>
      </c>
      <c r="AB736" s="12" t="str">
        <f>IF(Raw_Data!Q739="","",IF(Raw_Data!Q739="oui",1,0))</f>
        <v/>
      </c>
      <c r="AC736" s="12">
        <f>Raw_Data!AF739</f>
        <v>0</v>
      </c>
      <c r="AD736" s="12" t="str">
        <f t="shared" si="104"/>
        <v/>
      </c>
      <c r="AE736" s="12" t="str">
        <f t="shared" si="105"/>
        <v/>
      </c>
      <c r="AF736" s="12" t="str">
        <f t="shared" si="106"/>
        <v/>
      </c>
      <c r="AG736" s="12">
        <f t="shared" si="107"/>
        <v>0</v>
      </c>
    </row>
    <row r="737" spans="1:33" ht="15" customHeight="1" x14ac:dyDescent="0.25">
      <c r="A737" s="12" t="str">
        <f>IF(Raw_Data!B740="","",Raw_Data!B740)</f>
        <v/>
      </c>
      <c r="B737" s="12">
        <f>IF(Raw_Data!X740&lt;&gt;"",Raw_Data!X740,Raw_Data!C740)</f>
        <v>0</v>
      </c>
      <c r="C737" s="12" t="str">
        <f>IF(Raw_Data!G740="","",Raw_Data!G740)</f>
        <v/>
      </c>
      <c r="D737" s="12" t="str">
        <f>IF(Raw_Data!H740="","",Raw_Data!H740)</f>
        <v/>
      </c>
      <c r="E737" s="12" t="str">
        <f>IF(Raw_Data!I740="","",Raw_Data!I740)</f>
        <v/>
      </c>
      <c r="F737" s="12" t="str">
        <f>IF(Raw_Data!J740="","",Raw_Data!J740)</f>
        <v/>
      </c>
      <c r="G737" s="12" t="str">
        <f>IF(Raw_Data!AH740&lt;&gt;"",Raw_Data!AH740,IF(Raw_Data!K740&lt;&gt;"",Raw_Data!K740,""))</f>
        <v/>
      </c>
      <c r="H737" s="12" t="str">
        <f>IF(Raw_Data!AI740&lt;&gt;"",Raw_Data!AI740,IF(Raw_Data!L740&lt;&gt;"",Raw_Data!L740,""))</f>
        <v/>
      </c>
      <c r="I737" s="12" t="str">
        <f t="shared" si="99"/>
        <v/>
      </c>
      <c r="J737" s="12" t="str">
        <f>IF(Raw_Data!M740="","",Raw_Data!M740)</f>
        <v/>
      </c>
      <c r="K737" s="12">
        <f>IF(Raw_Data!AJ740&lt;&gt;"",Raw_Data!AJ740,Raw_Data!N740)</f>
        <v>0</v>
      </c>
      <c r="L737" s="12">
        <f t="shared" si="100"/>
        <v>1</v>
      </c>
      <c r="M737" s="12" t="str">
        <f>IF(Raw_Data!AK740="","",Raw_Data!AK740)</f>
        <v/>
      </c>
      <c r="N737" s="12" t="str">
        <f>IF(Raw_Data!T740="","",Raw_Data!T740)</f>
        <v/>
      </c>
      <c r="O737" s="12" t="str">
        <f>IF(Raw_Data!AB740&lt;&gt;"",Raw_Data!AB740,IF(N737="tres_insatisfait",1,IF(N737="insatisfait",2,IF(N737="neutre",3,IF(N737="satisfait",4,IF(N737="tres_satisfait",5,""))))))</f>
        <v/>
      </c>
      <c r="P737" s="12">
        <f>IF(Raw_Data!AL740&lt;&gt;"",Raw_Data!AL740,Raw_Data!R740)</f>
        <v>0</v>
      </c>
      <c r="Q737" s="12">
        <f t="shared" si="101"/>
        <v>0</v>
      </c>
      <c r="R737" s="12" t="str">
        <f>IF(Raw_Data!AM740="","",Raw_Data!AM740)</f>
        <v/>
      </c>
      <c r="S737" s="12" t="str">
        <f t="shared" si="102"/>
        <v/>
      </c>
      <c r="T737" s="12" t="str">
        <f>IF(Raw_Data!AN740="","",Raw_Data!AN740)</f>
        <v/>
      </c>
      <c r="U737" s="12" t="str">
        <f t="shared" si="103"/>
        <v/>
      </c>
      <c r="V737" s="12" t="str">
        <f>IF(Raw_Data!AP740="","",IF(Raw_Data!AP740="oui",1,0))</f>
        <v/>
      </c>
      <c r="W737" s="12" t="str">
        <f>IF(Raw_Data!AQ740="","",IF(Raw_Data!AQ740="oui",1,0))</f>
        <v/>
      </c>
      <c r="X737" s="12" t="str">
        <f>IF(Raw_Data!AR740="","",IF(Raw_Data!AR740="oui",1,0))</f>
        <v/>
      </c>
      <c r="Y737" s="12" t="str">
        <f>IF(Raw_Data!AS740="","",IF(Raw_Data!AS740="oui",1,0))</f>
        <v/>
      </c>
      <c r="Z737" s="12" t="str">
        <f>IF(Raw_Data!V740="","",IF(Raw_Data!V740="oui",1,0))</f>
        <v/>
      </c>
      <c r="AA737" s="12" t="str">
        <f>IF(Raw_Data!W740="","",IF(Raw_Data!W740="oui",1,0))</f>
        <v/>
      </c>
      <c r="AB737" s="12" t="str">
        <f>IF(Raw_Data!Q740="","",IF(Raw_Data!Q740="oui",1,0))</f>
        <v/>
      </c>
      <c r="AC737" s="12">
        <f>Raw_Data!AF740</f>
        <v>0</v>
      </c>
      <c r="AD737" s="12" t="str">
        <f t="shared" si="104"/>
        <v/>
      </c>
      <c r="AE737" s="12" t="str">
        <f t="shared" si="105"/>
        <v/>
      </c>
      <c r="AF737" s="12" t="str">
        <f t="shared" si="106"/>
        <v/>
      </c>
      <c r="AG737" s="12">
        <f t="shared" si="107"/>
        <v>0</v>
      </c>
    </row>
    <row r="738" spans="1:33" ht="15" customHeight="1" x14ac:dyDescent="0.25">
      <c r="A738" s="12" t="str">
        <f>IF(Raw_Data!B741="","",Raw_Data!B741)</f>
        <v/>
      </c>
      <c r="B738" s="12">
        <f>IF(Raw_Data!X741&lt;&gt;"",Raw_Data!X741,Raw_Data!C741)</f>
        <v>0</v>
      </c>
      <c r="C738" s="12" t="str">
        <f>IF(Raw_Data!G741="","",Raw_Data!G741)</f>
        <v/>
      </c>
      <c r="D738" s="12" t="str">
        <f>IF(Raw_Data!H741="","",Raw_Data!H741)</f>
        <v/>
      </c>
      <c r="E738" s="12" t="str">
        <f>IF(Raw_Data!I741="","",Raw_Data!I741)</f>
        <v/>
      </c>
      <c r="F738" s="12" t="str">
        <f>IF(Raw_Data!J741="","",Raw_Data!J741)</f>
        <v/>
      </c>
      <c r="G738" s="12" t="str">
        <f>IF(Raw_Data!AH741&lt;&gt;"",Raw_Data!AH741,IF(Raw_Data!K741&lt;&gt;"",Raw_Data!K741,""))</f>
        <v/>
      </c>
      <c r="H738" s="12" t="str">
        <f>IF(Raw_Data!AI741&lt;&gt;"",Raw_Data!AI741,IF(Raw_Data!L741&lt;&gt;"",Raw_Data!L741,""))</f>
        <v/>
      </c>
      <c r="I738" s="12" t="str">
        <f t="shared" si="99"/>
        <v/>
      </c>
      <c r="J738" s="12" t="str">
        <f>IF(Raw_Data!M741="","",Raw_Data!M741)</f>
        <v/>
      </c>
      <c r="K738" s="12">
        <f>IF(Raw_Data!AJ741&lt;&gt;"",Raw_Data!AJ741,Raw_Data!N741)</f>
        <v>0</v>
      </c>
      <c r="L738" s="12">
        <f t="shared" si="100"/>
        <v>1</v>
      </c>
      <c r="M738" s="12" t="str">
        <f>IF(Raw_Data!AK741="","",Raw_Data!AK741)</f>
        <v/>
      </c>
      <c r="N738" s="12" t="str">
        <f>IF(Raw_Data!T741="","",Raw_Data!T741)</f>
        <v/>
      </c>
      <c r="O738" s="12" t="str">
        <f>IF(Raw_Data!AB741&lt;&gt;"",Raw_Data!AB741,IF(N738="tres_insatisfait",1,IF(N738="insatisfait",2,IF(N738="neutre",3,IF(N738="satisfait",4,IF(N738="tres_satisfait",5,""))))))</f>
        <v/>
      </c>
      <c r="P738" s="12">
        <f>IF(Raw_Data!AL741&lt;&gt;"",Raw_Data!AL741,Raw_Data!R741)</f>
        <v>0</v>
      </c>
      <c r="Q738" s="12">
        <f t="shared" si="101"/>
        <v>0</v>
      </c>
      <c r="R738" s="12" t="str">
        <f>IF(Raw_Data!AM741="","",Raw_Data!AM741)</f>
        <v/>
      </c>
      <c r="S738" s="12" t="str">
        <f t="shared" si="102"/>
        <v/>
      </c>
      <c r="T738" s="12" t="str">
        <f>IF(Raw_Data!AN741="","",Raw_Data!AN741)</f>
        <v/>
      </c>
      <c r="U738" s="12" t="str">
        <f t="shared" si="103"/>
        <v/>
      </c>
      <c r="V738" s="12" t="str">
        <f>IF(Raw_Data!AP741="","",IF(Raw_Data!AP741="oui",1,0))</f>
        <v/>
      </c>
      <c r="W738" s="12" t="str">
        <f>IF(Raw_Data!AQ741="","",IF(Raw_Data!AQ741="oui",1,0))</f>
        <v/>
      </c>
      <c r="X738" s="12" t="str">
        <f>IF(Raw_Data!AR741="","",IF(Raw_Data!AR741="oui",1,0))</f>
        <v/>
      </c>
      <c r="Y738" s="12" t="str">
        <f>IF(Raw_Data!AS741="","",IF(Raw_Data!AS741="oui",1,0))</f>
        <v/>
      </c>
      <c r="Z738" s="12" t="str">
        <f>IF(Raw_Data!V741="","",IF(Raw_Data!V741="oui",1,0))</f>
        <v/>
      </c>
      <c r="AA738" s="12" t="str">
        <f>IF(Raw_Data!W741="","",IF(Raw_Data!W741="oui",1,0))</f>
        <v/>
      </c>
      <c r="AB738" s="12" t="str">
        <f>IF(Raw_Data!Q741="","",IF(Raw_Data!Q741="oui",1,0))</f>
        <v/>
      </c>
      <c r="AC738" s="12">
        <f>Raw_Data!AF741</f>
        <v>0</v>
      </c>
      <c r="AD738" s="12" t="str">
        <f t="shared" si="104"/>
        <v/>
      </c>
      <c r="AE738" s="12" t="str">
        <f t="shared" si="105"/>
        <v/>
      </c>
      <c r="AF738" s="12" t="str">
        <f t="shared" si="106"/>
        <v/>
      </c>
      <c r="AG738" s="12">
        <f t="shared" si="107"/>
        <v>0</v>
      </c>
    </row>
    <row r="739" spans="1:33" ht="15" customHeight="1" x14ac:dyDescent="0.25">
      <c r="A739" s="12" t="str">
        <f>IF(Raw_Data!B742="","",Raw_Data!B742)</f>
        <v/>
      </c>
      <c r="B739" s="12">
        <f>IF(Raw_Data!X742&lt;&gt;"",Raw_Data!X742,Raw_Data!C742)</f>
        <v>0</v>
      </c>
      <c r="C739" s="12" t="str">
        <f>IF(Raw_Data!G742="","",Raw_Data!G742)</f>
        <v/>
      </c>
      <c r="D739" s="12" t="str">
        <f>IF(Raw_Data!H742="","",Raw_Data!H742)</f>
        <v/>
      </c>
      <c r="E739" s="12" t="str">
        <f>IF(Raw_Data!I742="","",Raw_Data!I742)</f>
        <v/>
      </c>
      <c r="F739" s="12" t="str">
        <f>IF(Raw_Data!J742="","",Raw_Data!J742)</f>
        <v/>
      </c>
      <c r="G739" s="12" t="str">
        <f>IF(Raw_Data!AH742&lt;&gt;"",Raw_Data!AH742,IF(Raw_Data!K742&lt;&gt;"",Raw_Data!K742,""))</f>
        <v/>
      </c>
      <c r="H739" s="12" t="str">
        <f>IF(Raw_Data!AI742&lt;&gt;"",Raw_Data!AI742,IF(Raw_Data!L742&lt;&gt;"",Raw_Data!L742,""))</f>
        <v/>
      </c>
      <c r="I739" s="12" t="str">
        <f t="shared" si="99"/>
        <v/>
      </c>
      <c r="J739" s="12" t="str">
        <f>IF(Raw_Data!M742="","",Raw_Data!M742)</f>
        <v/>
      </c>
      <c r="K739" s="12">
        <f>IF(Raw_Data!AJ742&lt;&gt;"",Raw_Data!AJ742,Raw_Data!N742)</f>
        <v>0</v>
      </c>
      <c r="L739" s="12">
        <f t="shared" si="100"/>
        <v>1</v>
      </c>
      <c r="M739" s="12" t="str">
        <f>IF(Raw_Data!AK742="","",Raw_Data!AK742)</f>
        <v/>
      </c>
      <c r="N739" s="12" t="str">
        <f>IF(Raw_Data!T742="","",Raw_Data!T742)</f>
        <v/>
      </c>
      <c r="O739" s="12" t="str">
        <f>IF(Raw_Data!AB742&lt;&gt;"",Raw_Data!AB742,IF(N739="tres_insatisfait",1,IF(N739="insatisfait",2,IF(N739="neutre",3,IF(N739="satisfait",4,IF(N739="tres_satisfait",5,""))))))</f>
        <v/>
      </c>
      <c r="P739" s="12">
        <f>IF(Raw_Data!AL742&lt;&gt;"",Raw_Data!AL742,Raw_Data!R742)</f>
        <v>0</v>
      </c>
      <c r="Q739" s="12">
        <f t="shared" si="101"/>
        <v>0</v>
      </c>
      <c r="R739" s="12" t="str">
        <f>IF(Raw_Data!AM742="","",Raw_Data!AM742)</f>
        <v/>
      </c>
      <c r="S739" s="12" t="str">
        <f t="shared" si="102"/>
        <v/>
      </c>
      <c r="T739" s="12" t="str">
        <f>IF(Raw_Data!AN742="","",Raw_Data!AN742)</f>
        <v/>
      </c>
      <c r="U739" s="12" t="str">
        <f t="shared" si="103"/>
        <v/>
      </c>
      <c r="V739" s="12" t="str">
        <f>IF(Raw_Data!AP742="","",IF(Raw_Data!AP742="oui",1,0))</f>
        <v/>
      </c>
      <c r="W739" s="12" t="str">
        <f>IF(Raw_Data!AQ742="","",IF(Raw_Data!AQ742="oui",1,0))</f>
        <v/>
      </c>
      <c r="X739" s="12" t="str">
        <f>IF(Raw_Data!AR742="","",IF(Raw_Data!AR742="oui",1,0))</f>
        <v/>
      </c>
      <c r="Y739" s="12" t="str">
        <f>IF(Raw_Data!AS742="","",IF(Raw_Data!AS742="oui",1,0))</f>
        <v/>
      </c>
      <c r="Z739" s="12" t="str">
        <f>IF(Raw_Data!V742="","",IF(Raw_Data!V742="oui",1,0))</f>
        <v/>
      </c>
      <c r="AA739" s="12" t="str">
        <f>IF(Raw_Data!W742="","",IF(Raw_Data!W742="oui",1,0))</f>
        <v/>
      </c>
      <c r="AB739" s="12" t="str">
        <f>IF(Raw_Data!Q742="","",IF(Raw_Data!Q742="oui",1,0))</f>
        <v/>
      </c>
      <c r="AC739" s="12">
        <f>Raw_Data!AF742</f>
        <v>0</v>
      </c>
      <c r="AD739" s="12" t="str">
        <f t="shared" si="104"/>
        <v/>
      </c>
      <c r="AE739" s="12" t="str">
        <f t="shared" si="105"/>
        <v/>
      </c>
      <c r="AF739" s="12" t="str">
        <f t="shared" si="106"/>
        <v/>
      </c>
      <c r="AG739" s="12">
        <f t="shared" si="107"/>
        <v>0</v>
      </c>
    </row>
    <row r="740" spans="1:33" ht="15" customHeight="1" x14ac:dyDescent="0.25">
      <c r="A740" s="12" t="str">
        <f>IF(Raw_Data!B743="","",Raw_Data!B743)</f>
        <v/>
      </c>
      <c r="B740" s="12">
        <f>IF(Raw_Data!X743&lt;&gt;"",Raw_Data!X743,Raw_Data!C743)</f>
        <v>0</v>
      </c>
      <c r="C740" s="12" t="str">
        <f>IF(Raw_Data!G743="","",Raw_Data!G743)</f>
        <v/>
      </c>
      <c r="D740" s="12" t="str">
        <f>IF(Raw_Data!H743="","",Raw_Data!H743)</f>
        <v/>
      </c>
      <c r="E740" s="12" t="str">
        <f>IF(Raw_Data!I743="","",Raw_Data!I743)</f>
        <v/>
      </c>
      <c r="F740" s="12" t="str">
        <f>IF(Raw_Data!J743="","",Raw_Data!J743)</f>
        <v/>
      </c>
      <c r="G740" s="12" t="str">
        <f>IF(Raw_Data!AH743&lt;&gt;"",Raw_Data!AH743,IF(Raw_Data!K743&lt;&gt;"",Raw_Data!K743,""))</f>
        <v/>
      </c>
      <c r="H740" s="12" t="str">
        <f>IF(Raw_Data!AI743&lt;&gt;"",Raw_Data!AI743,IF(Raw_Data!L743&lt;&gt;"",Raw_Data!L743,""))</f>
        <v/>
      </c>
      <c r="I740" s="12" t="str">
        <f t="shared" si="99"/>
        <v/>
      </c>
      <c r="J740" s="12" t="str">
        <f>IF(Raw_Data!M743="","",Raw_Data!M743)</f>
        <v/>
      </c>
      <c r="K740" s="12">
        <f>IF(Raw_Data!AJ743&lt;&gt;"",Raw_Data!AJ743,Raw_Data!N743)</f>
        <v>0</v>
      </c>
      <c r="L740" s="12">
        <f t="shared" si="100"/>
        <v>1</v>
      </c>
      <c r="M740" s="12" t="str">
        <f>IF(Raw_Data!AK743="","",Raw_Data!AK743)</f>
        <v/>
      </c>
      <c r="N740" s="12" t="str">
        <f>IF(Raw_Data!T743="","",Raw_Data!T743)</f>
        <v/>
      </c>
      <c r="O740" s="12" t="str">
        <f>IF(Raw_Data!AB743&lt;&gt;"",Raw_Data!AB743,IF(N740="tres_insatisfait",1,IF(N740="insatisfait",2,IF(N740="neutre",3,IF(N740="satisfait",4,IF(N740="tres_satisfait",5,""))))))</f>
        <v/>
      </c>
      <c r="P740" s="12">
        <f>IF(Raw_Data!AL743&lt;&gt;"",Raw_Data!AL743,Raw_Data!R743)</f>
        <v>0</v>
      </c>
      <c r="Q740" s="12">
        <f t="shared" si="101"/>
        <v>0</v>
      </c>
      <c r="R740" s="12" t="str">
        <f>IF(Raw_Data!AM743="","",Raw_Data!AM743)</f>
        <v/>
      </c>
      <c r="S740" s="12" t="str">
        <f t="shared" si="102"/>
        <v/>
      </c>
      <c r="T740" s="12" t="str">
        <f>IF(Raw_Data!AN743="","",Raw_Data!AN743)</f>
        <v/>
      </c>
      <c r="U740" s="12" t="str">
        <f t="shared" si="103"/>
        <v/>
      </c>
      <c r="V740" s="12" t="str">
        <f>IF(Raw_Data!AP743="","",IF(Raw_Data!AP743="oui",1,0))</f>
        <v/>
      </c>
      <c r="W740" s="12" t="str">
        <f>IF(Raw_Data!AQ743="","",IF(Raw_Data!AQ743="oui",1,0))</f>
        <v/>
      </c>
      <c r="X740" s="12" t="str">
        <f>IF(Raw_Data!AR743="","",IF(Raw_Data!AR743="oui",1,0))</f>
        <v/>
      </c>
      <c r="Y740" s="12" t="str">
        <f>IF(Raw_Data!AS743="","",IF(Raw_Data!AS743="oui",1,0))</f>
        <v/>
      </c>
      <c r="Z740" s="12" t="str">
        <f>IF(Raw_Data!V743="","",IF(Raw_Data!V743="oui",1,0))</f>
        <v/>
      </c>
      <c r="AA740" s="12" t="str">
        <f>IF(Raw_Data!W743="","",IF(Raw_Data!W743="oui",1,0))</f>
        <v/>
      </c>
      <c r="AB740" s="12" t="str">
        <f>IF(Raw_Data!Q743="","",IF(Raw_Data!Q743="oui",1,0))</f>
        <v/>
      </c>
      <c r="AC740" s="12">
        <f>Raw_Data!AF743</f>
        <v>0</v>
      </c>
      <c r="AD740" s="12" t="str">
        <f t="shared" si="104"/>
        <v/>
      </c>
      <c r="AE740" s="12" t="str">
        <f t="shared" si="105"/>
        <v/>
      </c>
      <c r="AF740" s="12" t="str">
        <f t="shared" si="106"/>
        <v/>
      </c>
      <c r="AG740" s="12">
        <f t="shared" si="107"/>
        <v>0</v>
      </c>
    </row>
    <row r="741" spans="1:33" ht="15" customHeight="1" x14ac:dyDescent="0.25">
      <c r="A741" s="12" t="str">
        <f>IF(Raw_Data!B744="","",Raw_Data!B744)</f>
        <v/>
      </c>
      <c r="B741" s="12">
        <f>IF(Raw_Data!X744&lt;&gt;"",Raw_Data!X744,Raw_Data!C744)</f>
        <v>0</v>
      </c>
      <c r="C741" s="12" t="str">
        <f>IF(Raw_Data!G744="","",Raw_Data!G744)</f>
        <v/>
      </c>
      <c r="D741" s="12" t="str">
        <f>IF(Raw_Data!H744="","",Raw_Data!H744)</f>
        <v/>
      </c>
      <c r="E741" s="12" t="str">
        <f>IF(Raw_Data!I744="","",Raw_Data!I744)</f>
        <v/>
      </c>
      <c r="F741" s="12" t="str">
        <f>IF(Raw_Data!J744="","",Raw_Data!J744)</f>
        <v/>
      </c>
      <c r="G741" s="12" t="str">
        <f>IF(Raw_Data!AH744&lt;&gt;"",Raw_Data!AH744,IF(Raw_Data!K744&lt;&gt;"",Raw_Data!K744,""))</f>
        <v/>
      </c>
      <c r="H741" s="12" t="str">
        <f>IF(Raw_Data!AI744&lt;&gt;"",Raw_Data!AI744,IF(Raw_Data!L744&lt;&gt;"",Raw_Data!L744,""))</f>
        <v/>
      </c>
      <c r="I741" s="12" t="str">
        <f t="shared" si="99"/>
        <v/>
      </c>
      <c r="J741" s="12" t="str">
        <f>IF(Raw_Data!M744="","",Raw_Data!M744)</f>
        <v/>
      </c>
      <c r="K741" s="12">
        <f>IF(Raw_Data!AJ744&lt;&gt;"",Raw_Data!AJ744,Raw_Data!N744)</f>
        <v>0</v>
      </c>
      <c r="L741" s="12">
        <f t="shared" si="100"/>
        <v>1</v>
      </c>
      <c r="M741" s="12" t="str">
        <f>IF(Raw_Data!AK744="","",Raw_Data!AK744)</f>
        <v/>
      </c>
      <c r="N741" s="12" t="str">
        <f>IF(Raw_Data!T744="","",Raw_Data!T744)</f>
        <v/>
      </c>
      <c r="O741" s="12" t="str">
        <f>IF(Raw_Data!AB744&lt;&gt;"",Raw_Data!AB744,IF(N741="tres_insatisfait",1,IF(N741="insatisfait",2,IF(N741="neutre",3,IF(N741="satisfait",4,IF(N741="tres_satisfait",5,""))))))</f>
        <v/>
      </c>
      <c r="P741" s="12">
        <f>IF(Raw_Data!AL744&lt;&gt;"",Raw_Data!AL744,Raw_Data!R744)</f>
        <v>0</v>
      </c>
      <c r="Q741" s="12">
        <f t="shared" si="101"/>
        <v>0</v>
      </c>
      <c r="R741" s="12" t="str">
        <f>IF(Raw_Data!AM744="","",Raw_Data!AM744)</f>
        <v/>
      </c>
      <c r="S741" s="12" t="str">
        <f t="shared" si="102"/>
        <v/>
      </c>
      <c r="T741" s="12" t="str">
        <f>IF(Raw_Data!AN744="","",Raw_Data!AN744)</f>
        <v/>
      </c>
      <c r="U741" s="12" t="str">
        <f t="shared" si="103"/>
        <v/>
      </c>
      <c r="V741" s="12" t="str">
        <f>IF(Raw_Data!AP744="","",IF(Raw_Data!AP744="oui",1,0))</f>
        <v/>
      </c>
      <c r="W741" s="12" t="str">
        <f>IF(Raw_Data!AQ744="","",IF(Raw_Data!AQ744="oui",1,0))</f>
        <v/>
      </c>
      <c r="X741" s="12" t="str">
        <f>IF(Raw_Data!AR744="","",IF(Raw_Data!AR744="oui",1,0))</f>
        <v/>
      </c>
      <c r="Y741" s="12" t="str">
        <f>IF(Raw_Data!AS744="","",IF(Raw_Data!AS744="oui",1,0))</f>
        <v/>
      </c>
      <c r="Z741" s="12" t="str">
        <f>IF(Raw_Data!V744="","",IF(Raw_Data!V744="oui",1,0))</f>
        <v/>
      </c>
      <c r="AA741" s="12" t="str">
        <f>IF(Raw_Data!W744="","",IF(Raw_Data!W744="oui",1,0))</f>
        <v/>
      </c>
      <c r="AB741" s="12" t="str">
        <f>IF(Raw_Data!Q744="","",IF(Raw_Data!Q744="oui",1,0))</f>
        <v/>
      </c>
      <c r="AC741" s="12">
        <f>Raw_Data!AF744</f>
        <v>0</v>
      </c>
      <c r="AD741" s="12" t="str">
        <f t="shared" si="104"/>
        <v/>
      </c>
      <c r="AE741" s="12" t="str">
        <f t="shared" si="105"/>
        <v/>
      </c>
      <c r="AF741" s="12" t="str">
        <f t="shared" si="106"/>
        <v/>
      </c>
      <c r="AG741" s="12">
        <f t="shared" si="107"/>
        <v>0</v>
      </c>
    </row>
    <row r="742" spans="1:33" ht="15" customHeight="1" x14ac:dyDescent="0.25">
      <c r="A742" s="12" t="str">
        <f>IF(Raw_Data!B745="","",Raw_Data!B745)</f>
        <v/>
      </c>
      <c r="B742" s="12">
        <f>IF(Raw_Data!X745&lt;&gt;"",Raw_Data!X745,Raw_Data!C745)</f>
        <v>0</v>
      </c>
      <c r="C742" s="12" t="str">
        <f>IF(Raw_Data!G745="","",Raw_Data!G745)</f>
        <v/>
      </c>
      <c r="D742" s="12" t="str">
        <f>IF(Raw_Data!H745="","",Raw_Data!H745)</f>
        <v/>
      </c>
      <c r="E742" s="12" t="str">
        <f>IF(Raw_Data!I745="","",Raw_Data!I745)</f>
        <v/>
      </c>
      <c r="F742" s="12" t="str">
        <f>IF(Raw_Data!J745="","",Raw_Data!J745)</f>
        <v/>
      </c>
      <c r="G742" s="12" t="str">
        <f>IF(Raw_Data!AH745&lt;&gt;"",Raw_Data!AH745,IF(Raw_Data!K745&lt;&gt;"",Raw_Data!K745,""))</f>
        <v/>
      </c>
      <c r="H742" s="12" t="str">
        <f>IF(Raw_Data!AI745&lt;&gt;"",Raw_Data!AI745,IF(Raw_Data!L745&lt;&gt;"",Raw_Data!L745,""))</f>
        <v/>
      </c>
      <c r="I742" s="12" t="str">
        <f t="shared" si="99"/>
        <v/>
      </c>
      <c r="J742" s="12" t="str">
        <f>IF(Raw_Data!M745="","",Raw_Data!M745)</f>
        <v/>
      </c>
      <c r="K742" s="12">
        <f>IF(Raw_Data!AJ745&lt;&gt;"",Raw_Data!AJ745,Raw_Data!N745)</f>
        <v>0</v>
      </c>
      <c r="L742" s="12">
        <f t="shared" si="100"/>
        <v>1</v>
      </c>
      <c r="M742" s="12" t="str">
        <f>IF(Raw_Data!AK745="","",Raw_Data!AK745)</f>
        <v/>
      </c>
      <c r="N742" s="12" t="str">
        <f>IF(Raw_Data!T745="","",Raw_Data!T745)</f>
        <v/>
      </c>
      <c r="O742" s="12" t="str">
        <f>IF(Raw_Data!AB745&lt;&gt;"",Raw_Data!AB745,IF(N742="tres_insatisfait",1,IF(N742="insatisfait",2,IF(N742="neutre",3,IF(N742="satisfait",4,IF(N742="tres_satisfait",5,""))))))</f>
        <v/>
      </c>
      <c r="P742" s="12">
        <f>IF(Raw_Data!AL745&lt;&gt;"",Raw_Data!AL745,Raw_Data!R745)</f>
        <v>0</v>
      </c>
      <c r="Q742" s="12">
        <f t="shared" si="101"/>
        <v>0</v>
      </c>
      <c r="R742" s="12" t="str">
        <f>IF(Raw_Data!AM745="","",Raw_Data!AM745)</f>
        <v/>
      </c>
      <c r="S742" s="12" t="str">
        <f t="shared" si="102"/>
        <v/>
      </c>
      <c r="T742" s="12" t="str">
        <f>IF(Raw_Data!AN745="","",Raw_Data!AN745)</f>
        <v/>
      </c>
      <c r="U742" s="12" t="str">
        <f t="shared" si="103"/>
        <v/>
      </c>
      <c r="V742" s="12" t="str">
        <f>IF(Raw_Data!AP745="","",IF(Raw_Data!AP745="oui",1,0))</f>
        <v/>
      </c>
      <c r="W742" s="12" t="str">
        <f>IF(Raw_Data!AQ745="","",IF(Raw_Data!AQ745="oui",1,0))</f>
        <v/>
      </c>
      <c r="X742" s="12" t="str">
        <f>IF(Raw_Data!AR745="","",IF(Raw_Data!AR745="oui",1,0))</f>
        <v/>
      </c>
      <c r="Y742" s="12" t="str">
        <f>IF(Raw_Data!AS745="","",IF(Raw_Data!AS745="oui",1,0))</f>
        <v/>
      </c>
      <c r="Z742" s="12" t="str">
        <f>IF(Raw_Data!V745="","",IF(Raw_Data!V745="oui",1,0))</f>
        <v/>
      </c>
      <c r="AA742" s="12" t="str">
        <f>IF(Raw_Data!W745="","",IF(Raw_Data!W745="oui",1,0))</f>
        <v/>
      </c>
      <c r="AB742" s="12" t="str">
        <f>IF(Raw_Data!Q745="","",IF(Raw_Data!Q745="oui",1,0))</f>
        <v/>
      </c>
      <c r="AC742" s="12">
        <f>Raw_Data!AF745</f>
        <v>0</v>
      </c>
      <c r="AD742" s="12" t="str">
        <f t="shared" si="104"/>
        <v/>
      </c>
      <c r="AE742" s="12" t="str">
        <f t="shared" si="105"/>
        <v/>
      </c>
      <c r="AF742" s="12" t="str">
        <f t="shared" si="106"/>
        <v/>
      </c>
      <c r="AG742" s="12">
        <f t="shared" si="107"/>
        <v>0</v>
      </c>
    </row>
    <row r="743" spans="1:33" ht="15" customHeight="1" x14ac:dyDescent="0.25">
      <c r="A743" s="12" t="str">
        <f>IF(Raw_Data!B746="","",Raw_Data!B746)</f>
        <v/>
      </c>
      <c r="B743" s="12">
        <f>IF(Raw_Data!X746&lt;&gt;"",Raw_Data!X746,Raw_Data!C746)</f>
        <v>0</v>
      </c>
      <c r="C743" s="12" t="str">
        <f>IF(Raw_Data!G746="","",Raw_Data!G746)</f>
        <v/>
      </c>
      <c r="D743" s="12" t="str">
        <f>IF(Raw_Data!H746="","",Raw_Data!H746)</f>
        <v/>
      </c>
      <c r="E743" s="12" t="str">
        <f>IF(Raw_Data!I746="","",Raw_Data!I746)</f>
        <v/>
      </c>
      <c r="F743" s="12" t="str">
        <f>IF(Raw_Data!J746="","",Raw_Data!J746)</f>
        <v/>
      </c>
      <c r="G743" s="12" t="str">
        <f>IF(Raw_Data!AH746&lt;&gt;"",Raw_Data!AH746,IF(Raw_Data!K746&lt;&gt;"",Raw_Data!K746,""))</f>
        <v/>
      </c>
      <c r="H743" s="12" t="str">
        <f>IF(Raw_Data!AI746&lt;&gt;"",Raw_Data!AI746,IF(Raw_Data!L746&lt;&gt;"",Raw_Data!L746,""))</f>
        <v/>
      </c>
      <c r="I743" s="12" t="str">
        <f t="shared" si="99"/>
        <v/>
      </c>
      <c r="J743" s="12" t="str">
        <f>IF(Raw_Data!M746="","",Raw_Data!M746)</f>
        <v/>
      </c>
      <c r="K743" s="12">
        <f>IF(Raw_Data!AJ746&lt;&gt;"",Raw_Data!AJ746,Raw_Data!N746)</f>
        <v>0</v>
      </c>
      <c r="L743" s="12">
        <f t="shared" si="100"/>
        <v>1</v>
      </c>
      <c r="M743" s="12" t="str">
        <f>IF(Raw_Data!AK746="","",Raw_Data!AK746)</f>
        <v/>
      </c>
      <c r="N743" s="12" t="str">
        <f>IF(Raw_Data!T746="","",Raw_Data!T746)</f>
        <v/>
      </c>
      <c r="O743" s="12" t="str">
        <f>IF(Raw_Data!AB746&lt;&gt;"",Raw_Data!AB746,IF(N743="tres_insatisfait",1,IF(N743="insatisfait",2,IF(N743="neutre",3,IF(N743="satisfait",4,IF(N743="tres_satisfait",5,""))))))</f>
        <v/>
      </c>
      <c r="P743" s="12">
        <f>IF(Raw_Data!AL746&lt;&gt;"",Raw_Data!AL746,Raw_Data!R746)</f>
        <v>0</v>
      </c>
      <c r="Q743" s="12">
        <f t="shared" si="101"/>
        <v>0</v>
      </c>
      <c r="R743" s="12" t="str">
        <f>IF(Raw_Data!AM746="","",Raw_Data!AM746)</f>
        <v/>
      </c>
      <c r="S743" s="12" t="str">
        <f t="shared" si="102"/>
        <v/>
      </c>
      <c r="T743" s="12" t="str">
        <f>IF(Raw_Data!AN746="","",Raw_Data!AN746)</f>
        <v/>
      </c>
      <c r="U743" s="12" t="str">
        <f t="shared" si="103"/>
        <v/>
      </c>
      <c r="V743" s="12" t="str">
        <f>IF(Raw_Data!AP746="","",IF(Raw_Data!AP746="oui",1,0))</f>
        <v/>
      </c>
      <c r="W743" s="12" t="str">
        <f>IF(Raw_Data!AQ746="","",IF(Raw_Data!AQ746="oui",1,0))</f>
        <v/>
      </c>
      <c r="X743" s="12" t="str">
        <f>IF(Raw_Data!AR746="","",IF(Raw_Data!AR746="oui",1,0))</f>
        <v/>
      </c>
      <c r="Y743" s="12" t="str">
        <f>IF(Raw_Data!AS746="","",IF(Raw_Data!AS746="oui",1,0))</f>
        <v/>
      </c>
      <c r="Z743" s="12" t="str">
        <f>IF(Raw_Data!V746="","",IF(Raw_Data!V746="oui",1,0))</f>
        <v/>
      </c>
      <c r="AA743" s="12" t="str">
        <f>IF(Raw_Data!W746="","",IF(Raw_Data!W746="oui",1,0))</f>
        <v/>
      </c>
      <c r="AB743" s="12" t="str">
        <f>IF(Raw_Data!Q746="","",IF(Raw_Data!Q746="oui",1,0))</f>
        <v/>
      </c>
      <c r="AC743" s="12">
        <f>Raw_Data!AF746</f>
        <v>0</v>
      </c>
      <c r="AD743" s="12" t="str">
        <f t="shared" si="104"/>
        <v/>
      </c>
      <c r="AE743" s="12" t="str">
        <f t="shared" si="105"/>
        <v/>
      </c>
      <c r="AF743" s="12" t="str">
        <f t="shared" si="106"/>
        <v/>
      </c>
      <c r="AG743" s="12">
        <f t="shared" si="107"/>
        <v>0</v>
      </c>
    </row>
    <row r="744" spans="1:33" ht="15" customHeight="1" x14ac:dyDescent="0.25">
      <c r="A744" s="12" t="str">
        <f>IF(Raw_Data!B747="","",Raw_Data!B747)</f>
        <v/>
      </c>
      <c r="B744" s="12">
        <f>IF(Raw_Data!X747&lt;&gt;"",Raw_Data!X747,Raw_Data!C747)</f>
        <v>0</v>
      </c>
      <c r="C744" s="12" t="str">
        <f>IF(Raw_Data!G747="","",Raw_Data!G747)</f>
        <v/>
      </c>
      <c r="D744" s="12" t="str">
        <f>IF(Raw_Data!H747="","",Raw_Data!H747)</f>
        <v/>
      </c>
      <c r="E744" s="12" t="str">
        <f>IF(Raw_Data!I747="","",Raw_Data!I747)</f>
        <v/>
      </c>
      <c r="F744" s="12" t="str">
        <f>IF(Raw_Data!J747="","",Raw_Data!J747)</f>
        <v/>
      </c>
      <c r="G744" s="12" t="str">
        <f>IF(Raw_Data!AH747&lt;&gt;"",Raw_Data!AH747,IF(Raw_Data!K747&lt;&gt;"",Raw_Data!K747,""))</f>
        <v/>
      </c>
      <c r="H744" s="12" t="str">
        <f>IF(Raw_Data!AI747&lt;&gt;"",Raw_Data!AI747,IF(Raw_Data!L747&lt;&gt;"",Raw_Data!L747,""))</f>
        <v/>
      </c>
      <c r="I744" s="12" t="str">
        <f t="shared" si="99"/>
        <v/>
      </c>
      <c r="J744" s="12" t="str">
        <f>IF(Raw_Data!M747="","",Raw_Data!M747)</f>
        <v/>
      </c>
      <c r="K744" s="12">
        <f>IF(Raw_Data!AJ747&lt;&gt;"",Raw_Data!AJ747,Raw_Data!N747)</f>
        <v>0</v>
      </c>
      <c r="L744" s="12">
        <f t="shared" si="100"/>
        <v>1</v>
      </c>
      <c r="M744" s="12" t="str">
        <f>IF(Raw_Data!AK747="","",Raw_Data!AK747)</f>
        <v/>
      </c>
      <c r="N744" s="12" t="str">
        <f>IF(Raw_Data!T747="","",Raw_Data!T747)</f>
        <v/>
      </c>
      <c r="O744" s="12" t="str">
        <f>IF(Raw_Data!AB747&lt;&gt;"",Raw_Data!AB747,IF(N744="tres_insatisfait",1,IF(N744="insatisfait",2,IF(N744="neutre",3,IF(N744="satisfait",4,IF(N744="tres_satisfait",5,""))))))</f>
        <v/>
      </c>
      <c r="P744" s="12">
        <f>IF(Raw_Data!AL747&lt;&gt;"",Raw_Data!AL747,Raw_Data!R747)</f>
        <v>0</v>
      </c>
      <c r="Q744" s="12">
        <f t="shared" si="101"/>
        <v>0</v>
      </c>
      <c r="R744" s="12" t="str">
        <f>IF(Raw_Data!AM747="","",Raw_Data!AM747)</f>
        <v/>
      </c>
      <c r="S744" s="12" t="str">
        <f t="shared" si="102"/>
        <v/>
      </c>
      <c r="T744" s="12" t="str">
        <f>IF(Raw_Data!AN747="","",Raw_Data!AN747)</f>
        <v/>
      </c>
      <c r="U744" s="12" t="str">
        <f t="shared" si="103"/>
        <v/>
      </c>
      <c r="V744" s="12" t="str">
        <f>IF(Raw_Data!AP747="","",IF(Raw_Data!AP747="oui",1,0))</f>
        <v/>
      </c>
      <c r="W744" s="12" t="str">
        <f>IF(Raw_Data!AQ747="","",IF(Raw_Data!AQ747="oui",1,0))</f>
        <v/>
      </c>
      <c r="X744" s="12" t="str">
        <f>IF(Raw_Data!AR747="","",IF(Raw_Data!AR747="oui",1,0))</f>
        <v/>
      </c>
      <c r="Y744" s="12" t="str">
        <f>IF(Raw_Data!AS747="","",IF(Raw_Data!AS747="oui",1,0))</f>
        <v/>
      </c>
      <c r="Z744" s="12" t="str">
        <f>IF(Raw_Data!V747="","",IF(Raw_Data!V747="oui",1,0))</f>
        <v/>
      </c>
      <c r="AA744" s="12" t="str">
        <f>IF(Raw_Data!W747="","",IF(Raw_Data!W747="oui",1,0))</f>
        <v/>
      </c>
      <c r="AB744" s="12" t="str">
        <f>IF(Raw_Data!Q747="","",IF(Raw_Data!Q747="oui",1,0))</f>
        <v/>
      </c>
      <c r="AC744" s="12">
        <f>Raw_Data!AF747</f>
        <v>0</v>
      </c>
      <c r="AD744" s="12" t="str">
        <f t="shared" si="104"/>
        <v/>
      </c>
      <c r="AE744" s="12" t="str">
        <f t="shared" si="105"/>
        <v/>
      </c>
      <c r="AF744" s="12" t="str">
        <f t="shared" si="106"/>
        <v/>
      </c>
      <c r="AG744" s="12">
        <f t="shared" si="107"/>
        <v>0</v>
      </c>
    </row>
    <row r="745" spans="1:33" ht="15" customHeight="1" x14ac:dyDescent="0.25">
      <c r="A745" s="12" t="str">
        <f>IF(Raw_Data!B748="","",Raw_Data!B748)</f>
        <v/>
      </c>
      <c r="B745" s="12">
        <f>IF(Raw_Data!X748&lt;&gt;"",Raw_Data!X748,Raw_Data!C748)</f>
        <v>0</v>
      </c>
      <c r="C745" s="12" t="str">
        <f>IF(Raw_Data!G748="","",Raw_Data!G748)</f>
        <v/>
      </c>
      <c r="D745" s="12" t="str">
        <f>IF(Raw_Data!H748="","",Raw_Data!H748)</f>
        <v/>
      </c>
      <c r="E745" s="12" t="str">
        <f>IF(Raw_Data!I748="","",Raw_Data!I748)</f>
        <v/>
      </c>
      <c r="F745" s="12" t="str">
        <f>IF(Raw_Data!J748="","",Raw_Data!J748)</f>
        <v/>
      </c>
      <c r="G745" s="12" t="str">
        <f>IF(Raw_Data!AH748&lt;&gt;"",Raw_Data!AH748,IF(Raw_Data!K748&lt;&gt;"",Raw_Data!K748,""))</f>
        <v/>
      </c>
      <c r="H745" s="12" t="str">
        <f>IF(Raw_Data!AI748&lt;&gt;"",Raw_Data!AI748,IF(Raw_Data!L748&lt;&gt;"",Raw_Data!L748,""))</f>
        <v/>
      </c>
      <c r="I745" s="12" t="str">
        <f t="shared" si="99"/>
        <v/>
      </c>
      <c r="J745" s="12" t="str">
        <f>IF(Raw_Data!M748="","",Raw_Data!M748)</f>
        <v/>
      </c>
      <c r="K745" s="12">
        <f>IF(Raw_Data!AJ748&lt;&gt;"",Raw_Data!AJ748,Raw_Data!N748)</f>
        <v>0</v>
      </c>
      <c r="L745" s="12">
        <f t="shared" si="100"/>
        <v>1</v>
      </c>
      <c r="M745" s="12" t="str">
        <f>IF(Raw_Data!AK748="","",Raw_Data!AK748)</f>
        <v/>
      </c>
      <c r="N745" s="12" t="str">
        <f>IF(Raw_Data!T748="","",Raw_Data!T748)</f>
        <v/>
      </c>
      <c r="O745" s="12" t="str">
        <f>IF(Raw_Data!AB748&lt;&gt;"",Raw_Data!AB748,IF(N745="tres_insatisfait",1,IF(N745="insatisfait",2,IF(N745="neutre",3,IF(N745="satisfait",4,IF(N745="tres_satisfait",5,""))))))</f>
        <v/>
      </c>
      <c r="P745" s="12">
        <f>IF(Raw_Data!AL748&lt;&gt;"",Raw_Data!AL748,Raw_Data!R748)</f>
        <v>0</v>
      </c>
      <c r="Q745" s="12">
        <f t="shared" si="101"/>
        <v>0</v>
      </c>
      <c r="R745" s="12" t="str">
        <f>IF(Raw_Data!AM748="","",Raw_Data!AM748)</f>
        <v/>
      </c>
      <c r="S745" s="12" t="str">
        <f t="shared" si="102"/>
        <v/>
      </c>
      <c r="T745" s="12" t="str">
        <f>IF(Raw_Data!AN748="","",Raw_Data!AN748)</f>
        <v/>
      </c>
      <c r="U745" s="12" t="str">
        <f t="shared" si="103"/>
        <v/>
      </c>
      <c r="V745" s="12" t="str">
        <f>IF(Raw_Data!AP748="","",IF(Raw_Data!AP748="oui",1,0))</f>
        <v/>
      </c>
      <c r="W745" s="12" t="str">
        <f>IF(Raw_Data!AQ748="","",IF(Raw_Data!AQ748="oui",1,0))</f>
        <v/>
      </c>
      <c r="X745" s="12" t="str">
        <f>IF(Raw_Data!AR748="","",IF(Raw_Data!AR748="oui",1,0))</f>
        <v/>
      </c>
      <c r="Y745" s="12" t="str">
        <f>IF(Raw_Data!AS748="","",IF(Raw_Data!AS748="oui",1,0))</f>
        <v/>
      </c>
      <c r="Z745" s="12" t="str">
        <f>IF(Raw_Data!V748="","",IF(Raw_Data!V748="oui",1,0))</f>
        <v/>
      </c>
      <c r="AA745" s="12" t="str">
        <f>IF(Raw_Data!W748="","",IF(Raw_Data!W748="oui",1,0))</f>
        <v/>
      </c>
      <c r="AB745" s="12" t="str">
        <f>IF(Raw_Data!Q748="","",IF(Raw_Data!Q748="oui",1,0))</f>
        <v/>
      </c>
      <c r="AC745" s="12">
        <f>Raw_Data!AF748</f>
        <v>0</v>
      </c>
      <c r="AD745" s="12" t="str">
        <f t="shared" si="104"/>
        <v/>
      </c>
      <c r="AE745" s="12" t="str">
        <f t="shared" si="105"/>
        <v/>
      </c>
      <c r="AF745" s="12" t="str">
        <f t="shared" si="106"/>
        <v/>
      </c>
      <c r="AG745" s="12">
        <f t="shared" si="107"/>
        <v>0</v>
      </c>
    </row>
    <row r="746" spans="1:33" ht="15" customHeight="1" x14ac:dyDescent="0.25">
      <c r="A746" s="12" t="str">
        <f>IF(Raw_Data!B749="","",Raw_Data!B749)</f>
        <v/>
      </c>
      <c r="B746" s="12">
        <f>IF(Raw_Data!X749&lt;&gt;"",Raw_Data!X749,Raw_Data!C749)</f>
        <v>0</v>
      </c>
      <c r="C746" s="12" t="str">
        <f>IF(Raw_Data!G749="","",Raw_Data!G749)</f>
        <v/>
      </c>
      <c r="D746" s="12" t="str">
        <f>IF(Raw_Data!H749="","",Raw_Data!H749)</f>
        <v/>
      </c>
      <c r="E746" s="12" t="str">
        <f>IF(Raw_Data!I749="","",Raw_Data!I749)</f>
        <v/>
      </c>
      <c r="F746" s="12" t="str">
        <f>IF(Raw_Data!J749="","",Raw_Data!J749)</f>
        <v/>
      </c>
      <c r="G746" s="12" t="str">
        <f>IF(Raw_Data!AH749&lt;&gt;"",Raw_Data!AH749,IF(Raw_Data!K749&lt;&gt;"",Raw_Data!K749,""))</f>
        <v/>
      </c>
      <c r="H746" s="12" t="str">
        <f>IF(Raw_Data!AI749&lt;&gt;"",Raw_Data!AI749,IF(Raw_Data!L749&lt;&gt;"",Raw_Data!L749,""))</f>
        <v/>
      </c>
      <c r="I746" s="12" t="str">
        <f t="shared" si="99"/>
        <v/>
      </c>
      <c r="J746" s="12" t="str">
        <f>IF(Raw_Data!M749="","",Raw_Data!M749)</f>
        <v/>
      </c>
      <c r="K746" s="12">
        <f>IF(Raw_Data!AJ749&lt;&gt;"",Raw_Data!AJ749,Raw_Data!N749)</f>
        <v>0</v>
      </c>
      <c r="L746" s="12">
        <f t="shared" si="100"/>
        <v>1</v>
      </c>
      <c r="M746" s="12" t="str">
        <f>IF(Raw_Data!AK749="","",Raw_Data!AK749)</f>
        <v/>
      </c>
      <c r="N746" s="12" t="str">
        <f>IF(Raw_Data!T749="","",Raw_Data!T749)</f>
        <v/>
      </c>
      <c r="O746" s="12" t="str">
        <f>IF(Raw_Data!AB749&lt;&gt;"",Raw_Data!AB749,IF(N746="tres_insatisfait",1,IF(N746="insatisfait",2,IF(N746="neutre",3,IF(N746="satisfait",4,IF(N746="tres_satisfait",5,""))))))</f>
        <v/>
      </c>
      <c r="P746" s="12">
        <f>IF(Raw_Data!AL749&lt;&gt;"",Raw_Data!AL749,Raw_Data!R749)</f>
        <v>0</v>
      </c>
      <c r="Q746" s="12">
        <f t="shared" si="101"/>
        <v>0</v>
      </c>
      <c r="R746" s="12" t="str">
        <f>IF(Raw_Data!AM749="","",Raw_Data!AM749)</f>
        <v/>
      </c>
      <c r="S746" s="12" t="str">
        <f t="shared" si="102"/>
        <v/>
      </c>
      <c r="T746" s="12" t="str">
        <f>IF(Raw_Data!AN749="","",Raw_Data!AN749)</f>
        <v/>
      </c>
      <c r="U746" s="12" t="str">
        <f t="shared" si="103"/>
        <v/>
      </c>
      <c r="V746" s="12" t="str">
        <f>IF(Raw_Data!AP749="","",IF(Raw_Data!AP749="oui",1,0))</f>
        <v/>
      </c>
      <c r="W746" s="12" t="str">
        <f>IF(Raw_Data!AQ749="","",IF(Raw_Data!AQ749="oui",1,0))</f>
        <v/>
      </c>
      <c r="X746" s="12" t="str">
        <f>IF(Raw_Data!AR749="","",IF(Raw_Data!AR749="oui",1,0))</f>
        <v/>
      </c>
      <c r="Y746" s="12" t="str">
        <f>IF(Raw_Data!AS749="","",IF(Raw_Data!AS749="oui",1,0))</f>
        <v/>
      </c>
      <c r="Z746" s="12" t="str">
        <f>IF(Raw_Data!V749="","",IF(Raw_Data!V749="oui",1,0))</f>
        <v/>
      </c>
      <c r="AA746" s="12" t="str">
        <f>IF(Raw_Data!W749="","",IF(Raw_Data!W749="oui",1,0))</f>
        <v/>
      </c>
      <c r="AB746" s="12" t="str">
        <f>IF(Raw_Data!Q749="","",IF(Raw_Data!Q749="oui",1,0))</f>
        <v/>
      </c>
      <c r="AC746" s="12">
        <f>Raw_Data!AF749</f>
        <v>0</v>
      </c>
      <c r="AD746" s="12" t="str">
        <f t="shared" si="104"/>
        <v/>
      </c>
      <c r="AE746" s="12" t="str">
        <f t="shared" si="105"/>
        <v/>
      </c>
      <c r="AF746" s="12" t="str">
        <f t="shared" si="106"/>
        <v/>
      </c>
      <c r="AG746" s="12">
        <f t="shared" si="107"/>
        <v>0</v>
      </c>
    </row>
    <row r="747" spans="1:33" ht="15" customHeight="1" x14ac:dyDescent="0.25">
      <c r="A747" s="12" t="str">
        <f>IF(Raw_Data!B750="","",Raw_Data!B750)</f>
        <v/>
      </c>
      <c r="B747" s="12">
        <f>IF(Raw_Data!X750&lt;&gt;"",Raw_Data!X750,Raw_Data!C750)</f>
        <v>0</v>
      </c>
      <c r="C747" s="12" t="str">
        <f>IF(Raw_Data!G750="","",Raw_Data!G750)</f>
        <v/>
      </c>
      <c r="D747" s="12" t="str">
        <f>IF(Raw_Data!H750="","",Raw_Data!H750)</f>
        <v/>
      </c>
      <c r="E747" s="12" t="str">
        <f>IF(Raw_Data!I750="","",Raw_Data!I750)</f>
        <v/>
      </c>
      <c r="F747" s="12" t="str">
        <f>IF(Raw_Data!J750="","",Raw_Data!J750)</f>
        <v/>
      </c>
      <c r="G747" s="12" t="str">
        <f>IF(Raw_Data!AH750&lt;&gt;"",Raw_Data!AH750,IF(Raw_Data!K750&lt;&gt;"",Raw_Data!K750,""))</f>
        <v/>
      </c>
      <c r="H747" s="12" t="str">
        <f>IF(Raw_Data!AI750&lt;&gt;"",Raw_Data!AI750,IF(Raw_Data!L750&lt;&gt;"",Raw_Data!L750,""))</f>
        <v/>
      </c>
      <c r="I747" s="12" t="str">
        <f t="shared" si="99"/>
        <v/>
      </c>
      <c r="J747" s="12" t="str">
        <f>IF(Raw_Data!M750="","",Raw_Data!M750)</f>
        <v/>
      </c>
      <c r="K747" s="12">
        <f>IF(Raw_Data!AJ750&lt;&gt;"",Raw_Data!AJ750,Raw_Data!N750)</f>
        <v>0</v>
      </c>
      <c r="L747" s="12">
        <f t="shared" si="100"/>
        <v>1</v>
      </c>
      <c r="M747" s="12" t="str">
        <f>IF(Raw_Data!AK750="","",Raw_Data!AK750)</f>
        <v/>
      </c>
      <c r="N747" s="12" t="str">
        <f>IF(Raw_Data!T750="","",Raw_Data!T750)</f>
        <v/>
      </c>
      <c r="O747" s="12" t="str">
        <f>IF(Raw_Data!AB750&lt;&gt;"",Raw_Data!AB750,IF(N747="tres_insatisfait",1,IF(N747="insatisfait",2,IF(N747="neutre",3,IF(N747="satisfait",4,IF(N747="tres_satisfait",5,""))))))</f>
        <v/>
      </c>
      <c r="P747" s="12">
        <f>IF(Raw_Data!AL750&lt;&gt;"",Raw_Data!AL750,Raw_Data!R750)</f>
        <v>0</v>
      </c>
      <c r="Q747" s="12">
        <f t="shared" si="101"/>
        <v>0</v>
      </c>
      <c r="R747" s="12" t="str">
        <f>IF(Raw_Data!AM750="","",Raw_Data!AM750)</f>
        <v/>
      </c>
      <c r="S747" s="12" t="str">
        <f t="shared" si="102"/>
        <v/>
      </c>
      <c r="T747" s="12" t="str">
        <f>IF(Raw_Data!AN750="","",Raw_Data!AN750)</f>
        <v/>
      </c>
      <c r="U747" s="12" t="str">
        <f t="shared" si="103"/>
        <v/>
      </c>
      <c r="V747" s="12" t="str">
        <f>IF(Raw_Data!AP750="","",IF(Raw_Data!AP750="oui",1,0))</f>
        <v/>
      </c>
      <c r="W747" s="12" t="str">
        <f>IF(Raw_Data!AQ750="","",IF(Raw_Data!AQ750="oui",1,0))</f>
        <v/>
      </c>
      <c r="X747" s="12" t="str">
        <f>IF(Raw_Data!AR750="","",IF(Raw_Data!AR750="oui",1,0))</f>
        <v/>
      </c>
      <c r="Y747" s="12" t="str">
        <f>IF(Raw_Data!AS750="","",IF(Raw_Data!AS750="oui",1,0))</f>
        <v/>
      </c>
      <c r="Z747" s="12" t="str">
        <f>IF(Raw_Data!V750="","",IF(Raw_Data!V750="oui",1,0))</f>
        <v/>
      </c>
      <c r="AA747" s="12" t="str">
        <f>IF(Raw_Data!W750="","",IF(Raw_Data!W750="oui",1,0))</f>
        <v/>
      </c>
      <c r="AB747" s="12" t="str">
        <f>IF(Raw_Data!Q750="","",IF(Raw_Data!Q750="oui",1,0))</f>
        <v/>
      </c>
      <c r="AC747" s="12">
        <f>Raw_Data!AF750</f>
        <v>0</v>
      </c>
      <c r="AD747" s="12" t="str">
        <f t="shared" si="104"/>
        <v/>
      </c>
      <c r="AE747" s="12" t="str">
        <f t="shared" si="105"/>
        <v/>
      </c>
      <c r="AF747" s="12" t="str">
        <f t="shared" si="106"/>
        <v/>
      </c>
      <c r="AG747" s="12">
        <f t="shared" si="107"/>
        <v>0</v>
      </c>
    </row>
    <row r="748" spans="1:33" ht="15" customHeight="1" x14ac:dyDescent="0.25">
      <c r="A748" s="12" t="str">
        <f>IF(Raw_Data!B751="","",Raw_Data!B751)</f>
        <v/>
      </c>
      <c r="B748" s="12">
        <f>IF(Raw_Data!X751&lt;&gt;"",Raw_Data!X751,Raw_Data!C751)</f>
        <v>0</v>
      </c>
      <c r="C748" s="12" t="str">
        <f>IF(Raw_Data!G751="","",Raw_Data!G751)</f>
        <v/>
      </c>
      <c r="D748" s="12" t="str">
        <f>IF(Raw_Data!H751="","",Raw_Data!H751)</f>
        <v/>
      </c>
      <c r="E748" s="12" t="str">
        <f>IF(Raw_Data!I751="","",Raw_Data!I751)</f>
        <v/>
      </c>
      <c r="F748" s="12" t="str">
        <f>IF(Raw_Data!J751="","",Raw_Data!J751)</f>
        <v/>
      </c>
      <c r="G748" s="12" t="str">
        <f>IF(Raw_Data!AH751&lt;&gt;"",Raw_Data!AH751,IF(Raw_Data!K751&lt;&gt;"",Raw_Data!K751,""))</f>
        <v/>
      </c>
      <c r="H748" s="12" t="str">
        <f>IF(Raw_Data!AI751&lt;&gt;"",Raw_Data!AI751,IF(Raw_Data!L751&lt;&gt;"",Raw_Data!L751,""))</f>
        <v/>
      </c>
      <c r="I748" s="12" t="str">
        <f t="shared" si="99"/>
        <v/>
      </c>
      <c r="J748" s="12" t="str">
        <f>IF(Raw_Data!M751="","",Raw_Data!M751)</f>
        <v/>
      </c>
      <c r="K748" s="12">
        <f>IF(Raw_Data!AJ751&lt;&gt;"",Raw_Data!AJ751,Raw_Data!N751)</f>
        <v>0</v>
      </c>
      <c r="L748" s="12">
        <f t="shared" si="100"/>
        <v>1</v>
      </c>
      <c r="M748" s="12" t="str">
        <f>IF(Raw_Data!AK751="","",Raw_Data!AK751)</f>
        <v/>
      </c>
      <c r="N748" s="12" t="str">
        <f>IF(Raw_Data!T751="","",Raw_Data!T751)</f>
        <v/>
      </c>
      <c r="O748" s="12" t="str">
        <f>IF(Raw_Data!AB751&lt;&gt;"",Raw_Data!AB751,IF(N748="tres_insatisfait",1,IF(N748="insatisfait",2,IF(N748="neutre",3,IF(N748="satisfait",4,IF(N748="tres_satisfait",5,""))))))</f>
        <v/>
      </c>
      <c r="P748" s="12">
        <f>IF(Raw_Data!AL751&lt;&gt;"",Raw_Data!AL751,Raw_Data!R751)</f>
        <v>0</v>
      </c>
      <c r="Q748" s="12">
        <f t="shared" si="101"/>
        <v>0</v>
      </c>
      <c r="R748" s="12" t="str">
        <f>IF(Raw_Data!AM751="","",Raw_Data!AM751)</f>
        <v/>
      </c>
      <c r="S748" s="12" t="str">
        <f t="shared" si="102"/>
        <v/>
      </c>
      <c r="T748" s="12" t="str">
        <f>IF(Raw_Data!AN751="","",Raw_Data!AN751)</f>
        <v/>
      </c>
      <c r="U748" s="12" t="str">
        <f t="shared" si="103"/>
        <v/>
      </c>
      <c r="V748" s="12" t="str">
        <f>IF(Raw_Data!AP751="","",IF(Raw_Data!AP751="oui",1,0))</f>
        <v/>
      </c>
      <c r="W748" s="12" t="str">
        <f>IF(Raw_Data!AQ751="","",IF(Raw_Data!AQ751="oui",1,0))</f>
        <v/>
      </c>
      <c r="X748" s="12" t="str">
        <f>IF(Raw_Data!AR751="","",IF(Raw_Data!AR751="oui",1,0))</f>
        <v/>
      </c>
      <c r="Y748" s="12" t="str">
        <f>IF(Raw_Data!AS751="","",IF(Raw_Data!AS751="oui",1,0))</f>
        <v/>
      </c>
      <c r="Z748" s="12" t="str">
        <f>IF(Raw_Data!V751="","",IF(Raw_Data!V751="oui",1,0))</f>
        <v/>
      </c>
      <c r="AA748" s="12" t="str">
        <f>IF(Raw_Data!W751="","",IF(Raw_Data!W751="oui",1,0))</f>
        <v/>
      </c>
      <c r="AB748" s="12" t="str">
        <f>IF(Raw_Data!Q751="","",IF(Raw_Data!Q751="oui",1,0))</f>
        <v/>
      </c>
      <c r="AC748" s="12">
        <f>Raw_Data!AF751</f>
        <v>0</v>
      </c>
      <c r="AD748" s="12" t="str">
        <f t="shared" si="104"/>
        <v/>
      </c>
      <c r="AE748" s="12" t="str">
        <f t="shared" si="105"/>
        <v/>
      </c>
      <c r="AF748" s="12" t="str">
        <f t="shared" si="106"/>
        <v/>
      </c>
      <c r="AG748" s="12">
        <f t="shared" si="107"/>
        <v>0</v>
      </c>
    </row>
    <row r="749" spans="1:33" ht="15" customHeight="1" x14ac:dyDescent="0.25">
      <c r="A749" s="12" t="str">
        <f>IF(Raw_Data!B752="","",Raw_Data!B752)</f>
        <v/>
      </c>
      <c r="B749" s="12">
        <f>IF(Raw_Data!X752&lt;&gt;"",Raw_Data!X752,Raw_Data!C752)</f>
        <v>0</v>
      </c>
      <c r="C749" s="12" t="str">
        <f>IF(Raw_Data!G752="","",Raw_Data!G752)</f>
        <v/>
      </c>
      <c r="D749" s="12" t="str">
        <f>IF(Raw_Data!H752="","",Raw_Data!H752)</f>
        <v/>
      </c>
      <c r="E749" s="12" t="str">
        <f>IF(Raw_Data!I752="","",Raw_Data!I752)</f>
        <v/>
      </c>
      <c r="F749" s="12" t="str">
        <f>IF(Raw_Data!J752="","",Raw_Data!J752)</f>
        <v/>
      </c>
      <c r="G749" s="12" t="str">
        <f>IF(Raw_Data!AH752&lt;&gt;"",Raw_Data!AH752,IF(Raw_Data!K752&lt;&gt;"",Raw_Data!K752,""))</f>
        <v/>
      </c>
      <c r="H749" s="12" t="str">
        <f>IF(Raw_Data!AI752&lt;&gt;"",Raw_Data!AI752,IF(Raw_Data!L752&lt;&gt;"",Raw_Data!L752,""))</f>
        <v/>
      </c>
      <c r="I749" s="12" t="str">
        <f t="shared" si="99"/>
        <v/>
      </c>
      <c r="J749" s="12" t="str">
        <f>IF(Raw_Data!M752="","",Raw_Data!M752)</f>
        <v/>
      </c>
      <c r="K749" s="12">
        <f>IF(Raw_Data!AJ752&lt;&gt;"",Raw_Data!AJ752,Raw_Data!N752)</f>
        <v>0</v>
      </c>
      <c r="L749" s="12">
        <f t="shared" si="100"/>
        <v>1</v>
      </c>
      <c r="M749" s="12" t="str">
        <f>IF(Raw_Data!AK752="","",Raw_Data!AK752)</f>
        <v/>
      </c>
      <c r="N749" s="12" t="str">
        <f>IF(Raw_Data!T752="","",Raw_Data!T752)</f>
        <v/>
      </c>
      <c r="O749" s="12" t="str">
        <f>IF(Raw_Data!AB752&lt;&gt;"",Raw_Data!AB752,IF(N749="tres_insatisfait",1,IF(N749="insatisfait",2,IF(N749="neutre",3,IF(N749="satisfait",4,IF(N749="tres_satisfait",5,""))))))</f>
        <v/>
      </c>
      <c r="P749" s="12">
        <f>IF(Raw_Data!AL752&lt;&gt;"",Raw_Data!AL752,Raw_Data!R752)</f>
        <v>0</v>
      </c>
      <c r="Q749" s="12">
        <f t="shared" si="101"/>
        <v>0</v>
      </c>
      <c r="R749" s="12" t="str">
        <f>IF(Raw_Data!AM752="","",Raw_Data!AM752)</f>
        <v/>
      </c>
      <c r="S749" s="12" t="str">
        <f t="shared" si="102"/>
        <v/>
      </c>
      <c r="T749" s="12" t="str">
        <f>IF(Raw_Data!AN752="","",Raw_Data!AN752)</f>
        <v/>
      </c>
      <c r="U749" s="12" t="str">
        <f t="shared" si="103"/>
        <v/>
      </c>
      <c r="V749" s="12" t="str">
        <f>IF(Raw_Data!AP752="","",IF(Raw_Data!AP752="oui",1,0))</f>
        <v/>
      </c>
      <c r="W749" s="12" t="str">
        <f>IF(Raw_Data!AQ752="","",IF(Raw_Data!AQ752="oui",1,0))</f>
        <v/>
      </c>
      <c r="X749" s="12" t="str">
        <f>IF(Raw_Data!AR752="","",IF(Raw_Data!AR752="oui",1,0))</f>
        <v/>
      </c>
      <c r="Y749" s="12" t="str">
        <f>IF(Raw_Data!AS752="","",IF(Raw_Data!AS752="oui",1,0))</f>
        <v/>
      </c>
      <c r="Z749" s="12" t="str">
        <f>IF(Raw_Data!V752="","",IF(Raw_Data!V752="oui",1,0))</f>
        <v/>
      </c>
      <c r="AA749" s="12" t="str">
        <f>IF(Raw_Data!W752="","",IF(Raw_Data!W752="oui",1,0))</f>
        <v/>
      </c>
      <c r="AB749" s="12" t="str">
        <f>IF(Raw_Data!Q752="","",IF(Raw_Data!Q752="oui",1,0))</f>
        <v/>
      </c>
      <c r="AC749" s="12">
        <f>Raw_Data!AF752</f>
        <v>0</v>
      </c>
      <c r="AD749" s="12" t="str">
        <f t="shared" si="104"/>
        <v/>
      </c>
      <c r="AE749" s="12" t="str">
        <f t="shared" si="105"/>
        <v/>
      </c>
      <c r="AF749" s="12" t="str">
        <f t="shared" si="106"/>
        <v/>
      </c>
      <c r="AG749" s="12">
        <f t="shared" si="107"/>
        <v>0</v>
      </c>
    </row>
    <row r="750" spans="1:33" ht="15" customHeight="1" x14ac:dyDescent="0.25">
      <c r="A750" s="12" t="str">
        <f>IF(Raw_Data!B753="","",Raw_Data!B753)</f>
        <v/>
      </c>
      <c r="B750" s="12">
        <f>IF(Raw_Data!X753&lt;&gt;"",Raw_Data!X753,Raw_Data!C753)</f>
        <v>0</v>
      </c>
      <c r="C750" s="12" t="str">
        <f>IF(Raw_Data!G753="","",Raw_Data!G753)</f>
        <v/>
      </c>
      <c r="D750" s="12" t="str">
        <f>IF(Raw_Data!H753="","",Raw_Data!H753)</f>
        <v/>
      </c>
      <c r="E750" s="12" t="str">
        <f>IF(Raw_Data!I753="","",Raw_Data!I753)</f>
        <v/>
      </c>
      <c r="F750" s="12" t="str">
        <f>IF(Raw_Data!J753="","",Raw_Data!J753)</f>
        <v/>
      </c>
      <c r="G750" s="12" t="str">
        <f>IF(Raw_Data!AH753&lt;&gt;"",Raw_Data!AH753,IF(Raw_Data!K753&lt;&gt;"",Raw_Data!K753,""))</f>
        <v/>
      </c>
      <c r="H750" s="12" t="str">
        <f>IF(Raw_Data!AI753&lt;&gt;"",Raw_Data!AI753,IF(Raw_Data!L753&lt;&gt;"",Raw_Data!L753,""))</f>
        <v/>
      </c>
      <c r="I750" s="12" t="str">
        <f t="shared" si="99"/>
        <v/>
      </c>
      <c r="J750" s="12" t="str">
        <f>IF(Raw_Data!M753="","",Raw_Data!M753)</f>
        <v/>
      </c>
      <c r="K750" s="12">
        <f>IF(Raw_Data!AJ753&lt;&gt;"",Raw_Data!AJ753,Raw_Data!N753)</f>
        <v>0</v>
      </c>
      <c r="L750" s="12">
        <f t="shared" si="100"/>
        <v>1</v>
      </c>
      <c r="M750" s="12" t="str">
        <f>IF(Raw_Data!AK753="","",Raw_Data!AK753)</f>
        <v/>
      </c>
      <c r="N750" s="12" t="str">
        <f>IF(Raw_Data!T753="","",Raw_Data!T753)</f>
        <v/>
      </c>
      <c r="O750" s="12" t="str">
        <f>IF(Raw_Data!AB753&lt;&gt;"",Raw_Data!AB753,IF(N750="tres_insatisfait",1,IF(N750="insatisfait",2,IF(N750="neutre",3,IF(N750="satisfait",4,IF(N750="tres_satisfait",5,""))))))</f>
        <v/>
      </c>
      <c r="P750" s="12">
        <f>IF(Raw_Data!AL753&lt;&gt;"",Raw_Data!AL753,Raw_Data!R753)</f>
        <v>0</v>
      </c>
      <c r="Q750" s="12">
        <f t="shared" si="101"/>
        <v>0</v>
      </c>
      <c r="R750" s="12" t="str">
        <f>IF(Raw_Data!AM753="","",Raw_Data!AM753)</f>
        <v/>
      </c>
      <c r="S750" s="12" t="str">
        <f t="shared" si="102"/>
        <v/>
      </c>
      <c r="T750" s="12" t="str">
        <f>IF(Raw_Data!AN753="","",Raw_Data!AN753)</f>
        <v/>
      </c>
      <c r="U750" s="12" t="str">
        <f t="shared" si="103"/>
        <v/>
      </c>
      <c r="V750" s="12" t="str">
        <f>IF(Raw_Data!AP753="","",IF(Raw_Data!AP753="oui",1,0))</f>
        <v/>
      </c>
      <c r="W750" s="12" t="str">
        <f>IF(Raw_Data!AQ753="","",IF(Raw_Data!AQ753="oui",1,0))</f>
        <v/>
      </c>
      <c r="X750" s="12" t="str">
        <f>IF(Raw_Data!AR753="","",IF(Raw_Data!AR753="oui",1,0))</f>
        <v/>
      </c>
      <c r="Y750" s="12" t="str">
        <f>IF(Raw_Data!AS753="","",IF(Raw_Data!AS753="oui",1,0))</f>
        <v/>
      </c>
      <c r="Z750" s="12" t="str">
        <f>IF(Raw_Data!V753="","",IF(Raw_Data!V753="oui",1,0))</f>
        <v/>
      </c>
      <c r="AA750" s="12" t="str">
        <f>IF(Raw_Data!W753="","",IF(Raw_Data!W753="oui",1,0))</f>
        <v/>
      </c>
      <c r="AB750" s="12" t="str">
        <f>IF(Raw_Data!Q753="","",IF(Raw_Data!Q753="oui",1,0))</f>
        <v/>
      </c>
      <c r="AC750" s="12">
        <f>Raw_Data!AF753</f>
        <v>0</v>
      </c>
      <c r="AD750" s="12" t="str">
        <f t="shared" si="104"/>
        <v/>
      </c>
      <c r="AE750" s="12" t="str">
        <f t="shared" si="105"/>
        <v/>
      </c>
      <c r="AF750" s="12" t="str">
        <f t="shared" si="106"/>
        <v/>
      </c>
      <c r="AG750" s="12">
        <f t="shared" si="107"/>
        <v>0</v>
      </c>
    </row>
    <row r="751" spans="1:33" ht="15" customHeight="1" x14ac:dyDescent="0.25">
      <c r="A751" s="12" t="str">
        <f>IF(Raw_Data!B754="","",Raw_Data!B754)</f>
        <v/>
      </c>
      <c r="B751" s="12">
        <f>IF(Raw_Data!X754&lt;&gt;"",Raw_Data!X754,Raw_Data!C754)</f>
        <v>0</v>
      </c>
      <c r="C751" s="12" t="str">
        <f>IF(Raw_Data!G754="","",Raw_Data!G754)</f>
        <v/>
      </c>
      <c r="D751" s="12" t="str">
        <f>IF(Raw_Data!H754="","",Raw_Data!H754)</f>
        <v/>
      </c>
      <c r="E751" s="12" t="str">
        <f>IF(Raw_Data!I754="","",Raw_Data!I754)</f>
        <v/>
      </c>
      <c r="F751" s="12" t="str">
        <f>IF(Raw_Data!J754="","",Raw_Data!J754)</f>
        <v/>
      </c>
      <c r="G751" s="12" t="str">
        <f>IF(Raw_Data!AH754&lt;&gt;"",Raw_Data!AH754,IF(Raw_Data!K754&lt;&gt;"",Raw_Data!K754,""))</f>
        <v/>
      </c>
      <c r="H751" s="12" t="str">
        <f>IF(Raw_Data!AI754&lt;&gt;"",Raw_Data!AI754,IF(Raw_Data!L754&lt;&gt;"",Raw_Data!L754,""))</f>
        <v/>
      </c>
      <c r="I751" s="12" t="str">
        <f t="shared" si="99"/>
        <v/>
      </c>
      <c r="J751" s="12" t="str">
        <f>IF(Raw_Data!M754="","",Raw_Data!M754)</f>
        <v/>
      </c>
      <c r="K751" s="12">
        <f>IF(Raw_Data!AJ754&lt;&gt;"",Raw_Data!AJ754,Raw_Data!N754)</f>
        <v>0</v>
      </c>
      <c r="L751" s="12">
        <f t="shared" si="100"/>
        <v>1</v>
      </c>
      <c r="M751" s="12" t="str">
        <f>IF(Raw_Data!AK754="","",Raw_Data!AK754)</f>
        <v/>
      </c>
      <c r="N751" s="12" t="str">
        <f>IF(Raw_Data!T754="","",Raw_Data!T754)</f>
        <v/>
      </c>
      <c r="O751" s="12" t="str">
        <f>IF(Raw_Data!AB754&lt;&gt;"",Raw_Data!AB754,IF(N751="tres_insatisfait",1,IF(N751="insatisfait",2,IF(N751="neutre",3,IF(N751="satisfait",4,IF(N751="tres_satisfait",5,""))))))</f>
        <v/>
      </c>
      <c r="P751" s="12">
        <f>IF(Raw_Data!AL754&lt;&gt;"",Raw_Data!AL754,Raw_Data!R754)</f>
        <v>0</v>
      </c>
      <c r="Q751" s="12">
        <f t="shared" si="101"/>
        <v>0</v>
      </c>
      <c r="R751" s="12" t="str">
        <f>IF(Raw_Data!AM754="","",Raw_Data!AM754)</f>
        <v/>
      </c>
      <c r="S751" s="12" t="str">
        <f t="shared" si="102"/>
        <v/>
      </c>
      <c r="T751" s="12" t="str">
        <f>IF(Raw_Data!AN754="","",Raw_Data!AN754)</f>
        <v/>
      </c>
      <c r="U751" s="12" t="str">
        <f t="shared" si="103"/>
        <v/>
      </c>
      <c r="V751" s="12" t="str">
        <f>IF(Raw_Data!AP754="","",IF(Raw_Data!AP754="oui",1,0))</f>
        <v/>
      </c>
      <c r="W751" s="12" t="str">
        <f>IF(Raw_Data!AQ754="","",IF(Raw_Data!AQ754="oui",1,0))</f>
        <v/>
      </c>
      <c r="X751" s="12" t="str">
        <f>IF(Raw_Data!AR754="","",IF(Raw_Data!AR754="oui",1,0))</f>
        <v/>
      </c>
      <c r="Y751" s="12" t="str">
        <f>IF(Raw_Data!AS754="","",IF(Raw_Data!AS754="oui",1,0))</f>
        <v/>
      </c>
      <c r="Z751" s="12" t="str">
        <f>IF(Raw_Data!V754="","",IF(Raw_Data!V754="oui",1,0))</f>
        <v/>
      </c>
      <c r="AA751" s="12" t="str">
        <f>IF(Raw_Data!W754="","",IF(Raw_Data!W754="oui",1,0))</f>
        <v/>
      </c>
      <c r="AB751" s="12" t="str">
        <f>IF(Raw_Data!Q754="","",IF(Raw_Data!Q754="oui",1,0))</f>
        <v/>
      </c>
      <c r="AC751" s="12">
        <f>Raw_Data!AF754</f>
        <v>0</v>
      </c>
      <c r="AD751" s="12" t="str">
        <f t="shared" si="104"/>
        <v/>
      </c>
      <c r="AE751" s="12" t="str">
        <f t="shared" si="105"/>
        <v/>
      </c>
      <c r="AF751" s="12" t="str">
        <f t="shared" si="106"/>
        <v/>
      </c>
      <c r="AG751" s="12">
        <f t="shared" si="107"/>
        <v>0</v>
      </c>
    </row>
    <row r="752" spans="1:33" ht="15" customHeight="1" x14ac:dyDescent="0.25">
      <c r="A752" s="12" t="str">
        <f>IF(Raw_Data!B755="","",Raw_Data!B755)</f>
        <v/>
      </c>
      <c r="B752" s="12">
        <f>IF(Raw_Data!X755&lt;&gt;"",Raw_Data!X755,Raw_Data!C755)</f>
        <v>0</v>
      </c>
      <c r="C752" s="12" t="str">
        <f>IF(Raw_Data!G755="","",Raw_Data!G755)</f>
        <v/>
      </c>
      <c r="D752" s="12" t="str">
        <f>IF(Raw_Data!H755="","",Raw_Data!H755)</f>
        <v/>
      </c>
      <c r="E752" s="12" t="str">
        <f>IF(Raw_Data!I755="","",Raw_Data!I755)</f>
        <v/>
      </c>
      <c r="F752" s="12" t="str">
        <f>IF(Raw_Data!J755="","",Raw_Data!J755)</f>
        <v/>
      </c>
      <c r="G752" s="12" t="str">
        <f>IF(Raw_Data!AH755&lt;&gt;"",Raw_Data!AH755,IF(Raw_Data!K755&lt;&gt;"",Raw_Data!K755,""))</f>
        <v/>
      </c>
      <c r="H752" s="12" t="str">
        <f>IF(Raw_Data!AI755&lt;&gt;"",Raw_Data!AI755,IF(Raw_Data!L755&lt;&gt;"",Raw_Data!L755,""))</f>
        <v/>
      </c>
      <c r="I752" s="12" t="str">
        <f t="shared" si="99"/>
        <v/>
      </c>
      <c r="J752" s="12" t="str">
        <f>IF(Raw_Data!M755="","",Raw_Data!M755)</f>
        <v/>
      </c>
      <c r="K752" s="12">
        <f>IF(Raw_Data!AJ755&lt;&gt;"",Raw_Data!AJ755,Raw_Data!N755)</f>
        <v>0</v>
      </c>
      <c r="L752" s="12">
        <f t="shared" si="100"/>
        <v>1</v>
      </c>
      <c r="M752" s="12" t="str">
        <f>IF(Raw_Data!AK755="","",Raw_Data!AK755)</f>
        <v/>
      </c>
      <c r="N752" s="12" t="str">
        <f>IF(Raw_Data!T755="","",Raw_Data!T755)</f>
        <v/>
      </c>
      <c r="O752" s="12" t="str">
        <f>IF(Raw_Data!AB755&lt;&gt;"",Raw_Data!AB755,IF(N752="tres_insatisfait",1,IF(N752="insatisfait",2,IF(N752="neutre",3,IF(N752="satisfait",4,IF(N752="tres_satisfait",5,""))))))</f>
        <v/>
      </c>
      <c r="P752" s="12">
        <f>IF(Raw_Data!AL755&lt;&gt;"",Raw_Data!AL755,Raw_Data!R755)</f>
        <v>0</v>
      </c>
      <c r="Q752" s="12">
        <f t="shared" si="101"/>
        <v>0</v>
      </c>
      <c r="R752" s="12" t="str">
        <f>IF(Raw_Data!AM755="","",Raw_Data!AM755)</f>
        <v/>
      </c>
      <c r="S752" s="12" t="str">
        <f t="shared" si="102"/>
        <v/>
      </c>
      <c r="T752" s="12" t="str">
        <f>IF(Raw_Data!AN755="","",Raw_Data!AN755)</f>
        <v/>
      </c>
      <c r="U752" s="12" t="str">
        <f t="shared" si="103"/>
        <v/>
      </c>
      <c r="V752" s="12" t="str">
        <f>IF(Raw_Data!AP755="","",IF(Raw_Data!AP755="oui",1,0))</f>
        <v/>
      </c>
      <c r="W752" s="12" t="str">
        <f>IF(Raw_Data!AQ755="","",IF(Raw_Data!AQ755="oui",1,0))</f>
        <v/>
      </c>
      <c r="X752" s="12" t="str">
        <f>IF(Raw_Data!AR755="","",IF(Raw_Data!AR755="oui",1,0))</f>
        <v/>
      </c>
      <c r="Y752" s="12" t="str">
        <f>IF(Raw_Data!AS755="","",IF(Raw_Data!AS755="oui",1,0))</f>
        <v/>
      </c>
      <c r="Z752" s="12" t="str">
        <f>IF(Raw_Data!V755="","",IF(Raw_Data!V755="oui",1,0))</f>
        <v/>
      </c>
      <c r="AA752" s="12" t="str">
        <f>IF(Raw_Data!W755="","",IF(Raw_Data!W755="oui",1,0))</f>
        <v/>
      </c>
      <c r="AB752" s="12" t="str">
        <f>IF(Raw_Data!Q755="","",IF(Raw_Data!Q755="oui",1,0))</f>
        <v/>
      </c>
      <c r="AC752" s="12">
        <f>Raw_Data!AF755</f>
        <v>0</v>
      </c>
      <c r="AD752" s="12" t="str">
        <f t="shared" si="104"/>
        <v/>
      </c>
      <c r="AE752" s="12" t="str">
        <f t="shared" si="105"/>
        <v/>
      </c>
      <c r="AF752" s="12" t="str">
        <f t="shared" si="106"/>
        <v/>
      </c>
      <c r="AG752" s="12">
        <f t="shared" si="107"/>
        <v>0</v>
      </c>
    </row>
    <row r="753" spans="1:33" ht="15" customHeight="1" x14ac:dyDescent="0.25">
      <c r="A753" s="12" t="str">
        <f>IF(Raw_Data!B756="","",Raw_Data!B756)</f>
        <v/>
      </c>
      <c r="B753" s="12">
        <f>IF(Raw_Data!X756&lt;&gt;"",Raw_Data!X756,Raw_Data!C756)</f>
        <v>0</v>
      </c>
      <c r="C753" s="12" t="str">
        <f>IF(Raw_Data!G756="","",Raw_Data!G756)</f>
        <v/>
      </c>
      <c r="D753" s="12" t="str">
        <f>IF(Raw_Data!H756="","",Raw_Data!H756)</f>
        <v/>
      </c>
      <c r="E753" s="12" t="str">
        <f>IF(Raw_Data!I756="","",Raw_Data!I756)</f>
        <v/>
      </c>
      <c r="F753" s="12" t="str">
        <f>IF(Raw_Data!J756="","",Raw_Data!J756)</f>
        <v/>
      </c>
      <c r="G753" s="12" t="str">
        <f>IF(Raw_Data!AH756&lt;&gt;"",Raw_Data!AH756,IF(Raw_Data!K756&lt;&gt;"",Raw_Data!K756,""))</f>
        <v/>
      </c>
      <c r="H753" s="12" t="str">
        <f>IF(Raw_Data!AI756&lt;&gt;"",Raw_Data!AI756,IF(Raw_Data!L756&lt;&gt;"",Raw_Data!L756,""))</f>
        <v/>
      </c>
      <c r="I753" s="12" t="str">
        <f t="shared" si="99"/>
        <v/>
      </c>
      <c r="J753" s="12" t="str">
        <f>IF(Raw_Data!M756="","",Raw_Data!M756)</f>
        <v/>
      </c>
      <c r="K753" s="12">
        <f>IF(Raw_Data!AJ756&lt;&gt;"",Raw_Data!AJ756,Raw_Data!N756)</f>
        <v>0</v>
      </c>
      <c r="L753" s="12">
        <f t="shared" si="100"/>
        <v>1</v>
      </c>
      <c r="M753" s="12" t="str">
        <f>IF(Raw_Data!AK756="","",Raw_Data!AK756)</f>
        <v/>
      </c>
      <c r="N753" s="12" t="str">
        <f>IF(Raw_Data!T756="","",Raw_Data!T756)</f>
        <v/>
      </c>
      <c r="O753" s="12" t="str">
        <f>IF(Raw_Data!AB756&lt;&gt;"",Raw_Data!AB756,IF(N753="tres_insatisfait",1,IF(N753="insatisfait",2,IF(N753="neutre",3,IF(N753="satisfait",4,IF(N753="tres_satisfait",5,""))))))</f>
        <v/>
      </c>
      <c r="P753" s="12">
        <f>IF(Raw_Data!AL756&lt;&gt;"",Raw_Data!AL756,Raw_Data!R756)</f>
        <v>0</v>
      </c>
      <c r="Q753" s="12">
        <f t="shared" si="101"/>
        <v>0</v>
      </c>
      <c r="R753" s="12" t="str">
        <f>IF(Raw_Data!AM756="","",Raw_Data!AM756)</f>
        <v/>
      </c>
      <c r="S753" s="12" t="str">
        <f t="shared" si="102"/>
        <v/>
      </c>
      <c r="T753" s="12" t="str">
        <f>IF(Raw_Data!AN756="","",Raw_Data!AN756)</f>
        <v/>
      </c>
      <c r="U753" s="12" t="str">
        <f t="shared" si="103"/>
        <v/>
      </c>
      <c r="V753" s="12" t="str">
        <f>IF(Raw_Data!AP756="","",IF(Raw_Data!AP756="oui",1,0))</f>
        <v/>
      </c>
      <c r="W753" s="12" t="str">
        <f>IF(Raw_Data!AQ756="","",IF(Raw_Data!AQ756="oui",1,0))</f>
        <v/>
      </c>
      <c r="X753" s="12" t="str">
        <f>IF(Raw_Data!AR756="","",IF(Raw_Data!AR756="oui",1,0))</f>
        <v/>
      </c>
      <c r="Y753" s="12" t="str">
        <f>IF(Raw_Data!AS756="","",IF(Raw_Data!AS756="oui",1,0))</f>
        <v/>
      </c>
      <c r="Z753" s="12" t="str">
        <f>IF(Raw_Data!V756="","",IF(Raw_Data!V756="oui",1,0))</f>
        <v/>
      </c>
      <c r="AA753" s="12" t="str">
        <f>IF(Raw_Data!W756="","",IF(Raw_Data!W756="oui",1,0))</f>
        <v/>
      </c>
      <c r="AB753" s="12" t="str">
        <f>IF(Raw_Data!Q756="","",IF(Raw_Data!Q756="oui",1,0))</f>
        <v/>
      </c>
      <c r="AC753" s="12">
        <f>Raw_Data!AF756</f>
        <v>0</v>
      </c>
      <c r="AD753" s="12" t="str">
        <f t="shared" si="104"/>
        <v/>
      </c>
      <c r="AE753" s="12" t="str">
        <f t="shared" si="105"/>
        <v/>
      </c>
      <c r="AF753" s="12" t="str">
        <f t="shared" si="106"/>
        <v/>
      </c>
      <c r="AG753" s="12">
        <f t="shared" si="107"/>
        <v>0</v>
      </c>
    </row>
    <row r="754" spans="1:33" ht="15" customHeight="1" x14ac:dyDescent="0.25">
      <c r="A754" s="12" t="str">
        <f>IF(Raw_Data!B757="","",Raw_Data!B757)</f>
        <v/>
      </c>
      <c r="B754" s="12">
        <f>IF(Raw_Data!X757&lt;&gt;"",Raw_Data!X757,Raw_Data!C757)</f>
        <v>0</v>
      </c>
      <c r="C754" s="12" t="str">
        <f>IF(Raw_Data!G757="","",Raw_Data!G757)</f>
        <v/>
      </c>
      <c r="D754" s="12" t="str">
        <f>IF(Raw_Data!H757="","",Raw_Data!H757)</f>
        <v/>
      </c>
      <c r="E754" s="12" t="str">
        <f>IF(Raw_Data!I757="","",Raw_Data!I757)</f>
        <v/>
      </c>
      <c r="F754" s="12" t="str">
        <f>IF(Raw_Data!J757="","",Raw_Data!J757)</f>
        <v/>
      </c>
      <c r="G754" s="12" t="str">
        <f>IF(Raw_Data!AH757&lt;&gt;"",Raw_Data!AH757,IF(Raw_Data!K757&lt;&gt;"",Raw_Data!K757,""))</f>
        <v/>
      </c>
      <c r="H754" s="12" t="str">
        <f>IF(Raw_Data!AI757&lt;&gt;"",Raw_Data!AI757,IF(Raw_Data!L757&lt;&gt;"",Raw_Data!L757,""))</f>
        <v/>
      </c>
      <c r="I754" s="12" t="str">
        <f t="shared" si="99"/>
        <v/>
      </c>
      <c r="J754" s="12" t="str">
        <f>IF(Raw_Data!M757="","",Raw_Data!M757)</f>
        <v/>
      </c>
      <c r="K754" s="12">
        <f>IF(Raw_Data!AJ757&lt;&gt;"",Raw_Data!AJ757,Raw_Data!N757)</f>
        <v>0</v>
      </c>
      <c r="L754" s="12">
        <f t="shared" si="100"/>
        <v>1</v>
      </c>
      <c r="M754" s="12" t="str">
        <f>IF(Raw_Data!AK757="","",Raw_Data!AK757)</f>
        <v/>
      </c>
      <c r="N754" s="12" t="str">
        <f>IF(Raw_Data!T757="","",Raw_Data!T757)</f>
        <v/>
      </c>
      <c r="O754" s="12" t="str">
        <f>IF(Raw_Data!AB757&lt;&gt;"",Raw_Data!AB757,IF(N754="tres_insatisfait",1,IF(N754="insatisfait",2,IF(N754="neutre",3,IF(N754="satisfait",4,IF(N754="tres_satisfait",5,""))))))</f>
        <v/>
      </c>
      <c r="P754" s="12">
        <f>IF(Raw_Data!AL757&lt;&gt;"",Raw_Data!AL757,Raw_Data!R757)</f>
        <v>0</v>
      </c>
      <c r="Q754" s="12">
        <f t="shared" si="101"/>
        <v>0</v>
      </c>
      <c r="R754" s="12" t="str">
        <f>IF(Raw_Data!AM757="","",Raw_Data!AM757)</f>
        <v/>
      </c>
      <c r="S754" s="12" t="str">
        <f t="shared" si="102"/>
        <v/>
      </c>
      <c r="T754" s="12" t="str">
        <f>IF(Raw_Data!AN757="","",Raw_Data!AN757)</f>
        <v/>
      </c>
      <c r="U754" s="12" t="str">
        <f t="shared" si="103"/>
        <v/>
      </c>
      <c r="V754" s="12" t="str">
        <f>IF(Raw_Data!AP757="","",IF(Raw_Data!AP757="oui",1,0))</f>
        <v/>
      </c>
      <c r="W754" s="12" t="str">
        <f>IF(Raw_Data!AQ757="","",IF(Raw_Data!AQ757="oui",1,0))</f>
        <v/>
      </c>
      <c r="X754" s="12" t="str">
        <f>IF(Raw_Data!AR757="","",IF(Raw_Data!AR757="oui",1,0))</f>
        <v/>
      </c>
      <c r="Y754" s="12" t="str">
        <f>IF(Raw_Data!AS757="","",IF(Raw_Data!AS757="oui",1,0))</f>
        <v/>
      </c>
      <c r="Z754" s="12" t="str">
        <f>IF(Raw_Data!V757="","",IF(Raw_Data!V757="oui",1,0))</f>
        <v/>
      </c>
      <c r="AA754" s="12" t="str">
        <f>IF(Raw_Data!W757="","",IF(Raw_Data!W757="oui",1,0))</f>
        <v/>
      </c>
      <c r="AB754" s="12" t="str">
        <f>IF(Raw_Data!Q757="","",IF(Raw_Data!Q757="oui",1,0))</f>
        <v/>
      </c>
      <c r="AC754" s="12">
        <f>Raw_Data!AF757</f>
        <v>0</v>
      </c>
      <c r="AD754" s="12" t="str">
        <f t="shared" si="104"/>
        <v/>
      </c>
      <c r="AE754" s="12" t="str">
        <f t="shared" si="105"/>
        <v/>
      </c>
      <c r="AF754" s="12" t="str">
        <f t="shared" si="106"/>
        <v/>
      </c>
      <c r="AG754" s="12">
        <f t="shared" si="107"/>
        <v>0</v>
      </c>
    </row>
    <row r="755" spans="1:33" ht="15" customHeight="1" x14ac:dyDescent="0.25">
      <c r="A755" s="12" t="str">
        <f>IF(Raw_Data!B758="","",Raw_Data!B758)</f>
        <v/>
      </c>
      <c r="B755" s="12">
        <f>IF(Raw_Data!X758&lt;&gt;"",Raw_Data!X758,Raw_Data!C758)</f>
        <v>0</v>
      </c>
      <c r="C755" s="12" t="str">
        <f>IF(Raw_Data!G758="","",Raw_Data!G758)</f>
        <v/>
      </c>
      <c r="D755" s="12" t="str">
        <f>IF(Raw_Data!H758="","",Raw_Data!H758)</f>
        <v/>
      </c>
      <c r="E755" s="12" t="str">
        <f>IF(Raw_Data!I758="","",Raw_Data!I758)</f>
        <v/>
      </c>
      <c r="F755" s="12" t="str">
        <f>IF(Raw_Data!J758="","",Raw_Data!J758)</f>
        <v/>
      </c>
      <c r="G755" s="12" t="str">
        <f>IF(Raw_Data!AH758&lt;&gt;"",Raw_Data!AH758,IF(Raw_Data!K758&lt;&gt;"",Raw_Data!K758,""))</f>
        <v/>
      </c>
      <c r="H755" s="12" t="str">
        <f>IF(Raw_Data!AI758&lt;&gt;"",Raw_Data!AI758,IF(Raw_Data!L758&lt;&gt;"",Raw_Data!L758,""))</f>
        <v/>
      </c>
      <c r="I755" s="12" t="str">
        <f t="shared" si="99"/>
        <v/>
      </c>
      <c r="J755" s="12" t="str">
        <f>IF(Raw_Data!M758="","",Raw_Data!M758)</f>
        <v/>
      </c>
      <c r="K755" s="12">
        <f>IF(Raw_Data!AJ758&lt;&gt;"",Raw_Data!AJ758,Raw_Data!N758)</f>
        <v>0</v>
      </c>
      <c r="L755" s="12">
        <f t="shared" si="100"/>
        <v>1</v>
      </c>
      <c r="M755" s="12" t="str">
        <f>IF(Raw_Data!AK758="","",Raw_Data!AK758)</f>
        <v/>
      </c>
      <c r="N755" s="12" t="str">
        <f>IF(Raw_Data!T758="","",Raw_Data!T758)</f>
        <v/>
      </c>
      <c r="O755" s="12" t="str">
        <f>IF(Raw_Data!AB758&lt;&gt;"",Raw_Data!AB758,IF(N755="tres_insatisfait",1,IF(N755="insatisfait",2,IF(N755="neutre",3,IF(N755="satisfait",4,IF(N755="tres_satisfait",5,""))))))</f>
        <v/>
      </c>
      <c r="P755" s="12">
        <f>IF(Raw_Data!AL758&lt;&gt;"",Raw_Data!AL758,Raw_Data!R758)</f>
        <v>0</v>
      </c>
      <c r="Q755" s="12">
        <f t="shared" si="101"/>
        <v>0</v>
      </c>
      <c r="R755" s="12" t="str">
        <f>IF(Raw_Data!AM758="","",Raw_Data!AM758)</f>
        <v/>
      </c>
      <c r="S755" s="12" t="str">
        <f t="shared" si="102"/>
        <v/>
      </c>
      <c r="T755" s="12" t="str">
        <f>IF(Raw_Data!AN758="","",Raw_Data!AN758)</f>
        <v/>
      </c>
      <c r="U755" s="12" t="str">
        <f t="shared" si="103"/>
        <v/>
      </c>
      <c r="V755" s="12" t="str">
        <f>IF(Raw_Data!AP758="","",IF(Raw_Data!AP758="oui",1,0))</f>
        <v/>
      </c>
      <c r="W755" s="12" t="str">
        <f>IF(Raw_Data!AQ758="","",IF(Raw_Data!AQ758="oui",1,0))</f>
        <v/>
      </c>
      <c r="X755" s="12" t="str">
        <f>IF(Raw_Data!AR758="","",IF(Raw_Data!AR758="oui",1,0))</f>
        <v/>
      </c>
      <c r="Y755" s="12" t="str">
        <f>IF(Raw_Data!AS758="","",IF(Raw_Data!AS758="oui",1,0))</f>
        <v/>
      </c>
      <c r="Z755" s="12" t="str">
        <f>IF(Raw_Data!V758="","",IF(Raw_Data!V758="oui",1,0))</f>
        <v/>
      </c>
      <c r="AA755" s="12" t="str">
        <f>IF(Raw_Data!W758="","",IF(Raw_Data!W758="oui",1,0))</f>
        <v/>
      </c>
      <c r="AB755" s="12" t="str">
        <f>IF(Raw_Data!Q758="","",IF(Raw_Data!Q758="oui",1,0))</f>
        <v/>
      </c>
      <c r="AC755" s="12">
        <f>Raw_Data!AF758</f>
        <v>0</v>
      </c>
      <c r="AD755" s="12" t="str">
        <f t="shared" si="104"/>
        <v/>
      </c>
      <c r="AE755" s="12" t="str">
        <f t="shared" si="105"/>
        <v/>
      </c>
      <c r="AF755" s="12" t="str">
        <f t="shared" si="106"/>
        <v/>
      </c>
      <c r="AG755" s="12">
        <f t="shared" si="107"/>
        <v>0</v>
      </c>
    </row>
    <row r="756" spans="1:33" ht="15" customHeight="1" x14ac:dyDescent="0.25">
      <c r="A756" s="12" t="str">
        <f>IF(Raw_Data!B759="","",Raw_Data!B759)</f>
        <v/>
      </c>
      <c r="B756" s="12">
        <f>IF(Raw_Data!X759&lt;&gt;"",Raw_Data!X759,Raw_Data!C759)</f>
        <v>0</v>
      </c>
      <c r="C756" s="12" t="str">
        <f>IF(Raw_Data!G759="","",Raw_Data!G759)</f>
        <v/>
      </c>
      <c r="D756" s="12" t="str">
        <f>IF(Raw_Data!H759="","",Raw_Data!H759)</f>
        <v/>
      </c>
      <c r="E756" s="12" t="str">
        <f>IF(Raw_Data!I759="","",Raw_Data!I759)</f>
        <v/>
      </c>
      <c r="F756" s="12" t="str">
        <f>IF(Raw_Data!J759="","",Raw_Data!J759)</f>
        <v/>
      </c>
      <c r="G756" s="12" t="str">
        <f>IF(Raw_Data!AH759&lt;&gt;"",Raw_Data!AH759,IF(Raw_Data!K759&lt;&gt;"",Raw_Data!K759,""))</f>
        <v/>
      </c>
      <c r="H756" s="12" t="str">
        <f>IF(Raw_Data!AI759&lt;&gt;"",Raw_Data!AI759,IF(Raw_Data!L759&lt;&gt;"",Raw_Data!L759,""))</f>
        <v/>
      </c>
      <c r="I756" s="12" t="str">
        <f t="shared" si="99"/>
        <v/>
      </c>
      <c r="J756" s="12" t="str">
        <f>IF(Raw_Data!M759="","",Raw_Data!M759)</f>
        <v/>
      </c>
      <c r="K756" s="12">
        <f>IF(Raw_Data!AJ759&lt;&gt;"",Raw_Data!AJ759,Raw_Data!N759)</f>
        <v>0</v>
      </c>
      <c r="L756" s="12">
        <f t="shared" si="100"/>
        <v>1</v>
      </c>
      <c r="M756" s="12" t="str">
        <f>IF(Raw_Data!AK759="","",Raw_Data!AK759)</f>
        <v/>
      </c>
      <c r="N756" s="12" t="str">
        <f>IF(Raw_Data!T759="","",Raw_Data!T759)</f>
        <v/>
      </c>
      <c r="O756" s="12" t="str">
        <f>IF(Raw_Data!AB759&lt;&gt;"",Raw_Data!AB759,IF(N756="tres_insatisfait",1,IF(N756="insatisfait",2,IF(N756="neutre",3,IF(N756="satisfait",4,IF(N756="tres_satisfait",5,""))))))</f>
        <v/>
      </c>
      <c r="P756" s="12">
        <f>IF(Raw_Data!AL759&lt;&gt;"",Raw_Data!AL759,Raw_Data!R759)</f>
        <v>0</v>
      </c>
      <c r="Q756" s="12">
        <f t="shared" si="101"/>
        <v>0</v>
      </c>
      <c r="R756" s="12" t="str">
        <f>IF(Raw_Data!AM759="","",Raw_Data!AM759)</f>
        <v/>
      </c>
      <c r="S756" s="12" t="str">
        <f t="shared" si="102"/>
        <v/>
      </c>
      <c r="T756" s="12" t="str">
        <f>IF(Raw_Data!AN759="","",Raw_Data!AN759)</f>
        <v/>
      </c>
      <c r="U756" s="12" t="str">
        <f t="shared" si="103"/>
        <v/>
      </c>
      <c r="V756" s="12" t="str">
        <f>IF(Raw_Data!AP759="","",IF(Raw_Data!AP759="oui",1,0))</f>
        <v/>
      </c>
      <c r="W756" s="12" t="str">
        <f>IF(Raw_Data!AQ759="","",IF(Raw_Data!AQ759="oui",1,0))</f>
        <v/>
      </c>
      <c r="X756" s="12" t="str">
        <f>IF(Raw_Data!AR759="","",IF(Raw_Data!AR759="oui",1,0))</f>
        <v/>
      </c>
      <c r="Y756" s="12" t="str">
        <f>IF(Raw_Data!AS759="","",IF(Raw_Data!AS759="oui",1,0))</f>
        <v/>
      </c>
      <c r="Z756" s="12" t="str">
        <f>IF(Raw_Data!V759="","",IF(Raw_Data!V759="oui",1,0))</f>
        <v/>
      </c>
      <c r="AA756" s="12" t="str">
        <f>IF(Raw_Data!W759="","",IF(Raw_Data!W759="oui",1,0))</f>
        <v/>
      </c>
      <c r="AB756" s="12" t="str">
        <f>IF(Raw_Data!Q759="","",IF(Raw_Data!Q759="oui",1,0))</f>
        <v/>
      </c>
      <c r="AC756" s="12">
        <f>Raw_Data!AF759</f>
        <v>0</v>
      </c>
      <c r="AD756" s="12" t="str">
        <f t="shared" si="104"/>
        <v/>
      </c>
      <c r="AE756" s="12" t="str">
        <f t="shared" si="105"/>
        <v/>
      </c>
      <c r="AF756" s="12" t="str">
        <f t="shared" si="106"/>
        <v/>
      </c>
      <c r="AG756" s="12">
        <f t="shared" si="107"/>
        <v>0</v>
      </c>
    </row>
    <row r="757" spans="1:33" ht="15" customHeight="1" x14ac:dyDescent="0.25">
      <c r="A757" s="12" t="str">
        <f>IF(Raw_Data!B760="","",Raw_Data!B760)</f>
        <v/>
      </c>
      <c r="B757" s="12">
        <f>IF(Raw_Data!X760&lt;&gt;"",Raw_Data!X760,Raw_Data!C760)</f>
        <v>0</v>
      </c>
      <c r="C757" s="12" t="str">
        <f>IF(Raw_Data!G760="","",Raw_Data!G760)</f>
        <v/>
      </c>
      <c r="D757" s="12" t="str">
        <f>IF(Raw_Data!H760="","",Raw_Data!H760)</f>
        <v/>
      </c>
      <c r="E757" s="12" t="str">
        <f>IF(Raw_Data!I760="","",Raw_Data!I760)</f>
        <v/>
      </c>
      <c r="F757" s="12" t="str">
        <f>IF(Raw_Data!J760="","",Raw_Data!J760)</f>
        <v/>
      </c>
      <c r="G757" s="12" t="str">
        <f>IF(Raw_Data!AH760&lt;&gt;"",Raw_Data!AH760,IF(Raw_Data!K760&lt;&gt;"",Raw_Data!K760,""))</f>
        <v/>
      </c>
      <c r="H757" s="12" t="str">
        <f>IF(Raw_Data!AI760&lt;&gt;"",Raw_Data!AI760,IF(Raw_Data!L760&lt;&gt;"",Raw_Data!L760,""))</f>
        <v/>
      </c>
      <c r="I757" s="12" t="str">
        <f t="shared" si="99"/>
        <v/>
      </c>
      <c r="J757" s="12" t="str">
        <f>IF(Raw_Data!M760="","",Raw_Data!M760)</f>
        <v/>
      </c>
      <c r="K757" s="12">
        <f>IF(Raw_Data!AJ760&lt;&gt;"",Raw_Data!AJ760,Raw_Data!N760)</f>
        <v>0</v>
      </c>
      <c r="L757" s="12">
        <f t="shared" si="100"/>
        <v>1</v>
      </c>
      <c r="M757" s="12" t="str">
        <f>IF(Raw_Data!AK760="","",Raw_Data!AK760)</f>
        <v/>
      </c>
      <c r="N757" s="12" t="str">
        <f>IF(Raw_Data!T760="","",Raw_Data!T760)</f>
        <v/>
      </c>
      <c r="O757" s="12" t="str">
        <f>IF(Raw_Data!AB760&lt;&gt;"",Raw_Data!AB760,IF(N757="tres_insatisfait",1,IF(N757="insatisfait",2,IF(N757="neutre",3,IF(N757="satisfait",4,IF(N757="tres_satisfait",5,""))))))</f>
        <v/>
      </c>
      <c r="P757" s="12">
        <f>IF(Raw_Data!AL760&lt;&gt;"",Raw_Data!AL760,Raw_Data!R760)</f>
        <v>0</v>
      </c>
      <c r="Q757" s="12">
        <f t="shared" si="101"/>
        <v>0</v>
      </c>
      <c r="R757" s="12" t="str">
        <f>IF(Raw_Data!AM760="","",Raw_Data!AM760)</f>
        <v/>
      </c>
      <c r="S757" s="12" t="str">
        <f t="shared" si="102"/>
        <v/>
      </c>
      <c r="T757" s="12" t="str">
        <f>IF(Raw_Data!AN760="","",Raw_Data!AN760)</f>
        <v/>
      </c>
      <c r="U757" s="12" t="str">
        <f t="shared" si="103"/>
        <v/>
      </c>
      <c r="V757" s="12" t="str">
        <f>IF(Raw_Data!AP760="","",IF(Raw_Data!AP760="oui",1,0))</f>
        <v/>
      </c>
      <c r="W757" s="12" t="str">
        <f>IF(Raw_Data!AQ760="","",IF(Raw_Data!AQ760="oui",1,0))</f>
        <v/>
      </c>
      <c r="X757" s="12" t="str">
        <f>IF(Raw_Data!AR760="","",IF(Raw_Data!AR760="oui",1,0))</f>
        <v/>
      </c>
      <c r="Y757" s="12" t="str">
        <f>IF(Raw_Data!AS760="","",IF(Raw_Data!AS760="oui",1,0))</f>
        <v/>
      </c>
      <c r="Z757" s="12" t="str">
        <f>IF(Raw_Data!V760="","",IF(Raw_Data!V760="oui",1,0))</f>
        <v/>
      </c>
      <c r="AA757" s="12" t="str">
        <f>IF(Raw_Data!W760="","",IF(Raw_Data!W760="oui",1,0))</f>
        <v/>
      </c>
      <c r="AB757" s="12" t="str">
        <f>IF(Raw_Data!Q760="","",IF(Raw_Data!Q760="oui",1,0))</f>
        <v/>
      </c>
      <c r="AC757" s="12">
        <f>Raw_Data!AF760</f>
        <v>0</v>
      </c>
      <c r="AD757" s="12" t="str">
        <f t="shared" si="104"/>
        <v/>
      </c>
      <c r="AE757" s="12" t="str">
        <f t="shared" si="105"/>
        <v/>
      </c>
      <c r="AF757" s="12" t="str">
        <f t="shared" si="106"/>
        <v/>
      </c>
      <c r="AG757" s="12">
        <f t="shared" si="107"/>
        <v>0</v>
      </c>
    </row>
    <row r="758" spans="1:33" ht="15" customHeight="1" x14ac:dyDescent="0.25">
      <c r="A758" s="12" t="str">
        <f>IF(Raw_Data!B761="","",Raw_Data!B761)</f>
        <v/>
      </c>
      <c r="B758" s="12">
        <f>IF(Raw_Data!X761&lt;&gt;"",Raw_Data!X761,Raw_Data!C761)</f>
        <v>0</v>
      </c>
      <c r="C758" s="12" t="str">
        <f>IF(Raw_Data!G761="","",Raw_Data!G761)</f>
        <v/>
      </c>
      <c r="D758" s="12" t="str">
        <f>IF(Raw_Data!H761="","",Raw_Data!H761)</f>
        <v/>
      </c>
      <c r="E758" s="12" t="str">
        <f>IF(Raw_Data!I761="","",Raw_Data!I761)</f>
        <v/>
      </c>
      <c r="F758" s="12" t="str">
        <f>IF(Raw_Data!J761="","",Raw_Data!J761)</f>
        <v/>
      </c>
      <c r="G758" s="12" t="str">
        <f>IF(Raw_Data!AH761&lt;&gt;"",Raw_Data!AH761,IF(Raw_Data!K761&lt;&gt;"",Raw_Data!K761,""))</f>
        <v/>
      </c>
      <c r="H758" s="12" t="str">
        <f>IF(Raw_Data!AI761&lt;&gt;"",Raw_Data!AI761,IF(Raw_Data!L761&lt;&gt;"",Raw_Data!L761,""))</f>
        <v/>
      </c>
      <c r="I758" s="12" t="str">
        <f t="shared" si="99"/>
        <v/>
      </c>
      <c r="J758" s="12" t="str">
        <f>IF(Raw_Data!M761="","",Raw_Data!M761)</f>
        <v/>
      </c>
      <c r="K758" s="12">
        <f>IF(Raw_Data!AJ761&lt;&gt;"",Raw_Data!AJ761,Raw_Data!N761)</f>
        <v>0</v>
      </c>
      <c r="L758" s="12">
        <f t="shared" si="100"/>
        <v>1</v>
      </c>
      <c r="M758" s="12" t="str">
        <f>IF(Raw_Data!AK761="","",Raw_Data!AK761)</f>
        <v/>
      </c>
      <c r="N758" s="12" t="str">
        <f>IF(Raw_Data!T761="","",Raw_Data!T761)</f>
        <v/>
      </c>
      <c r="O758" s="12" t="str">
        <f>IF(Raw_Data!AB761&lt;&gt;"",Raw_Data!AB761,IF(N758="tres_insatisfait",1,IF(N758="insatisfait",2,IF(N758="neutre",3,IF(N758="satisfait",4,IF(N758="tres_satisfait",5,""))))))</f>
        <v/>
      </c>
      <c r="P758" s="12">
        <f>IF(Raw_Data!AL761&lt;&gt;"",Raw_Data!AL761,Raw_Data!R761)</f>
        <v>0</v>
      </c>
      <c r="Q758" s="12">
        <f t="shared" si="101"/>
        <v>0</v>
      </c>
      <c r="R758" s="12" t="str">
        <f>IF(Raw_Data!AM761="","",Raw_Data!AM761)</f>
        <v/>
      </c>
      <c r="S758" s="12" t="str">
        <f t="shared" si="102"/>
        <v/>
      </c>
      <c r="T758" s="12" t="str">
        <f>IF(Raw_Data!AN761="","",Raw_Data!AN761)</f>
        <v/>
      </c>
      <c r="U758" s="12" t="str">
        <f t="shared" si="103"/>
        <v/>
      </c>
      <c r="V758" s="12" t="str">
        <f>IF(Raw_Data!AP761="","",IF(Raw_Data!AP761="oui",1,0))</f>
        <v/>
      </c>
      <c r="W758" s="12" t="str">
        <f>IF(Raw_Data!AQ761="","",IF(Raw_Data!AQ761="oui",1,0))</f>
        <v/>
      </c>
      <c r="X758" s="12" t="str">
        <f>IF(Raw_Data!AR761="","",IF(Raw_Data!AR761="oui",1,0))</f>
        <v/>
      </c>
      <c r="Y758" s="12" t="str">
        <f>IF(Raw_Data!AS761="","",IF(Raw_Data!AS761="oui",1,0))</f>
        <v/>
      </c>
      <c r="Z758" s="12" t="str">
        <f>IF(Raw_Data!V761="","",IF(Raw_Data!V761="oui",1,0))</f>
        <v/>
      </c>
      <c r="AA758" s="12" t="str">
        <f>IF(Raw_Data!W761="","",IF(Raw_Data!W761="oui",1,0))</f>
        <v/>
      </c>
      <c r="AB758" s="12" t="str">
        <f>IF(Raw_Data!Q761="","",IF(Raw_Data!Q761="oui",1,0))</f>
        <v/>
      </c>
      <c r="AC758" s="12">
        <f>Raw_Data!AF761</f>
        <v>0</v>
      </c>
      <c r="AD758" s="12" t="str">
        <f t="shared" si="104"/>
        <v/>
      </c>
      <c r="AE758" s="12" t="str">
        <f t="shared" si="105"/>
        <v/>
      </c>
      <c r="AF758" s="12" t="str">
        <f t="shared" si="106"/>
        <v/>
      </c>
      <c r="AG758" s="12">
        <f t="shared" si="107"/>
        <v>0</v>
      </c>
    </row>
    <row r="759" spans="1:33" ht="15" customHeight="1" x14ac:dyDescent="0.25">
      <c r="A759" s="12" t="str">
        <f>IF(Raw_Data!B762="","",Raw_Data!B762)</f>
        <v/>
      </c>
      <c r="B759" s="12">
        <f>IF(Raw_Data!X762&lt;&gt;"",Raw_Data!X762,Raw_Data!C762)</f>
        <v>0</v>
      </c>
      <c r="C759" s="12" t="str">
        <f>IF(Raw_Data!G762="","",Raw_Data!G762)</f>
        <v/>
      </c>
      <c r="D759" s="12" t="str">
        <f>IF(Raw_Data!H762="","",Raw_Data!H762)</f>
        <v/>
      </c>
      <c r="E759" s="12" t="str">
        <f>IF(Raw_Data!I762="","",Raw_Data!I762)</f>
        <v/>
      </c>
      <c r="F759" s="12" t="str">
        <f>IF(Raw_Data!J762="","",Raw_Data!J762)</f>
        <v/>
      </c>
      <c r="G759" s="12" t="str">
        <f>IF(Raw_Data!AH762&lt;&gt;"",Raw_Data!AH762,IF(Raw_Data!K762&lt;&gt;"",Raw_Data!K762,""))</f>
        <v/>
      </c>
      <c r="H759" s="12" t="str">
        <f>IF(Raw_Data!AI762&lt;&gt;"",Raw_Data!AI762,IF(Raw_Data!L762&lt;&gt;"",Raw_Data!L762,""))</f>
        <v/>
      </c>
      <c r="I759" s="12" t="str">
        <f t="shared" si="99"/>
        <v/>
      </c>
      <c r="J759" s="12" t="str">
        <f>IF(Raw_Data!M762="","",Raw_Data!M762)</f>
        <v/>
      </c>
      <c r="K759" s="12">
        <f>IF(Raw_Data!AJ762&lt;&gt;"",Raw_Data!AJ762,Raw_Data!N762)</f>
        <v>0</v>
      </c>
      <c r="L759" s="12">
        <f t="shared" si="100"/>
        <v>1</v>
      </c>
      <c r="M759" s="12" t="str">
        <f>IF(Raw_Data!AK762="","",Raw_Data!AK762)</f>
        <v/>
      </c>
      <c r="N759" s="12" t="str">
        <f>IF(Raw_Data!T762="","",Raw_Data!T762)</f>
        <v/>
      </c>
      <c r="O759" s="12" t="str">
        <f>IF(Raw_Data!AB762&lt;&gt;"",Raw_Data!AB762,IF(N759="tres_insatisfait",1,IF(N759="insatisfait",2,IF(N759="neutre",3,IF(N759="satisfait",4,IF(N759="tres_satisfait",5,""))))))</f>
        <v/>
      </c>
      <c r="P759" s="12">
        <f>IF(Raw_Data!AL762&lt;&gt;"",Raw_Data!AL762,Raw_Data!R762)</f>
        <v>0</v>
      </c>
      <c r="Q759" s="12">
        <f t="shared" si="101"/>
        <v>0</v>
      </c>
      <c r="R759" s="12" t="str">
        <f>IF(Raw_Data!AM762="","",Raw_Data!AM762)</f>
        <v/>
      </c>
      <c r="S759" s="12" t="str">
        <f t="shared" si="102"/>
        <v/>
      </c>
      <c r="T759" s="12" t="str">
        <f>IF(Raw_Data!AN762="","",Raw_Data!AN762)</f>
        <v/>
      </c>
      <c r="U759" s="12" t="str">
        <f t="shared" si="103"/>
        <v/>
      </c>
      <c r="V759" s="12" t="str">
        <f>IF(Raw_Data!AP762="","",IF(Raw_Data!AP762="oui",1,0))</f>
        <v/>
      </c>
      <c r="W759" s="12" t="str">
        <f>IF(Raw_Data!AQ762="","",IF(Raw_Data!AQ762="oui",1,0))</f>
        <v/>
      </c>
      <c r="X759" s="12" t="str">
        <f>IF(Raw_Data!AR762="","",IF(Raw_Data!AR762="oui",1,0))</f>
        <v/>
      </c>
      <c r="Y759" s="12" t="str">
        <f>IF(Raw_Data!AS762="","",IF(Raw_Data!AS762="oui",1,0))</f>
        <v/>
      </c>
      <c r="Z759" s="12" t="str">
        <f>IF(Raw_Data!V762="","",IF(Raw_Data!V762="oui",1,0))</f>
        <v/>
      </c>
      <c r="AA759" s="12" t="str">
        <f>IF(Raw_Data!W762="","",IF(Raw_Data!W762="oui",1,0))</f>
        <v/>
      </c>
      <c r="AB759" s="12" t="str">
        <f>IF(Raw_Data!Q762="","",IF(Raw_Data!Q762="oui",1,0))</f>
        <v/>
      </c>
      <c r="AC759" s="12">
        <f>Raw_Data!AF762</f>
        <v>0</v>
      </c>
      <c r="AD759" s="12" t="str">
        <f t="shared" si="104"/>
        <v/>
      </c>
      <c r="AE759" s="12" t="str">
        <f t="shared" si="105"/>
        <v/>
      </c>
      <c r="AF759" s="12" t="str">
        <f t="shared" si="106"/>
        <v/>
      </c>
      <c r="AG759" s="12">
        <f t="shared" si="107"/>
        <v>0</v>
      </c>
    </row>
    <row r="760" spans="1:33" ht="15" customHeight="1" x14ac:dyDescent="0.25">
      <c r="A760" s="12" t="str">
        <f>IF(Raw_Data!B763="","",Raw_Data!B763)</f>
        <v/>
      </c>
      <c r="B760" s="12">
        <f>IF(Raw_Data!X763&lt;&gt;"",Raw_Data!X763,Raw_Data!C763)</f>
        <v>0</v>
      </c>
      <c r="C760" s="12" t="str">
        <f>IF(Raw_Data!G763="","",Raw_Data!G763)</f>
        <v/>
      </c>
      <c r="D760" s="12" t="str">
        <f>IF(Raw_Data!H763="","",Raw_Data!H763)</f>
        <v/>
      </c>
      <c r="E760" s="12" t="str">
        <f>IF(Raw_Data!I763="","",Raw_Data!I763)</f>
        <v/>
      </c>
      <c r="F760" s="12" t="str">
        <f>IF(Raw_Data!J763="","",Raw_Data!J763)</f>
        <v/>
      </c>
      <c r="G760" s="12" t="str">
        <f>IF(Raw_Data!AH763&lt;&gt;"",Raw_Data!AH763,IF(Raw_Data!K763&lt;&gt;"",Raw_Data!K763,""))</f>
        <v/>
      </c>
      <c r="H760" s="12" t="str">
        <f>IF(Raw_Data!AI763&lt;&gt;"",Raw_Data!AI763,IF(Raw_Data!L763&lt;&gt;"",Raw_Data!L763,""))</f>
        <v/>
      </c>
      <c r="I760" s="12" t="str">
        <f t="shared" si="99"/>
        <v/>
      </c>
      <c r="J760" s="12" t="str">
        <f>IF(Raw_Data!M763="","",Raw_Data!M763)</f>
        <v/>
      </c>
      <c r="K760" s="12">
        <f>IF(Raw_Data!AJ763&lt;&gt;"",Raw_Data!AJ763,Raw_Data!N763)</f>
        <v>0</v>
      </c>
      <c r="L760" s="12">
        <f t="shared" si="100"/>
        <v>1</v>
      </c>
      <c r="M760" s="12" t="str">
        <f>IF(Raw_Data!AK763="","",Raw_Data!AK763)</f>
        <v/>
      </c>
      <c r="N760" s="12" t="str">
        <f>IF(Raw_Data!T763="","",Raw_Data!T763)</f>
        <v/>
      </c>
      <c r="O760" s="12" t="str">
        <f>IF(Raw_Data!AB763&lt;&gt;"",Raw_Data!AB763,IF(N760="tres_insatisfait",1,IF(N760="insatisfait",2,IF(N760="neutre",3,IF(N760="satisfait",4,IF(N760="tres_satisfait",5,""))))))</f>
        <v/>
      </c>
      <c r="P760" s="12">
        <f>IF(Raw_Data!AL763&lt;&gt;"",Raw_Data!AL763,Raw_Data!R763)</f>
        <v>0</v>
      </c>
      <c r="Q760" s="12">
        <f t="shared" si="101"/>
        <v>0</v>
      </c>
      <c r="R760" s="12" t="str">
        <f>IF(Raw_Data!AM763="","",Raw_Data!AM763)</f>
        <v/>
      </c>
      <c r="S760" s="12" t="str">
        <f t="shared" si="102"/>
        <v/>
      </c>
      <c r="T760" s="12" t="str">
        <f>IF(Raw_Data!AN763="","",Raw_Data!AN763)</f>
        <v/>
      </c>
      <c r="U760" s="12" t="str">
        <f t="shared" si="103"/>
        <v/>
      </c>
      <c r="V760" s="12" t="str">
        <f>IF(Raw_Data!AP763="","",IF(Raw_Data!AP763="oui",1,0))</f>
        <v/>
      </c>
      <c r="W760" s="12" t="str">
        <f>IF(Raw_Data!AQ763="","",IF(Raw_Data!AQ763="oui",1,0))</f>
        <v/>
      </c>
      <c r="X760" s="12" t="str">
        <f>IF(Raw_Data!AR763="","",IF(Raw_Data!AR763="oui",1,0))</f>
        <v/>
      </c>
      <c r="Y760" s="12" t="str">
        <f>IF(Raw_Data!AS763="","",IF(Raw_Data!AS763="oui",1,0))</f>
        <v/>
      </c>
      <c r="Z760" s="12" t="str">
        <f>IF(Raw_Data!V763="","",IF(Raw_Data!V763="oui",1,0))</f>
        <v/>
      </c>
      <c r="AA760" s="12" t="str">
        <f>IF(Raw_Data!W763="","",IF(Raw_Data!W763="oui",1,0))</f>
        <v/>
      </c>
      <c r="AB760" s="12" t="str">
        <f>IF(Raw_Data!Q763="","",IF(Raw_Data!Q763="oui",1,0))</f>
        <v/>
      </c>
      <c r="AC760" s="12">
        <f>Raw_Data!AF763</f>
        <v>0</v>
      </c>
      <c r="AD760" s="12" t="str">
        <f t="shared" si="104"/>
        <v/>
      </c>
      <c r="AE760" s="12" t="str">
        <f t="shared" si="105"/>
        <v/>
      </c>
      <c r="AF760" s="12" t="str">
        <f t="shared" si="106"/>
        <v/>
      </c>
      <c r="AG760" s="12">
        <f t="shared" si="107"/>
        <v>0</v>
      </c>
    </row>
    <row r="761" spans="1:33" ht="15" customHeight="1" x14ac:dyDescent="0.25">
      <c r="A761" s="12" t="str">
        <f>IF(Raw_Data!B764="","",Raw_Data!B764)</f>
        <v/>
      </c>
      <c r="B761" s="12">
        <f>IF(Raw_Data!X764&lt;&gt;"",Raw_Data!X764,Raw_Data!C764)</f>
        <v>0</v>
      </c>
      <c r="C761" s="12" t="str">
        <f>IF(Raw_Data!G764="","",Raw_Data!G764)</f>
        <v/>
      </c>
      <c r="D761" s="12" t="str">
        <f>IF(Raw_Data!H764="","",Raw_Data!H764)</f>
        <v/>
      </c>
      <c r="E761" s="12" t="str">
        <f>IF(Raw_Data!I764="","",Raw_Data!I764)</f>
        <v/>
      </c>
      <c r="F761" s="12" t="str">
        <f>IF(Raw_Data!J764="","",Raw_Data!J764)</f>
        <v/>
      </c>
      <c r="G761" s="12" t="str">
        <f>IF(Raw_Data!AH764&lt;&gt;"",Raw_Data!AH764,IF(Raw_Data!K764&lt;&gt;"",Raw_Data!K764,""))</f>
        <v/>
      </c>
      <c r="H761" s="12" t="str">
        <f>IF(Raw_Data!AI764&lt;&gt;"",Raw_Data!AI764,IF(Raw_Data!L764&lt;&gt;"",Raw_Data!L764,""))</f>
        <v/>
      </c>
      <c r="I761" s="12" t="str">
        <f t="shared" si="99"/>
        <v/>
      </c>
      <c r="J761" s="12" t="str">
        <f>IF(Raw_Data!M764="","",Raw_Data!M764)</f>
        <v/>
      </c>
      <c r="K761" s="12">
        <f>IF(Raw_Data!AJ764&lt;&gt;"",Raw_Data!AJ764,Raw_Data!N764)</f>
        <v>0</v>
      </c>
      <c r="L761" s="12">
        <f t="shared" si="100"/>
        <v>1</v>
      </c>
      <c r="M761" s="12" t="str">
        <f>IF(Raw_Data!AK764="","",Raw_Data!AK764)</f>
        <v/>
      </c>
      <c r="N761" s="12" t="str">
        <f>IF(Raw_Data!T764="","",Raw_Data!T764)</f>
        <v/>
      </c>
      <c r="O761" s="12" t="str">
        <f>IF(Raw_Data!AB764&lt;&gt;"",Raw_Data!AB764,IF(N761="tres_insatisfait",1,IF(N761="insatisfait",2,IF(N761="neutre",3,IF(N761="satisfait",4,IF(N761="tres_satisfait",5,""))))))</f>
        <v/>
      </c>
      <c r="P761" s="12">
        <f>IF(Raw_Data!AL764&lt;&gt;"",Raw_Data!AL764,Raw_Data!R764)</f>
        <v>0</v>
      </c>
      <c r="Q761" s="12">
        <f t="shared" si="101"/>
        <v>0</v>
      </c>
      <c r="R761" s="12" t="str">
        <f>IF(Raw_Data!AM764="","",Raw_Data!AM764)</f>
        <v/>
      </c>
      <c r="S761" s="12" t="str">
        <f t="shared" si="102"/>
        <v/>
      </c>
      <c r="T761" s="12" t="str">
        <f>IF(Raw_Data!AN764="","",Raw_Data!AN764)</f>
        <v/>
      </c>
      <c r="U761" s="12" t="str">
        <f t="shared" si="103"/>
        <v/>
      </c>
      <c r="V761" s="12" t="str">
        <f>IF(Raw_Data!AP764="","",IF(Raw_Data!AP764="oui",1,0))</f>
        <v/>
      </c>
      <c r="W761" s="12" t="str">
        <f>IF(Raw_Data!AQ764="","",IF(Raw_Data!AQ764="oui",1,0))</f>
        <v/>
      </c>
      <c r="X761" s="12" t="str">
        <f>IF(Raw_Data!AR764="","",IF(Raw_Data!AR764="oui",1,0))</f>
        <v/>
      </c>
      <c r="Y761" s="12" t="str">
        <f>IF(Raw_Data!AS764="","",IF(Raw_Data!AS764="oui",1,0))</f>
        <v/>
      </c>
      <c r="Z761" s="12" t="str">
        <f>IF(Raw_Data!V764="","",IF(Raw_Data!V764="oui",1,0))</f>
        <v/>
      </c>
      <c r="AA761" s="12" t="str">
        <f>IF(Raw_Data!W764="","",IF(Raw_Data!W764="oui",1,0))</f>
        <v/>
      </c>
      <c r="AB761" s="12" t="str">
        <f>IF(Raw_Data!Q764="","",IF(Raw_Data!Q764="oui",1,0))</f>
        <v/>
      </c>
      <c r="AC761" s="12">
        <f>Raw_Data!AF764</f>
        <v>0</v>
      </c>
      <c r="AD761" s="12" t="str">
        <f t="shared" si="104"/>
        <v/>
      </c>
      <c r="AE761" s="12" t="str">
        <f t="shared" si="105"/>
        <v/>
      </c>
      <c r="AF761" s="12" t="str">
        <f t="shared" si="106"/>
        <v/>
      </c>
      <c r="AG761" s="12">
        <f t="shared" si="107"/>
        <v>0</v>
      </c>
    </row>
    <row r="762" spans="1:33" ht="15" customHeight="1" x14ac:dyDescent="0.25">
      <c r="A762" s="12" t="str">
        <f>IF(Raw_Data!B765="","",Raw_Data!B765)</f>
        <v/>
      </c>
      <c r="B762" s="12">
        <f>IF(Raw_Data!X765&lt;&gt;"",Raw_Data!X765,Raw_Data!C765)</f>
        <v>0</v>
      </c>
      <c r="C762" s="12" t="str">
        <f>IF(Raw_Data!G765="","",Raw_Data!G765)</f>
        <v/>
      </c>
      <c r="D762" s="12" t="str">
        <f>IF(Raw_Data!H765="","",Raw_Data!H765)</f>
        <v/>
      </c>
      <c r="E762" s="12" t="str">
        <f>IF(Raw_Data!I765="","",Raw_Data!I765)</f>
        <v/>
      </c>
      <c r="F762" s="12" t="str">
        <f>IF(Raw_Data!J765="","",Raw_Data!J765)</f>
        <v/>
      </c>
      <c r="G762" s="12" t="str">
        <f>IF(Raw_Data!AH765&lt;&gt;"",Raw_Data!AH765,IF(Raw_Data!K765&lt;&gt;"",Raw_Data!K765,""))</f>
        <v/>
      </c>
      <c r="H762" s="12" t="str">
        <f>IF(Raw_Data!AI765&lt;&gt;"",Raw_Data!AI765,IF(Raw_Data!L765&lt;&gt;"",Raw_Data!L765,""))</f>
        <v/>
      </c>
      <c r="I762" s="12" t="str">
        <f t="shared" si="99"/>
        <v/>
      </c>
      <c r="J762" s="12" t="str">
        <f>IF(Raw_Data!M765="","",Raw_Data!M765)</f>
        <v/>
      </c>
      <c r="K762" s="12">
        <f>IF(Raw_Data!AJ765&lt;&gt;"",Raw_Data!AJ765,Raw_Data!N765)</f>
        <v>0</v>
      </c>
      <c r="L762" s="12">
        <f t="shared" si="100"/>
        <v>1</v>
      </c>
      <c r="M762" s="12" t="str">
        <f>IF(Raw_Data!AK765="","",Raw_Data!AK765)</f>
        <v/>
      </c>
      <c r="N762" s="12" t="str">
        <f>IF(Raw_Data!T765="","",Raw_Data!T765)</f>
        <v/>
      </c>
      <c r="O762" s="12" t="str">
        <f>IF(Raw_Data!AB765&lt;&gt;"",Raw_Data!AB765,IF(N762="tres_insatisfait",1,IF(N762="insatisfait",2,IF(N762="neutre",3,IF(N762="satisfait",4,IF(N762="tres_satisfait",5,""))))))</f>
        <v/>
      </c>
      <c r="P762" s="12">
        <f>IF(Raw_Data!AL765&lt;&gt;"",Raw_Data!AL765,Raw_Data!R765)</f>
        <v>0</v>
      </c>
      <c r="Q762" s="12">
        <f t="shared" si="101"/>
        <v>0</v>
      </c>
      <c r="R762" s="12" t="str">
        <f>IF(Raw_Data!AM765="","",Raw_Data!AM765)</f>
        <v/>
      </c>
      <c r="S762" s="12" t="str">
        <f t="shared" si="102"/>
        <v/>
      </c>
      <c r="T762" s="12" t="str">
        <f>IF(Raw_Data!AN765="","",Raw_Data!AN765)</f>
        <v/>
      </c>
      <c r="U762" s="12" t="str">
        <f t="shared" si="103"/>
        <v/>
      </c>
      <c r="V762" s="12" t="str">
        <f>IF(Raw_Data!AP765="","",IF(Raw_Data!AP765="oui",1,0))</f>
        <v/>
      </c>
      <c r="W762" s="12" t="str">
        <f>IF(Raw_Data!AQ765="","",IF(Raw_Data!AQ765="oui",1,0))</f>
        <v/>
      </c>
      <c r="X762" s="12" t="str">
        <f>IF(Raw_Data!AR765="","",IF(Raw_Data!AR765="oui",1,0))</f>
        <v/>
      </c>
      <c r="Y762" s="12" t="str">
        <f>IF(Raw_Data!AS765="","",IF(Raw_Data!AS765="oui",1,0))</f>
        <v/>
      </c>
      <c r="Z762" s="12" t="str">
        <f>IF(Raw_Data!V765="","",IF(Raw_Data!V765="oui",1,0))</f>
        <v/>
      </c>
      <c r="AA762" s="12" t="str">
        <f>IF(Raw_Data!W765="","",IF(Raw_Data!W765="oui",1,0))</f>
        <v/>
      </c>
      <c r="AB762" s="12" t="str">
        <f>IF(Raw_Data!Q765="","",IF(Raw_Data!Q765="oui",1,0))</f>
        <v/>
      </c>
      <c r="AC762" s="12">
        <f>Raw_Data!AF765</f>
        <v>0</v>
      </c>
      <c r="AD762" s="12" t="str">
        <f t="shared" si="104"/>
        <v/>
      </c>
      <c r="AE762" s="12" t="str">
        <f t="shared" si="105"/>
        <v/>
      </c>
      <c r="AF762" s="12" t="str">
        <f t="shared" si="106"/>
        <v/>
      </c>
      <c r="AG762" s="12">
        <f t="shared" si="107"/>
        <v>0</v>
      </c>
    </row>
    <row r="763" spans="1:33" ht="15" customHeight="1" x14ac:dyDescent="0.25">
      <c r="A763" s="12" t="str">
        <f>IF(Raw_Data!B766="","",Raw_Data!B766)</f>
        <v/>
      </c>
      <c r="B763" s="12">
        <f>IF(Raw_Data!X766&lt;&gt;"",Raw_Data!X766,Raw_Data!C766)</f>
        <v>0</v>
      </c>
      <c r="C763" s="12" t="str">
        <f>IF(Raw_Data!G766="","",Raw_Data!G766)</f>
        <v/>
      </c>
      <c r="D763" s="12" t="str">
        <f>IF(Raw_Data!H766="","",Raw_Data!H766)</f>
        <v/>
      </c>
      <c r="E763" s="12" t="str">
        <f>IF(Raw_Data!I766="","",Raw_Data!I766)</f>
        <v/>
      </c>
      <c r="F763" s="12" t="str">
        <f>IF(Raw_Data!J766="","",Raw_Data!J766)</f>
        <v/>
      </c>
      <c r="G763" s="12" t="str">
        <f>IF(Raw_Data!AH766&lt;&gt;"",Raw_Data!AH766,IF(Raw_Data!K766&lt;&gt;"",Raw_Data!K766,""))</f>
        <v/>
      </c>
      <c r="H763" s="12" t="str">
        <f>IF(Raw_Data!AI766&lt;&gt;"",Raw_Data!AI766,IF(Raw_Data!L766&lt;&gt;"",Raw_Data!L766,""))</f>
        <v/>
      </c>
      <c r="I763" s="12" t="str">
        <f t="shared" si="99"/>
        <v/>
      </c>
      <c r="J763" s="12" t="str">
        <f>IF(Raw_Data!M766="","",Raw_Data!M766)</f>
        <v/>
      </c>
      <c r="K763" s="12">
        <f>IF(Raw_Data!AJ766&lt;&gt;"",Raw_Data!AJ766,Raw_Data!N766)</f>
        <v>0</v>
      </c>
      <c r="L763" s="12">
        <f t="shared" si="100"/>
        <v>1</v>
      </c>
      <c r="M763" s="12" t="str">
        <f>IF(Raw_Data!AK766="","",Raw_Data!AK766)</f>
        <v/>
      </c>
      <c r="N763" s="12" t="str">
        <f>IF(Raw_Data!T766="","",Raw_Data!T766)</f>
        <v/>
      </c>
      <c r="O763" s="12" t="str">
        <f>IF(Raw_Data!AB766&lt;&gt;"",Raw_Data!AB766,IF(N763="tres_insatisfait",1,IF(N763="insatisfait",2,IF(N763="neutre",3,IF(N763="satisfait",4,IF(N763="tres_satisfait",5,""))))))</f>
        <v/>
      </c>
      <c r="P763" s="12">
        <f>IF(Raw_Data!AL766&lt;&gt;"",Raw_Data!AL766,Raw_Data!R766)</f>
        <v>0</v>
      </c>
      <c r="Q763" s="12">
        <f t="shared" si="101"/>
        <v>0</v>
      </c>
      <c r="R763" s="12" t="str">
        <f>IF(Raw_Data!AM766="","",Raw_Data!AM766)</f>
        <v/>
      </c>
      <c r="S763" s="12" t="str">
        <f t="shared" si="102"/>
        <v/>
      </c>
      <c r="T763" s="12" t="str">
        <f>IF(Raw_Data!AN766="","",Raw_Data!AN766)</f>
        <v/>
      </c>
      <c r="U763" s="12" t="str">
        <f t="shared" si="103"/>
        <v/>
      </c>
      <c r="V763" s="12" t="str">
        <f>IF(Raw_Data!AP766="","",IF(Raw_Data!AP766="oui",1,0))</f>
        <v/>
      </c>
      <c r="W763" s="12" t="str">
        <f>IF(Raw_Data!AQ766="","",IF(Raw_Data!AQ766="oui",1,0))</f>
        <v/>
      </c>
      <c r="X763" s="12" t="str">
        <f>IF(Raw_Data!AR766="","",IF(Raw_Data!AR766="oui",1,0))</f>
        <v/>
      </c>
      <c r="Y763" s="12" t="str">
        <f>IF(Raw_Data!AS766="","",IF(Raw_Data!AS766="oui",1,0))</f>
        <v/>
      </c>
      <c r="Z763" s="12" t="str">
        <f>IF(Raw_Data!V766="","",IF(Raw_Data!V766="oui",1,0))</f>
        <v/>
      </c>
      <c r="AA763" s="12" t="str">
        <f>IF(Raw_Data!W766="","",IF(Raw_Data!W766="oui",1,0))</f>
        <v/>
      </c>
      <c r="AB763" s="12" t="str">
        <f>IF(Raw_Data!Q766="","",IF(Raw_Data!Q766="oui",1,0))</f>
        <v/>
      </c>
      <c r="AC763" s="12">
        <f>Raw_Data!AF766</f>
        <v>0</v>
      </c>
      <c r="AD763" s="12" t="str">
        <f t="shared" si="104"/>
        <v/>
      </c>
      <c r="AE763" s="12" t="str">
        <f t="shared" si="105"/>
        <v/>
      </c>
      <c r="AF763" s="12" t="str">
        <f t="shared" si="106"/>
        <v/>
      </c>
      <c r="AG763" s="12">
        <f t="shared" si="107"/>
        <v>0</v>
      </c>
    </row>
    <row r="764" spans="1:33" ht="15" customHeight="1" x14ac:dyDescent="0.25">
      <c r="A764" s="12" t="str">
        <f>IF(Raw_Data!B767="","",Raw_Data!B767)</f>
        <v/>
      </c>
      <c r="B764" s="12">
        <f>IF(Raw_Data!X767&lt;&gt;"",Raw_Data!X767,Raw_Data!C767)</f>
        <v>0</v>
      </c>
      <c r="C764" s="12" t="str">
        <f>IF(Raw_Data!G767="","",Raw_Data!G767)</f>
        <v/>
      </c>
      <c r="D764" s="12" t="str">
        <f>IF(Raw_Data!H767="","",Raw_Data!H767)</f>
        <v/>
      </c>
      <c r="E764" s="12" t="str">
        <f>IF(Raw_Data!I767="","",Raw_Data!I767)</f>
        <v/>
      </c>
      <c r="F764" s="12" t="str">
        <f>IF(Raw_Data!J767="","",Raw_Data!J767)</f>
        <v/>
      </c>
      <c r="G764" s="12" t="str">
        <f>IF(Raw_Data!AH767&lt;&gt;"",Raw_Data!AH767,IF(Raw_Data!K767&lt;&gt;"",Raw_Data!K767,""))</f>
        <v/>
      </c>
      <c r="H764" s="12" t="str">
        <f>IF(Raw_Data!AI767&lt;&gt;"",Raw_Data!AI767,IF(Raw_Data!L767&lt;&gt;"",Raw_Data!L767,""))</f>
        <v/>
      </c>
      <c r="I764" s="12" t="str">
        <f t="shared" si="99"/>
        <v/>
      </c>
      <c r="J764" s="12" t="str">
        <f>IF(Raw_Data!M767="","",Raw_Data!M767)</f>
        <v/>
      </c>
      <c r="K764" s="12">
        <f>IF(Raw_Data!AJ767&lt;&gt;"",Raw_Data!AJ767,Raw_Data!N767)</f>
        <v>0</v>
      </c>
      <c r="L764" s="12">
        <f t="shared" si="100"/>
        <v>1</v>
      </c>
      <c r="M764" s="12" t="str">
        <f>IF(Raw_Data!AK767="","",Raw_Data!AK767)</f>
        <v/>
      </c>
      <c r="N764" s="12" t="str">
        <f>IF(Raw_Data!T767="","",Raw_Data!T767)</f>
        <v/>
      </c>
      <c r="O764" s="12" t="str">
        <f>IF(Raw_Data!AB767&lt;&gt;"",Raw_Data!AB767,IF(N764="tres_insatisfait",1,IF(N764="insatisfait",2,IF(N764="neutre",3,IF(N764="satisfait",4,IF(N764="tres_satisfait",5,""))))))</f>
        <v/>
      </c>
      <c r="P764" s="12">
        <f>IF(Raw_Data!AL767&lt;&gt;"",Raw_Data!AL767,Raw_Data!R767)</f>
        <v>0</v>
      </c>
      <c r="Q764" s="12">
        <f t="shared" si="101"/>
        <v>0</v>
      </c>
      <c r="R764" s="12" t="str">
        <f>IF(Raw_Data!AM767="","",Raw_Data!AM767)</f>
        <v/>
      </c>
      <c r="S764" s="12" t="str">
        <f t="shared" si="102"/>
        <v/>
      </c>
      <c r="T764" s="12" t="str">
        <f>IF(Raw_Data!AN767="","",Raw_Data!AN767)</f>
        <v/>
      </c>
      <c r="U764" s="12" t="str">
        <f t="shared" si="103"/>
        <v/>
      </c>
      <c r="V764" s="12" t="str">
        <f>IF(Raw_Data!AP767="","",IF(Raw_Data!AP767="oui",1,0))</f>
        <v/>
      </c>
      <c r="W764" s="12" t="str">
        <f>IF(Raw_Data!AQ767="","",IF(Raw_Data!AQ767="oui",1,0))</f>
        <v/>
      </c>
      <c r="X764" s="12" t="str">
        <f>IF(Raw_Data!AR767="","",IF(Raw_Data!AR767="oui",1,0))</f>
        <v/>
      </c>
      <c r="Y764" s="12" t="str">
        <f>IF(Raw_Data!AS767="","",IF(Raw_Data!AS767="oui",1,0))</f>
        <v/>
      </c>
      <c r="Z764" s="12" t="str">
        <f>IF(Raw_Data!V767="","",IF(Raw_Data!V767="oui",1,0))</f>
        <v/>
      </c>
      <c r="AA764" s="12" t="str">
        <f>IF(Raw_Data!W767="","",IF(Raw_Data!W767="oui",1,0))</f>
        <v/>
      </c>
      <c r="AB764" s="12" t="str">
        <f>IF(Raw_Data!Q767="","",IF(Raw_Data!Q767="oui",1,0))</f>
        <v/>
      </c>
      <c r="AC764" s="12">
        <f>Raw_Data!AF767</f>
        <v>0</v>
      </c>
      <c r="AD764" s="12" t="str">
        <f t="shared" si="104"/>
        <v/>
      </c>
      <c r="AE764" s="12" t="str">
        <f t="shared" si="105"/>
        <v/>
      </c>
      <c r="AF764" s="12" t="str">
        <f t="shared" si="106"/>
        <v/>
      </c>
      <c r="AG764" s="12">
        <f t="shared" si="107"/>
        <v>0</v>
      </c>
    </row>
    <row r="765" spans="1:33" ht="15" customHeight="1" x14ac:dyDescent="0.25">
      <c r="A765" s="12" t="str">
        <f>IF(Raw_Data!B768="","",Raw_Data!B768)</f>
        <v/>
      </c>
      <c r="B765" s="12">
        <f>IF(Raw_Data!X768&lt;&gt;"",Raw_Data!X768,Raw_Data!C768)</f>
        <v>0</v>
      </c>
      <c r="C765" s="12" t="str">
        <f>IF(Raw_Data!G768="","",Raw_Data!G768)</f>
        <v/>
      </c>
      <c r="D765" s="12" t="str">
        <f>IF(Raw_Data!H768="","",Raw_Data!H768)</f>
        <v/>
      </c>
      <c r="E765" s="12" t="str">
        <f>IF(Raw_Data!I768="","",Raw_Data!I768)</f>
        <v/>
      </c>
      <c r="F765" s="12" t="str">
        <f>IF(Raw_Data!J768="","",Raw_Data!J768)</f>
        <v/>
      </c>
      <c r="G765" s="12" t="str">
        <f>IF(Raw_Data!AH768&lt;&gt;"",Raw_Data!AH768,IF(Raw_Data!K768&lt;&gt;"",Raw_Data!K768,""))</f>
        <v/>
      </c>
      <c r="H765" s="12" t="str">
        <f>IF(Raw_Data!AI768&lt;&gt;"",Raw_Data!AI768,IF(Raw_Data!L768&lt;&gt;"",Raw_Data!L768,""))</f>
        <v/>
      </c>
      <c r="I765" s="12" t="str">
        <f t="shared" si="99"/>
        <v/>
      </c>
      <c r="J765" s="12" t="str">
        <f>IF(Raw_Data!M768="","",Raw_Data!M768)</f>
        <v/>
      </c>
      <c r="K765" s="12">
        <f>IF(Raw_Data!AJ768&lt;&gt;"",Raw_Data!AJ768,Raw_Data!N768)</f>
        <v>0</v>
      </c>
      <c r="L765" s="12">
        <f t="shared" si="100"/>
        <v>1</v>
      </c>
      <c r="M765" s="12" t="str">
        <f>IF(Raw_Data!AK768="","",Raw_Data!AK768)</f>
        <v/>
      </c>
      <c r="N765" s="12" t="str">
        <f>IF(Raw_Data!T768="","",Raw_Data!T768)</f>
        <v/>
      </c>
      <c r="O765" s="12" t="str">
        <f>IF(Raw_Data!AB768&lt;&gt;"",Raw_Data!AB768,IF(N765="tres_insatisfait",1,IF(N765="insatisfait",2,IF(N765="neutre",3,IF(N765="satisfait",4,IF(N765="tres_satisfait",5,""))))))</f>
        <v/>
      </c>
      <c r="P765" s="12">
        <f>IF(Raw_Data!AL768&lt;&gt;"",Raw_Data!AL768,Raw_Data!R768)</f>
        <v>0</v>
      </c>
      <c r="Q765" s="12">
        <f t="shared" si="101"/>
        <v>0</v>
      </c>
      <c r="R765" s="12" t="str">
        <f>IF(Raw_Data!AM768="","",Raw_Data!AM768)</f>
        <v/>
      </c>
      <c r="S765" s="12" t="str">
        <f t="shared" si="102"/>
        <v/>
      </c>
      <c r="T765" s="12" t="str">
        <f>IF(Raw_Data!AN768="","",Raw_Data!AN768)</f>
        <v/>
      </c>
      <c r="U765" s="12" t="str">
        <f t="shared" si="103"/>
        <v/>
      </c>
      <c r="V765" s="12" t="str">
        <f>IF(Raw_Data!AP768="","",IF(Raw_Data!AP768="oui",1,0))</f>
        <v/>
      </c>
      <c r="W765" s="12" t="str">
        <f>IF(Raw_Data!AQ768="","",IF(Raw_Data!AQ768="oui",1,0))</f>
        <v/>
      </c>
      <c r="X765" s="12" t="str">
        <f>IF(Raw_Data!AR768="","",IF(Raw_Data!AR768="oui",1,0))</f>
        <v/>
      </c>
      <c r="Y765" s="12" t="str">
        <f>IF(Raw_Data!AS768="","",IF(Raw_Data!AS768="oui",1,0))</f>
        <v/>
      </c>
      <c r="Z765" s="12" t="str">
        <f>IF(Raw_Data!V768="","",IF(Raw_Data!V768="oui",1,0))</f>
        <v/>
      </c>
      <c r="AA765" s="12" t="str">
        <f>IF(Raw_Data!W768="","",IF(Raw_Data!W768="oui",1,0))</f>
        <v/>
      </c>
      <c r="AB765" s="12" t="str">
        <f>IF(Raw_Data!Q768="","",IF(Raw_Data!Q768="oui",1,0))</f>
        <v/>
      </c>
      <c r="AC765" s="12">
        <f>Raw_Data!AF768</f>
        <v>0</v>
      </c>
      <c r="AD765" s="12" t="str">
        <f t="shared" si="104"/>
        <v/>
      </c>
      <c r="AE765" s="12" t="str">
        <f t="shared" si="105"/>
        <v/>
      </c>
      <c r="AF765" s="12" t="str">
        <f t="shared" si="106"/>
        <v/>
      </c>
      <c r="AG765" s="12">
        <f t="shared" si="107"/>
        <v>0</v>
      </c>
    </row>
    <row r="766" spans="1:33" ht="15" customHeight="1" x14ac:dyDescent="0.25">
      <c r="A766" s="12" t="str">
        <f>IF(Raw_Data!B769="","",Raw_Data!B769)</f>
        <v/>
      </c>
      <c r="B766" s="12">
        <f>IF(Raw_Data!X769&lt;&gt;"",Raw_Data!X769,Raw_Data!C769)</f>
        <v>0</v>
      </c>
      <c r="C766" s="12" t="str">
        <f>IF(Raw_Data!G769="","",Raw_Data!G769)</f>
        <v/>
      </c>
      <c r="D766" s="12" t="str">
        <f>IF(Raw_Data!H769="","",Raw_Data!H769)</f>
        <v/>
      </c>
      <c r="E766" s="12" t="str">
        <f>IF(Raw_Data!I769="","",Raw_Data!I769)</f>
        <v/>
      </c>
      <c r="F766" s="12" t="str">
        <f>IF(Raw_Data!J769="","",Raw_Data!J769)</f>
        <v/>
      </c>
      <c r="G766" s="12" t="str">
        <f>IF(Raw_Data!AH769&lt;&gt;"",Raw_Data!AH769,IF(Raw_Data!K769&lt;&gt;"",Raw_Data!K769,""))</f>
        <v/>
      </c>
      <c r="H766" s="12" t="str">
        <f>IF(Raw_Data!AI769&lt;&gt;"",Raw_Data!AI769,IF(Raw_Data!L769&lt;&gt;"",Raw_Data!L769,""))</f>
        <v/>
      </c>
      <c r="I766" s="12" t="str">
        <f t="shared" si="99"/>
        <v/>
      </c>
      <c r="J766" s="12" t="str">
        <f>IF(Raw_Data!M769="","",Raw_Data!M769)</f>
        <v/>
      </c>
      <c r="K766" s="12">
        <f>IF(Raw_Data!AJ769&lt;&gt;"",Raw_Data!AJ769,Raw_Data!N769)</f>
        <v>0</v>
      </c>
      <c r="L766" s="12">
        <f t="shared" si="100"/>
        <v>1</v>
      </c>
      <c r="M766" s="12" t="str">
        <f>IF(Raw_Data!AK769="","",Raw_Data!AK769)</f>
        <v/>
      </c>
      <c r="N766" s="12" t="str">
        <f>IF(Raw_Data!T769="","",Raw_Data!T769)</f>
        <v/>
      </c>
      <c r="O766" s="12" t="str">
        <f>IF(Raw_Data!AB769&lt;&gt;"",Raw_Data!AB769,IF(N766="tres_insatisfait",1,IF(N766="insatisfait",2,IF(N766="neutre",3,IF(N766="satisfait",4,IF(N766="tres_satisfait",5,""))))))</f>
        <v/>
      </c>
      <c r="P766" s="12">
        <f>IF(Raw_Data!AL769&lt;&gt;"",Raw_Data!AL769,Raw_Data!R769)</f>
        <v>0</v>
      </c>
      <c r="Q766" s="12">
        <f t="shared" si="101"/>
        <v>0</v>
      </c>
      <c r="R766" s="12" t="str">
        <f>IF(Raw_Data!AM769="","",Raw_Data!AM769)</f>
        <v/>
      </c>
      <c r="S766" s="12" t="str">
        <f t="shared" si="102"/>
        <v/>
      </c>
      <c r="T766" s="12" t="str">
        <f>IF(Raw_Data!AN769="","",Raw_Data!AN769)</f>
        <v/>
      </c>
      <c r="U766" s="12" t="str">
        <f t="shared" si="103"/>
        <v/>
      </c>
      <c r="V766" s="12" t="str">
        <f>IF(Raw_Data!AP769="","",IF(Raw_Data!AP769="oui",1,0))</f>
        <v/>
      </c>
      <c r="W766" s="12" t="str">
        <f>IF(Raw_Data!AQ769="","",IF(Raw_Data!AQ769="oui",1,0))</f>
        <v/>
      </c>
      <c r="X766" s="12" t="str">
        <f>IF(Raw_Data!AR769="","",IF(Raw_Data!AR769="oui",1,0))</f>
        <v/>
      </c>
      <c r="Y766" s="12" t="str">
        <f>IF(Raw_Data!AS769="","",IF(Raw_Data!AS769="oui",1,0))</f>
        <v/>
      </c>
      <c r="Z766" s="12" t="str">
        <f>IF(Raw_Data!V769="","",IF(Raw_Data!V769="oui",1,0))</f>
        <v/>
      </c>
      <c r="AA766" s="12" t="str">
        <f>IF(Raw_Data!W769="","",IF(Raw_Data!W769="oui",1,0))</f>
        <v/>
      </c>
      <c r="AB766" s="12" t="str">
        <f>IF(Raw_Data!Q769="","",IF(Raw_Data!Q769="oui",1,0))</f>
        <v/>
      </c>
      <c r="AC766" s="12">
        <f>Raw_Data!AF769</f>
        <v>0</v>
      </c>
      <c r="AD766" s="12" t="str">
        <f t="shared" si="104"/>
        <v/>
      </c>
      <c r="AE766" s="12" t="str">
        <f t="shared" si="105"/>
        <v/>
      </c>
      <c r="AF766" s="12" t="str">
        <f t="shared" si="106"/>
        <v/>
      </c>
      <c r="AG766" s="12">
        <f t="shared" si="107"/>
        <v>0</v>
      </c>
    </row>
    <row r="767" spans="1:33" ht="15" customHeight="1" x14ac:dyDescent="0.25">
      <c r="A767" s="12" t="str">
        <f>IF(Raw_Data!B770="","",Raw_Data!B770)</f>
        <v/>
      </c>
      <c r="B767" s="12">
        <f>IF(Raw_Data!X770&lt;&gt;"",Raw_Data!X770,Raw_Data!C770)</f>
        <v>0</v>
      </c>
      <c r="C767" s="12" t="str">
        <f>IF(Raw_Data!G770="","",Raw_Data!G770)</f>
        <v/>
      </c>
      <c r="D767" s="12" t="str">
        <f>IF(Raw_Data!H770="","",Raw_Data!H770)</f>
        <v/>
      </c>
      <c r="E767" s="12" t="str">
        <f>IF(Raw_Data!I770="","",Raw_Data!I770)</f>
        <v/>
      </c>
      <c r="F767" s="12" t="str">
        <f>IF(Raw_Data!J770="","",Raw_Data!J770)</f>
        <v/>
      </c>
      <c r="G767" s="12" t="str">
        <f>IF(Raw_Data!AH770&lt;&gt;"",Raw_Data!AH770,IF(Raw_Data!K770&lt;&gt;"",Raw_Data!K770,""))</f>
        <v/>
      </c>
      <c r="H767" s="12" t="str">
        <f>IF(Raw_Data!AI770&lt;&gt;"",Raw_Data!AI770,IF(Raw_Data!L770&lt;&gt;"",Raw_Data!L770,""))</f>
        <v/>
      </c>
      <c r="I767" s="12" t="str">
        <f t="shared" si="99"/>
        <v/>
      </c>
      <c r="J767" s="12" t="str">
        <f>IF(Raw_Data!M770="","",Raw_Data!M770)</f>
        <v/>
      </c>
      <c r="K767" s="12">
        <f>IF(Raw_Data!AJ770&lt;&gt;"",Raw_Data!AJ770,Raw_Data!N770)</f>
        <v>0</v>
      </c>
      <c r="L767" s="12">
        <f t="shared" si="100"/>
        <v>1</v>
      </c>
      <c r="M767" s="12" t="str">
        <f>IF(Raw_Data!AK770="","",Raw_Data!AK770)</f>
        <v/>
      </c>
      <c r="N767" s="12" t="str">
        <f>IF(Raw_Data!T770="","",Raw_Data!T770)</f>
        <v/>
      </c>
      <c r="O767" s="12" t="str">
        <f>IF(Raw_Data!AB770&lt;&gt;"",Raw_Data!AB770,IF(N767="tres_insatisfait",1,IF(N767="insatisfait",2,IF(N767="neutre",3,IF(N767="satisfait",4,IF(N767="tres_satisfait",5,""))))))</f>
        <v/>
      </c>
      <c r="P767" s="12">
        <f>IF(Raw_Data!AL770&lt;&gt;"",Raw_Data!AL770,Raw_Data!R770)</f>
        <v>0</v>
      </c>
      <c r="Q767" s="12">
        <f t="shared" si="101"/>
        <v>0</v>
      </c>
      <c r="R767" s="12" t="str">
        <f>IF(Raw_Data!AM770="","",Raw_Data!AM770)</f>
        <v/>
      </c>
      <c r="S767" s="12" t="str">
        <f t="shared" si="102"/>
        <v/>
      </c>
      <c r="T767" s="12" t="str">
        <f>IF(Raw_Data!AN770="","",Raw_Data!AN770)</f>
        <v/>
      </c>
      <c r="U767" s="12" t="str">
        <f t="shared" si="103"/>
        <v/>
      </c>
      <c r="V767" s="12" t="str">
        <f>IF(Raw_Data!AP770="","",IF(Raw_Data!AP770="oui",1,0))</f>
        <v/>
      </c>
      <c r="W767" s="12" t="str">
        <f>IF(Raw_Data!AQ770="","",IF(Raw_Data!AQ770="oui",1,0))</f>
        <v/>
      </c>
      <c r="X767" s="12" t="str">
        <f>IF(Raw_Data!AR770="","",IF(Raw_Data!AR770="oui",1,0))</f>
        <v/>
      </c>
      <c r="Y767" s="12" t="str">
        <f>IF(Raw_Data!AS770="","",IF(Raw_Data!AS770="oui",1,0))</f>
        <v/>
      </c>
      <c r="Z767" s="12" t="str">
        <f>IF(Raw_Data!V770="","",IF(Raw_Data!V770="oui",1,0))</f>
        <v/>
      </c>
      <c r="AA767" s="12" t="str">
        <f>IF(Raw_Data!W770="","",IF(Raw_Data!W770="oui",1,0))</f>
        <v/>
      </c>
      <c r="AB767" s="12" t="str">
        <f>IF(Raw_Data!Q770="","",IF(Raw_Data!Q770="oui",1,0))</f>
        <v/>
      </c>
      <c r="AC767" s="12">
        <f>Raw_Data!AF770</f>
        <v>0</v>
      </c>
      <c r="AD767" s="12" t="str">
        <f t="shared" si="104"/>
        <v/>
      </c>
      <c r="AE767" s="12" t="str">
        <f t="shared" si="105"/>
        <v/>
      </c>
      <c r="AF767" s="12" t="str">
        <f t="shared" si="106"/>
        <v/>
      </c>
      <c r="AG767" s="12">
        <f t="shared" si="107"/>
        <v>0</v>
      </c>
    </row>
    <row r="768" spans="1:33" ht="15" customHeight="1" x14ac:dyDescent="0.25">
      <c r="A768" s="12" t="str">
        <f>IF(Raw_Data!B771="","",Raw_Data!B771)</f>
        <v/>
      </c>
      <c r="B768" s="12">
        <f>IF(Raw_Data!X771&lt;&gt;"",Raw_Data!X771,Raw_Data!C771)</f>
        <v>0</v>
      </c>
      <c r="C768" s="12" t="str">
        <f>IF(Raw_Data!G771="","",Raw_Data!G771)</f>
        <v/>
      </c>
      <c r="D768" s="12" t="str">
        <f>IF(Raw_Data!H771="","",Raw_Data!H771)</f>
        <v/>
      </c>
      <c r="E768" s="12" t="str">
        <f>IF(Raw_Data!I771="","",Raw_Data!I771)</f>
        <v/>
      </c>
      <c r="F768" s="12" t="str">
        <f>IF(Raw_Data!J771="","",Raw_Data!J771)</f>
        <v/>
      </c>
      <c r="G768" s="12" t="str">
        <f>IF(Raw_Data!AH771&lt;&gt;"",Raw_Data!AH771,IF(Raw_Data!K771&lt;&gt;"",Raw_Data!K771,""))</f>
        <v/>
      </c>
      <c r="H768" s="12" t="str">
        <f>IF(Raw_Data!AI771&lt;&gt;"",Raw_Data!AI771,IF(Raw_Data!L771&lt;&gt;"",Raw_Data!L771,""))</f>
        <v/>
      </c>
      <c r="I768" s="12" t="str">
        <f t="shared" si="99"/>
        <v/>
      </c>
      <c r="J768" s="12" t="str">
        <f>IF(Raw_Data!M771="","",Raw_Data!M771)</f>
        <v/>
      </c>
      <c r="K768" s="12">
        <f>IF(Raw_Data!AJ771&lt;&gt;"",Raw_Data!AJ771,Raw_Data!N771)</f>
        <v>0</v>
      </c>
      <c r="L768" s="12">
        <f t="shared" si="100"/>
        <v>1</v>
      </c>
      <c r="M768" s="12" t="str">
        <f>IF(Raw_Data!AK771="","",Raw_Data!AK771)</f>
        <v/>
      </c>
      <c r="N768" s="12" t="str">
        <f>IF(Raw_Data!T771="","",Raw_Data!T771)</f>
        <v/>
      </c>
      <c r="O768" s="12" t="str">
        <f>IF(Raw_Data!AB771&lt;&gt;"",Raw_Data!AB771,IF(N768="tres_insatisfait",1,IF(N768="insatisfait",2,IF(N768="neutre",3,IF(N768="satisfait",4,IF(N768="tres_satisfait",5,""))))))</f>
        <v/>
      </c>
      <c r="P768" s="12">
        <f>IF(Raw_Data!AL771&lt;&gt;"",Raw_Data!AL771,Raw_Data!R771)</f>
        <v>0</v>
      </c>
      <c r="Q768" s="12">
        <f t="shared" si="101"/>
        <v>0</v>
      </c>
      <c r="R768" s="12" t="str">
        <f>IF(Raw_Data!AM771="","",Raw_Data!AM771)</f>
        <v/>
      </c>
      <c r="S768" s="12" t="str">
        <f t="shared" si="102"/>
        <v/>
      </c>
      <c r="T768" s="12" t="str">
        <f>IF(Raw_Data!AN771="","",Raw_Data!AN771)</f>
        <v/>
      </c>
      <c r="U768" s="12" t="str">
        <f t="shared" si="103"/>
        <v/>
      </c>
      <c r="V768" s="12" t="str">
        <f>IF(Raw_Data!AP771="","",IF(Raw_Data!AP771="oui",1,0))</f>
        <v/>
      </c>
      <c r="W768" s="12" t="str">
        <f>IF(Raw_Data!AQ771="","",IF(Raw_Data!AQ771="oui",1,0))</f>
        <v/>
      </c>
      <c r="X768" s="12" t="str">
        <f>IF(Raw_Data!AR771="","",IF(Raw_Data!AR771="oui",1,0))</f>
        <v/>
      </c>
      <c r="Y768" s="12" t="str">
        <f>IF(Raw_Data!AS771="","",IF(Raw_Data!AS771="oui",1,0))</f>
        <v/>
      </c>
      <c r="Z768" s="12" t="str">
        <f>IF(Raw_Data!V771="","",IF(Raw_Data!V771="oui",1,0))</f>
        <v/>
      </c>
      <c r="AA768" s="12" t="str">
        <f>IF(Raw_Data!W771="","",IF(Raw_Data!W771="oui",1,0))</f>
        <v/>
      </c>
      <c r="AB768" s="12" t="str">
        <f>IF(Raw_Data!Q771="","",IF(Raw_Data!Q771="oui",1,0))</f>
        <v/>
      </c>
      <c r="AC768" s="12">
        <f>Raw_Data!AF771</f>
        <v>0</v>
      </c>
      <c r="AD768" s="12" t="str">
        <f t="shared" si="104"/>
        <v/>
      </c>
      <c r="AE768" s="12" t="str">
        <f t="shared" si="105"/>
        <v/>
      </c>
      <c r="AF768" s="12" t="str">
        <f t="shared" si="106"/>
        <v/>
      </c>
      <c r="AG768" s="12">
        <f t="shared" si="107"/>
        <v>0</v>
      </c>
    </row>
    <row r="769" spans="1:33" ht="15" customHeight="1" x14ac:dyDescent="0.25">
      <c r="A769" s="12" t="str">
        <f>IF(Raw_Data!B772="","",Raw_Data!B772)</f>
        <v/>
      </c>
      <c r="B769" s="12">
        <f>IF(Raw_Data!X772&lt;&gt;"",Raw_Data!X772,Raw_Data!C772)</f>
        <v>0</v>
      </c>
      <c r="C769" s="12" t="str">
        <f>IF(Raw_Data!G772="","",Raw_Data!G772)</f>
        <v/>
      </c>
      <c r="D769" s="12" t="str">
        <f>IF(Raw_Data!H772="","",Raw_Data!H772)</f>
        <v/>
      </c>
      <c r="E769" s="12" t="str">
        <f>IF(Raw_Data!I772="","",Raw_Data!I772)</f>
        <v/>
      </c>
      <c r="F769" s="12" t="str">
        <f>IF(Raw_Data!J772="","",Raw_Data!J772)</f>
        <v/>
      </c>
      <c r="G769" s="12" t="str">
        <f>IF(Raw_Data!AH772&lt;&gt;"",Raw_Data!AH772,IF(Raw_Data!K772&lt;&gt;"",Raw_Data!K772,""))</f>
        <v/>
      </c>
      <c r="H769" s="12" t="str">
        <f>IF(Raw_Data!AI772&lt;&gt;"",Raw_Data!AI772,IF(Raw_Data!L772&lt;&gt;"",Raw_Data!L772,""))</f>
        <v/>
      </c>
      <c r="I769" s="12" t="str">
        <f t="shared" si="99"/>
        <v/>
      </c>
      <c r="J769" s="12" t="str">
        <f>IF(Raw_Data!M772="","",Raw_Data!M772)</f>
        <v/>
      </c>
      <c r="K769" s="12">
        <f>IF(Raw_Data!AJ772&lt;&gt;"",Raw_Data!AJ772,Raw_Data!N772)</f>
        <v>0</v>
      </c>
      <c r="L769" s="12">
        <f t="shared" si="100"/>
        <v>1</v>
      </c>
      <c r="M769" s="12" t="str">
        <f>IF(Raw_Data!AK772="","",Raw_Data!AK772)</f>
        <v/>
      </c>
      <c r="N769" s="12" t="str">
        <f>IF(Raw_Data!T772="","",Raw_Data!T772)</f>
        <v/>
      </c>
      <c r="O769" s="12" t="str">
        <f>IF(Raw_Data!AB772&lt;&gt;"",Raw_Data!AB772,IF(N769="tres_insatisfait",1,IF(N769="insatisfait",2,IF(N769="neutre",3,IF(N769="satisfait",4,IF(N769="tres_satisfait",5,""))))))</f>
        <v/>
      </c>
      <c r="P769" s="12">
        <f>IF(Raw_Data!AL772&lt;&gt;"",Raw_Data!AL772,Raw_Data!R772)</f>
        <v>0</v>
      </c>
      <c r="Q769" s="12">
        <f t="shared" si="101"/>
        <v>0</v>
      </c>
      <c r="R769" s="12" t="str">
        <f>IF(Raw_Data!AM772="","",Raw_Data!AM772)</f>
        <v/>
      </c>
      <c r="S769" s="12" t="str">
        <f t="shared" si="102"/>
        <v/>
      </c>
      <c r="T769" s="12" t="str">
        <f>IF(Raw_Data!AN772="","",Raw_Data!AN772)</f>
        <v/>
      </c>
      <c r="U769" s="12" t="str">
        <f t="shared" si="103"/>
        <v/>
      </c>
      <c r="V769" s="12" t="str">
        <f>IF(Raw_Data!AP772="","",IF(Raw_Data!AP772="oui",1,0))</f>
        <v/>
      </c>
      <c r="W769" s="12" t="str">
        <f>IF(Raw_Data!AQ772="","",IF(Raw_Data!AQ772="oui",1,0))</f>
        <v/>
      </c>
      <c r="X769" s="12" t="str">
        <f>IF(Raw_Data!AR772="","",IF(Raw_Data!AR772="oui",1,0))</f>
        <v/>
      </c>
      <c r="Y769" s="12" t="str">
        <f>IF(Raw_Data!AS772="","",IF(Raw_Data!AS772="oui",1,0))</f>
        <v/>
      </c>
      <c r="Z769" s="12" t="str">
        <f>IF(Raw_Data!V772="","",IF(Raw_Data!V772="oui",1,0))</f>
        <v/>
      </c>
      <c r="AA769" s="12" t="str">
        <f>IF(Raw_Data!W772="","",IF(Raw_Data!W772="oui",1,0))</f>
        <v/>
      </c>
      <c r="AB769" s="12" t="str">
        <f>IF(Raw_Data!Q772="","",IF(Raw_Data!Q772="oui",1,0))</f>
        <v/>
      </c>
      <c r="AC769" s="12">
        <f>Raw_Data!AF772</f>
        <v>0</v>
      </c>
      <c r="AD769" s="12" t="str">
        <f t="shared" si="104"/>
        <v/>
      </c>
      <c r="AE769" s="12" t="str">
        <f t="shared" si="105"/>
        <v/>
      </c>
      <c r="AF769" s="12" t="str">
        <f t="shared" si="106"/>
        <v/>
      </c>
      <c r="AG769" s="12">
        <f t="shared" si="107"/>
        <v>0</v>
      </c>
    </row>
    <row r="770" spans="1:33" ht="15" customHeight="1" x14ac:dyDescent="0.25">
      <c r="A770" s="12" t="str">
        <f>IF(Raw_Data!B773="","",Raw_Data!B773)</f>
        <v/>
      </c>
      <c r="B770" s="12">
        <f>IF(Raw_Data!X773&lt;&gt;"",Raw_Data!X773,Raw_Data!C773)</f>
        <v>0</v>
      </c>
      <c r="C770" s="12" t="str">
        <f>IF(Raw_Data!G773="","",Raw_Data!G773)</f>
        <v/>
      </c>
      <c r="D770" s="12" t="str">
        <f>IF(Raw_Data!H773="","",Raw_Data!H773)</f>
        <v/>
      </c>
      <c r="E770" s="12" t="str">
        <f>IF(Raw_Data!I773="","",Raw_Data!I773)</f>
        <v/>
      </c>
      <c r="F770" s="12" t="str">
        <f>IF(Raw_Data!J773="","",Raw_Data!J773)</f>
        <v/>
      </c>
      <c r="G770" s="12" t="str">
        <f>IF(Raw_Data!AH773&lt;&gt;"",Raw_Data!AH773,IF(Raw_Data!K773&lt;&gt;"",Raw_Data!K773,""))</f>
        <v/>
      </c>
      <c r="H770" s="12" t="str">
        <f>IF(Raw_Data!AI773&lt;&gt;"",Raw_Data!AI773,IF(Raw_Data!L773&lt;&gt;"",Raw_Data!L773,""))</f>
        <v/>
      </c>
      <c r="I770" s="12" t="str">
        <f t="shared" ref="I770:I833" si="108">IF(H770="","",IF(H770&lt;18,"&lt;18 ans",IF(H770&lt;60,"18-59 ans","60 ans et +")))</f>
        <v/>
      </c>
      <c r="J770" s="12" t="str">
        <f>IF(Raw_Data!M773="","",Raw_Data!M773)</f>
        <v/>
      </c>
      <c r="K770" s="12">
        <f>IF(Raw_Data!AJ773&lt;&gt;"",Raw_Data!AJ773,Raw_Data!N773)</f>
        <v>0</v>
      </c>
      <c r="L770" s="12">
        <f t="shared" ref="L770:L833" si="109">IF(K770="",0,1)</f>
        <v>1</v>
      </c>
      <c r="M770" s="12" t="str">
        <f>IF(Raw_Data!AK773="","",Raw_Data!AK773)</f>
        <v/>
      </c>
      <c r="N770" s="12" t="str">
        <f>IF(Raw_Data!T773="","",Raw_Data!T773)</f>
        <v/>
      </c>
      <c r="O770" s="12" t="str">
        <f>IF(Raw_Data!AB773&lt;&gt;"",Raw_Data!AB773,IF(N770="tres_insatisfait",1,IF(N770="insatisfait",2,IF(N770="neutre",3,IF(N770="satisfait",4,IF(N770="tres_satisfait",5,""))))))</f>
        <v/>
      </c>
      <c r="P770" s="12">
        <f>IF(Raw_Data!AL773&lt;&gt;"",Raw_Data!AL773,Raw_Data!R773)</f>
        <v>0</v>
      </c>
      <c r="Q770" s="12">
        <f t="shared" ref="Q770:Q833" si="110">IF(P770="","",IF(P770="oui",1,0))</f>
        <v>0</v>
      </c>
      <c r="R770" s="12" t="str">
        <f>IF(Raw_Data!AM773="","",Raw_Data!AM773)</f>
        <v/>
      </c>
      <c r="S770" s="12" t="str">
        <f t="shared" ref="S770:S833" si="111">IF(R770="","",IF(R770="oui",1,0))</f>
        <v/>
      </c>
      <c r="T770" s="12" t="str">
        <f>IF(Raw_Data!AN773="","",Raw_Data!AN773)</f>
        <v/>
      </c>
      <c r="U770" s="12" t="str">
        <f t="shared" ref="U770:U833" si="112">IF(T770="","",IF(T770="oui",1,0))</f>
        <v/>
      </c>
      <c r="V770" s="12" t="str">
        <f>IF(Raw_Data!AP773="","",IF(Raw_Data!AP773="oui",1,0))</f>
        <v/>
      </c>
      <c r="W770" s="12" t="str">
        <f>IF(Raw_Data!AQ773="","",IF(Raw_Data!AQ773="oui",1,0))</f>
        <v/>
      </c>
      <c r="X770" s="12" t="str">
        <f>IF(Raw_Data!AR773="","",IF(Raw_Data!AR773="oui",1,0))</f>
        <v/>
      </c>
      <c r="Y770" s="12" t="str">
        <f>IF(Raw_Data!AS773="","",IF(Raw_Data!AS773="oui",1,0))</f>
        <v/>
      </c>
      <c r="Z770" s="12" t="str">
        <f>IF(Raw_Data!V773="","",IF(Raw_Data!V773="oui",1,0))</f>
        <v/>
      </c>
      <c r="AA770" s="12" t="str">
        <f>IF(Raw_Data!W773="","",IF(Raw_Data!W773="oui",1,0))</f>
        <v/>
      </c>
      <c r="AB770" s="12" t="str">
        <f>IF(Raw_Data!Q773="","",IF(Raw_Data!Q773="oui",1,0))</f>
        <v/>
      </c>
      <c r="AC770" s="12">
        <f>Raw_Data!AF773</f>
        <v>0</v>
      </c>
      <c r="AD770" s="12" t="str">
        <f t="shared" ref="AD770:AD833" si="113">IF(A770="","",F770&amp;"|"&amp;E770&amp;"|"&amp;TEXT(B770,"YYYY-MM-DD"))</f>
        <v/>
      </c>
      <c r="AE770" s="12" t="str">
        <f t="shared" ref="AE770:AE833" si="114">IF(AD770="","",IF(COUNTIF($AD$2:$AD$1000,AD770)&gt;1,1,0))</f>
        <v/>
      </c>
      <c r="AF770" s="12" t="str">
        <f t="shared" ref="AF770:AF833" si="115">IF(A770="","",IF(OR(C770="",D770="",G770="",H770="",N770=""),1,0))</f>
        <v/>
      </c>
      <c r="AG770" s="12">
        <f t="shared" ref="AG770:AG833" si="116">IF(A770="",0,1)</f>
        <v>0</v>
      </c>
    </row>
    <row r="771" spans="1:33" ht="15" customHeight="1" x14ac:dyDescent="0.25">
      <c r="A771" s="12" t="str">
        <f>IF(Raw_Data!B774="","",Raw_Data!B774)</f>
        <v/>
      </c>
      <c r="B771" s="12">
        <f>IF(Raw_Data!X774&lt;&gt;"",Raw_Data!X774,Raw_Data!C774)</f>
        <v>0</v>
      </c>
      <c r="C771" s="12" t="str">
        <f>IF(Raw_Data!G774="","",Raw_Data!G774)</f>
        <v/>
      </c>
      <c r="D771" s="12" t="str">
        <f>IF(Raw_Data!H774="","",Raw_Data!H774)</f>
        <v/>
      </c>
      <c r="E771" s="12" t="str">
        <f>IF(Raw_Data!I774="","",Raw_Data!I774)</f>
        <v/>
      </c>
      <c r="F771" s="12" t="str">
        <f>IF(Raw_Data!J774="","",Raw_Data!J774)</f>
        <v/>
      </c>
      <c r="G771" s="12" t="str">
        <f>IF(Raw_Data!AH774&lt;&gt;"",Raw_Data!AH774,IF(Raw_Data!K774&lt;&gt;"",Raw_Data!K774,""))</f>
        <v/>
      </c>
      <c r="H771" s="12" t="str">
        <f>IF(Raw_Data!AI774&lt;&gt;"",Raw_Data!AI774,IF(Raw_Data!L774&lt;&gt;"",Raw_Data!L774,""))</f>
        <v/>
      </c>
      <c r="I771" s="12" t="str">
        <f t="shared" si="108"/>
        <v/>
      </c>
      <c r="J771" s="12" t="str">
        <f>IF(Raw_Data!M774="","",Raw_Data!M774)</f>
        <v/>
      </c>
      <c r="K771" s="12">
        <f>IF(Raw_Data!AJ774&lt;&gt;"",Raw_Data!AJ774,Raw_Data!N774)</f>
        <v>0</v>
      </c>
      <c r="L771" s="12">
        <f t="shared" si="109"/>
        <v>1</v>
      </c>
      <c r="M771" s="12" t="str">
        <f>IF(Raw_Data!AK774="","",Raw_Data!AK774)</f>
        <v/>
      </c>
      <c r="N771" s="12" t="str">
        <f>IF(Raw_Data!T774="","",Raw_Data!T774)</f>
        <v/>
      </c>
      <c r="O771" s="12" t="str">
        <f>IF(Raw_Data!AB774&lt;&gt;"",Raw_Data!AB774,IF(N771="tres_insatisfait",1,IF(N771="insatisfait",2,IF(N771="neutre",3,IF(N771="satisfait",4,IF(N771="tres_satisfait",5,""))))))</f>
        <v/>
      </c>
      <c r="P771" s="12">
        <f>IF(Raw_Data!AL774&lt;&gt;"",Raw_Data!AL774,Raw_Data!R774)</f>
        <v>0</v>
      </c>
      <c r="Q771" s="12">
        <f t="shared" si="110"/>
        <v>0</v>
      </c>
      <c r="R771" s="12" t="str">
        <f>IF(Raw_Data!AM774="","",Raw_Data!AM774)</f>
        <v/>
      </c>
      <c r="S771" s="12" t="str">
        <f t="shared" si="111"/>
        <v/>
      </c>
      <c r="T771" s="12" t="str">
        <f>IF(Raw_Data!AN774="","",Raw_Data!AN774)</f>
        <v/>
      </c>
      <c r="U771" s="12" t="str">
        <f t="shared" si="112"/>
        <v/>
      </c>
      <c r="V771" s="12" t="str">
        <f>IF(Raw_Data!AP774="","",IF(Raw_Data!AP774="oui",1,0))</f>
        <v/>
      </c>
      <c r="W771" s="12" t="str">
        <f>IF(Raw_Data!AQ774="","",IF(Raw_Data!AQ774="oui",1,0))</f>
        <v/>
      </c>
      <c r="X771" s="12" t="str">
        <f>IF(Raw_Data!AR774="","",IF(Raw_Data!AR774="oui",1,0))</f>
        <v/>
      </c>
      <c r="Y771" s="12" t="str">
        <f>IF(Raw_Data!AS774="","",IF(Raw_Data!AS774="oui",1,0))</f>
        <v/>
      </c>
      <c r="Z771" s="12" t="str">
        <f>IF(Raw_Data!V774="","",IF(Raw_Data!V774="oui",1,0))</f>
        <v/>
      </c>
      <c r="AA771" s="12" t="str">
        <f>IF(Raw_Data!W774="","",IF(Raw_Data!W774="oui",1,0))</f>
        <v/>
      </c>
      <c r="AB771" s="12" t="str">
        <f>IF(Raw_Data!Q774="","",IF(Raw_Data!Q774="oui",1,0))</f>
        <v/>
      </c>
      <c r="AC771" s="12">
        <f>Raw_Data!AF774</f>
        <v>0</v>
      </c>
      <c r="AD771" s="12" t="str">
        <f t="shared" si="113"/>
        <v/>
      </c>
      <c r="AE771" s="12" t="str">
        <f t="shared" si="114"/>
        <v/>
      </c>
      <c r="AF771" s="12" t="str">
        <f t="shared" si="115"/>
        <v/>
      </c>
      <c r="AG771" s="12">
        <f t="shared" si="116"/>
        <v>0</v>
      </c>
    </row>
    <row r="772" spans="1:33" ht="15" customHeight="1" x14ac:dyDescent="0.25">
      <c r="A772" s="12" t="str">
        <f>IF(Raw_Data!B775="","",Raw_Data!B775)</f>
        <v/>
      </c>
      <c r="B772" s="12">
        <f>IF(Raw_Data!X775&lt;&gt;"",Raw_Data!X775,Raw_Data!C775)</f>
        <v>0</v>
      </c>
      <c r="C772" s="12" t="str">
        <f>IF(Raw_Data!G775="","",Raw_Data!G775)</f>
        <v/>
      </c>
      <c r="D772" s="12" t="str">
        <f>IF(Raw_Data!H775="","",Raw_Data!H775)</f>
        <v/>
      </c>
      <c r="E772" s="12" t="str">
        <f>IF(Raw_Data!I775="","",Raw_Data!I775)</f>
        <v/>
      </c>
      <c r="F772" s="12" t="str">
        <f>IF(Raw_Data!J775="","",Raw_Data!J775)</f>
        <v/>
      </c>
      <c r="G772" s="12" t="str">
        <f>IF(Raw_Data!AH775&lt;&gt;"",Raw_Data!AH775,IF(Raw_Data!K775&lt;&gt;"",Raw_Data!K775,""))</f>
        <v/>
      </c>
      <c r="H772" s="12" t="str">
        <f>IF(Raw_Data!AI775&lt;&gt;"",Raw_Data!AI775,IF(Raw_Data!L775&lt;&gt;"",Raw_Data!L775,""))</f>
        <v/>
      </c>
      <c r="I772" s="12" t="str">
        <f t="shared" si="108"/>
        <v/>
      </c>
      <c r="J772" s="12" t="str">
        <f>IF(Raw_Data!M775="","",Raw_Data!M775)</f>
        <v/>
      </c>
      <c r="K772" s="12">
        <f>IF(Raw_Data!AJ775&lt;&gt;"",Raw_Data!AJ775,Raw_Data!N775)</f>
        <v>0</v>
      </c>
      <c r="L772" s="12">
        <f t="shared" si="109"/>
        <v>1</v>
      </c>
      <c r="M772" s="12" t="str">
        <f>IF(Raw_Data!AK775="","",Raw_Data!AK775)</f>
        <v/>
      </c>
      <c r="N772" s="12" t="str">
        <f>IF(Raw_Data!T775="","",Raw_Data!T775)</f>
        <v/>
      </c>
      <c r="O772" s="12" t="str">
        <f>IF(Raw_Data!AB775&lt;&gt;"",Raw_Data!AB775,IF(N772="tres_insatisfait",1,IF(N772="insatisfait",2,IF(N772="neutre",3,IF(N772="satisfait",4,IF(N772="tres_satisfait",5,""))))))</f>
        <v/>
      </c>
      <c r="P772" s="12">
        <f>IF(Raw_Data!AL775&lt;&gt;"",Raw_Data!AL775,Raw_Data!R775)</f>
        <v>0</v>
      </c>
      <c r="Q772" s="12">
        <f t="shared" si="110"/>
        <v>0</v>
      </c>
      <c r="R772" s="12" t="str">
        <f>IF(Raw_Data!AM775="","",Raw_Data!AM775)</f>
        <v/>
      </c>
      <c r="S772" s="12" t="str">
        <f t="shared" si="111"/>
        <v/>
      </c>
      <c r="T772" s="12" t="str">
        <f>IF(Raw_Data!AN775="","",Raw_Data!AN775)</f>
        <v/>
      </c>
      <c r="U772" s="12" t="str">
        <f t="shared" si="112"/>
        <v/>
      </c>
      <c r="V772" s="12" t="str">
        <f>IF(Raw_Data!AP775="","",IF(Raw_Data!AP775="oui",1,0))</f>
        <v/>
      </c>
      <c r="W772" s="12" t="str">
        <f>IF(Raw_Data!AQ775="","",IF(Raw_Data!AQ775="oui",1,0))</f>
        <v/>
      </c>
      <c r="X772" s="12" t="str">
        <f>IF(Raw_Data!AR775="","",IF(Raw_Data!AR775="oui",1,0))</f>
        <v/>
      </c>
      <c r="Y772" s="12" t="str">
        <f>IF(Raw_Data!AS775="","",IF(Raw_Data!AS775="oui",1,0))</f>
        <v/>
      </c>
      <c r="Z772" s="12" t="str">
        <f>IF(Raw_Data!V775="","",IF(Raw_Data!V775="oui",1,0))</f>
        <v/>
      </c>
      <c r="AA772" s="12" t="str">
        <f>IF(Raw_Data!W775="","",IF(Raw_Data!W775="oui",1,0))</f>
        <v/>
      </c>
      <c r="AB772" s="12" t="str">
        <f>IF(Raw_Data!Q775="","",IF(Raw_Data!Q775="oui",1,0))</f>
        <v/>
      </c>
      <c r="AC772" s="12">
        <f>Raw_Data!AF775</f>
        <v>0</v>
      </c>
      <c r="AD772" s="12" t="str">
        <f t="shared" si="113"/>
        <v/>
      </c>
      <c r="AE772" s="12" t="str">
        <f t="shared" si="114"/>
        <v/>
      </c>
      <c r="AF772" s="12" t="str">
        <f t="shared" si="115"/>
        <v/>
      </c>
      <c r="AG772" s="12">
        <f t="shared" si="116"/>
        <v>0</v>
      </c>
    </row>
    <row r="773" spans="1:33" ht="15" customHeight="1" x14ac:dyDescent="0.25">
      <c r="A773" s="12" t="str">
        <f>IF(Raw_Data!B776="","",Raw_Data!B776)</f>
        <v/>
      </c>
      <c r="B773" s="12">
        <f>IF(Raw_Data!X776&lt;&gt;"",Raw_Data!X776,Raw_Data!C776)</f>
        <v>0</v>
      </c>
      <c r="C773" s="12" t="str">
        <f>IF(Raw_Data!G776="","",Raw_Data!G776)</f>
        <v/>
      </c>
      <c r="D773" s="12" t="str">
        <f>IF(Raw_Data!H776="","",Raw_Data!H776)</f>
        <v/>
      </c>
      <c r="E773" s="12" t="str">
        <f>IF(Raw_Data!I776="","",Raw_Data!I776)</f>
        <v/>
      </c>
      <c r="F773" s="12" t="str">
        <f>IF(Raw_Data!J776="","",Raw_Data!J776)</f>
        <v/>
      </c>
      <c r="G773" s="12" t="str">
        <f>IF(Raw_Data!AH776&lt;&gt;"",Raw_Data!AH776,IF(Raw_Data!K776&lt;&gt;"",Raw_Data!K776,""))</f>
        <v/>
      </c>
      <c r="H773" s="12" t="str">
        <f>IF(Raw_Data!AI776&lt;&gt;"",Raw_Data!AI776,IF(Raw_Data!L776&lt;&gt;"",Raw_Data!L776,""))</f>
        <v/>
      </c>
      <c r="I773" s="12" t="str">
        <f t="shared" si="108"/>
        <v/>
      </c>
      <c r="J773" s="12" t="str">
        <f>IF(Raw_Data!M776="","",Raw_Data!M776)</f>
        <v/>
      </c>
      <c r="K773" s="12">
        <f>IF(Raw_Data!AJ776&lt;&gt;"",Raw_Data!AJ776,Raw_Data!N776)</f>
        <v>0</v>
      </c>
      <c r="L773" s="12">
        <f t="shared" si="109"/>
        <v>1</v>
      </c>
      <c r="M773" s="12" t="str">
        <f>IF(Raw_Data!AK776="","",Raw_Data!AK776)</f>
        <v/>
      </c>
      <c r="N773" s="12" t="str">
        <f>IF(Raw_Data!T776="","",Raw_Data!T776)</f>
        <v/>
      </c>
      <c r="O773" s="12" t="str">
        <f>IF(Raw_Data!AB776&lt;&gt;"",Raw_Data!AB776,IF(N773="tres_insatisfait",1,IF(N773="insatisfait",2,IF(N773="neutre",3,IF(N773="satisfait",4,IF(N773="tres_satisfait",5,""))))))</f>
        <v/>
      </c>
      <c r="P773" s="12">
        <f>IF(Raw_Data!AL776&lt;&gt;"",Raw_Data!AL776,Raw_Data!R776)</f>
        <v>0</v>
      </c>
      <c r="Q773" s="12">
        <f t="shared" si="110"/>
        <v>0</v>
      </c>
      <c r="R773" s="12" t="str">
        <f>IF(Raw_Data!AM776="","",Raw_Data!AM776)</f>
        <v/>
      </c>
      <c r="S773" s="12" t="str">
        <f t="shared" si="111"/>
        <v/>
      </c>
      <c r="T773" s="12" t="str">
        <f>IF(Raw_Data!AN776="","",Raw_Data!AN776)</f>
        <v/>
      </c>
      <c r="U773" s="12" t="str">
        <f t="shared" si="112"/>
        <v/>
      </c>
      <c r="V773" s="12" t="str">
        <f>IF(Raw_Data!AP776="","",IF(Raw_Data!AP776="oui",1,0))</f>
        <v/>
      </c>
      <c r="W773" s="12" t="str">
        <f>IF(Raw_Data!AQ776="","",IF(Raw_Data!AQ776="oui",1,0))</f>
        <v/>
      </c>
      <c r="X773" s="12" t="str">
        <f>IF(Raw_Data!AR776="","",IF(Raw_Data!AR776="oui",1,0))</f>
        <v/>
      </c>
      <c r="Y773" s="12" t="str">
        <f>IF(Raw_Data!AS776="","",IF(Raw_Data!AS776="oui",1,0))</f>
        <v/>
      </c>
      <c r="Z773" s="12" t="str">
        <f>IF(Raw_Data!V776="","",IF(Raw_Data!V776="oui",1,0))</f>
        <v/>
      </c>
      <c r="AA773" s="12" t="str">
        <f>IF(Raw_Data!W776="","",IF(Raw_Data!W776="oui",1,0))</f>
        <v/>
      </c>
      <c r="AB773" s="12" t="str">
        <f>IF(Raw_Data!Q776="","",IF(Raw_Data!Q776="oui",1,0))</f>
        <v/>
      </c>
      <c r="AC773" s="12">
        <f>Raw_Data!AF776</f>
        <v>0</v>
      </c>
      <c r="AD773" s="12" t="str">
        <f t="shared" si="113"/>
        <v/>
      </c>
      <c r="AE773" s="12" t="str">
        <f t="shared" si="114"/>
        <v/>
      </c>
      <c r="AF773" s="12" t="str">
        <f t="shared" si="115"/>
        <v/>
      </c>
      <c r="AG773" s="12">
        <f t="shared" si="116"/>
        <v>0</v>
      </c>
    </row>
    <row r="774" spans="1:33" ht="15" customHeight="1" x14ac:dyDescent="0.25">
      <c r="A774" s="12" t="str">
        <f>IF(Raw_Data!B777="","",Raw_Data!B777)</f>
        <v/>
      </c>
      <c r="B774" s="12">
        <f>IF(Raw_Data!X777&lt;&gt;"",Raw_Data!X777,Raw_Data!C777)</f>
        <v>0</v>
      </c>
      <c r="C774" s="12" t="str">
        <f>IF(Raw_Data!G777="","",Raw_Data!G777)</f>
        <v/>
      </c>
      <c r="D774" s="12" t="str">
        <f>IF(Raw_Data!H777="","",Raw_Data!H777)</f>
        <v/>
      </c>
      <c r="E774" s="12" t="str">
        <f>IF(Raw_Data!I777="","",Raw_Data!I777)</f>
        <v/>
      </c>
      <c r="F774" s="12" t="str">
        <f>IF(Raw_Data!J777="","",Raw_Data!J777)</f>
        <v/>
      </c>
      <c r="G774" s="12" t="str">
        <f>IF(Raw_Data!AH777&lt;&gt;"",Raw_Data!AH777,IF(Raw_Data!K777&lt;&gt;"",Raw_Data!K777,""))</f>
        <v/>
      </c>
      <c r="H774" s="12" t="str">
        <f>IF(Raw_Data!AI777&lt;&gt;"",Raw_Data!AI777,IF(Raw_Data!L777&lt;&gt;"",Raw_Data!L777,""))</f>
        <v/>
      </c>
      <c r="I774" s="12" t="str">
        <f t="shared" si="108"/>
        <v/>
      </c>
      <c r="J774" s="12" t="str">
        <f>IF(Raw_Data!M777="","",Raw_Data!M777)</f>
        <v/>
      </c>
      <c r="K774" s="12">
        <f>IF(Raw_Data!AJ777&lt;&gt;"",Raw_Data!AJ777,Raw_Data!N777)</f>
        <v>0</v>
      </c>
      <c r="L774" s="12">
        <f t="shared" si="109"/>
        <v>1</v>
      </c>
      <c r="M774" s="12" t="str">
        <f>IF(Raw_Data!AK777="","",Raw_Data!AK777)</f>
        <v/>
      </c>
      <c r="N774" s="12" t="str">
        <f>IF(Raw_Data!T777="","",Raw_Data!T777)</f>
        <v/>
      </c>
      <c r="O774" s="12" t="str">
        <f>IF(Raw_Data!AB777&lt;&gt;"",Raw_Data!AB777,IF(N774="tres_insatisfait",1,IF(N774="insatisfait",2,IF(N774="neutre",3,IF(N774="satisfait",4,IF(N774="tres_satisfait",5,""))))))</f>
        <v/>
      </c>
      <c r="P774" s="12">
        <f>IF(Raw_Data!AL777&lt;&gt;"",Raw_Data!AL777,Raw_Data!R777)</f>
        <v>0</v>
      </c>
      <c r="Q774" s="12">
        <f t="shared" si="110"/>
        <v>0</v>
      </c>
      <c r="R774" s="12" t="str">
        <f>IF(Raw_Data!AM777="","",Raw_Data!AM777)</f>
        <v/>
      </c>
      <c r="S774" s="12" t="str">
        <f t="shared" si="111"/>
        <v/>
      </c>
      <c r="T774" s="12" t="str">
        <f>IF(Raw_Data!AN777="","",Raw_Data!AN777)</f>
        <v/>
      </c>
      <c r="U774" s="12" t="str">
        <f t="shared" si="112"/>
        <v/>
      </c>
      <c r="V774" s="12" t="str">
        <f>IF(Raw_Data!AP777="","",IF(Raw_Data!AP777="oui",1,0))</f>
        <v/>
      </c>
      <c r="W774" s="12" t="str">
        <f>IF(Raw_Data!AQ777="","",IF(Raw_Data!AQ777="oui",1,0))</f>
        <v/>
      </c>
      <c r="X774" s="12" t="str">
        <f>IF(Raw_Data!AR777="","",IF(Raw_Data!AR777="oui",1,0))</f>
        <v/>
      </c>
      <c r="Y774" s="12" t="str">
        <f>IF(Raw_Data!AS777="","",IF(Raw_Data!AS777="oui",1,0))</f>
        <v/>
      </c>
      <c r="Z774" s="12" t="str">
        <f>IF(Raw_Data!V777="","",IF(Raw_Data!V777="oui",1,0))</f>
        <v/>
      </c>
      <c r="AA774" s="12" t="str">
        <f>IF(Raw_Data!W777="","",IF(Raw_Data!W777="oui",1,0))</f>
        <v/>
      </c>
      <c r="AB774" s="12" t="str">
        <f>IF(Raw_Data!Q777="","",IF(Raw_Data!Q777="oui",1,0))</f>
        <v/>
      </c>
      <c r="AC774" s="12">
        <f>Raw_Data!AF777</f>
        <v>0</v>
      </c>
      <c r="AD774" s="12" t="str">
        <f t="shared" si="113"/>
        <v/>
      </c>
      <c r="AE774" s="12" t="str">
        <f t="shared" si="114"/>
        <v/>
      </c>
      <c r="AF774" s="12" t="str">
        <f t="shared" si="115"/>
        <v/>
      </c>
      <c r="AG774" s="12">
        <f t="shared" si="116"/>
        <v>0</v>
      </c>
    </row>
    <row r="775" spans="1:33" ht="15" customHeight="1" x14ac:dyDescent="0.25">
      <c r="A775" s="12" t="str">
        <f>IF(Raw_Data!B778="","",Raw_Data!B778)</f>
        <v/>
      </c>
      <c r="B775" s="12">
        <f>IF(Raw_Data!X778&lt;&gt;"",Raw_Data!X778,Raw_Data!C778)</f>
        <v>0</v>
      </c>
      <c r="C775" s="12" t="str">
        <f>IF(Raw_Data!G778="","",Raw_Data!G778)</f>
        <v/>
      </c>
      <c r="D775" s="12" t="str">
        <f>IF(Raw_Data!H778="","",Raw_Data!H778)</f>
        <v/>
      </c>
      <c r="E775" s="12" t="str">
        <f>IF(Raw_Data!I778="","",Raw_Data!I778)</f>
        <v/>
      </c>
      <c r="F775" s="12" t="str">
        <f>IF(Raw_Data!J778="","",Raw_Data!J778)</f>
        <v/>
      </c>
      <c r="G775" s="12" t="str">
        <f>IF(Raw_Data!AH778&lt;&gt;"",Raw_Data!AH778,IF(Raw_Data!K778&lt;&gt;"",Raw_Data!K778,""))</f>
        <v/>
      </c>
      <c r="H775" s="12" t="str">
        <f>IF(Raw_Data!AI778&lt;&gt;"",Raw_Data!AI778,IF(Raw_Data!L778&lt;&gt;"",Raw_Data!L778,""))</f>
        <v/>
      </c>
      <c r="I775" s="12" t="str">
        <f t="shared" si="108"/>
        <v/>
      </c>
      <c r="J775" s="12" t="str">
        <f>IF(Raw_Data!M778="","",Raw_Data!M778)</f>
        <v/>
      </c>
      <c r="K775" s="12">
        <f>IF(Raw_Data!AJ778&lt;&gt;"",Raw_Data!AJ778,Raw_Data!N778)</f>
        <v>0</v>
      </c>
      <c r="L775" s="12">
        <f t="shared" si="109"/>
        <v>1</v>
      </c>
      <c r="M775" s="12" t="str">
        <f>IF(Raw_Data!AK778="","",Raw_Data!AK778)</f>
        <v/>
      </c>
      <c r="N775" s="12" t="str">
        <f>IF(Raw_Data!T778="","",Raw_Data!T778)</f>
        <v/>
      </c>
      <c r="O775" s="12" t="str">
        <f>IF(Raw_Data!AB778&lt;&gt;"",Raw_Data!AB778,IF(N775="tres_insatisfait",1,IF(N775="insatisfait",2,IF(N775="neutre",3,IF(N775="satisfait",4,IF(N775="tres_satisfait",5,""))))))</f>
        <v/>
      </c>
      <c r="P775" s="12">
        <f>IF(Raw_Data!AL778&lt;&gt;"",Raw_Data!AL778,Raw_Data!R778)</f>
        <v>0</v>
      </c>
      <c r="Q775" s="12">
        <f t="shared" si="110"/>
        <v>0</v>
      </c>
      <c r="R775" s="12" t="str">
        <f>IF(Raw_Data!AM778="","",Raw_Data!AM778)</f>
        <v/>
      </c>
      <c r="S775" s="12" t="str">
        <f t="shared" si="111"/>
        <v/>
      </c>
      <c r="T775" s="12" t="str">
        <f>IF(Raw_Data!AN778="","",Raw_Data!AN778)</f>
        <v/>
      </c>
      <c r="U775" s="12" t="str">
        <f t="shared" si="112"/>
        <v/>
      </c>
      <c r="V775" s="12" t="str">
        <f>IF(Raw_Data!AP778="","",IF(Raw_Data!AP778="oui",1,0))</f>
        <v/>
      </c>
      <c r="W775" s="12" t="str">
        <f>IF(Raw_Data!AQ778="","",IF(Raw_Data!AQ778="oui",1,0))</f>
        <v/>
      </c>
      <c r="X775" s="12" t="str">
        <f>IF(Raw_Data!AR778="","",IF(Raw_Data!AR778="oui",1,0))</f>
        <v/>
      </c>
      <c r="Y775" s="12" t="str">
        <f>IF(Raw_Data!AS778="","",IF(Raw_Data!AS778="oui",1,0))</f>
        <v/>
      </c>
      <c r="Z775" s="12" t="str">
        <f>IF(Raw_Data!V778="","",IF(Raw_Data!V778="oui",1,0))</f>
        <v/>
      </c>
      <c r="AA775" s="12" t="str">
        <f>IF(Raw_Data!W778="","",IF(Raw_Data!W778="oui",1,0))</f>
        <v/>
      </c>
      <c r="AB775" s="12" t="str">
        <f>IF(Raw_Data!Q778="","",IF(Raw_Data!Q778="oui",1,0))</f>
        <v/>
      </c>
      <c r="AC775" s="12">
        <f>Raw_Data!AF778</f>
        <v>0</v>
      </c>
      <c r="AD775" s="12" t="str">
        <f t="shared" si="113"/>
        <v/>
      </c>
      <c r="AE775" s="12" t="str">
        <f t="shared" si="114"/>
        <v/>
      </c>
      <c r="AF775" s="12" t="str">
        <f t="shared" si="115"/>
        <v/>
      </c>
      <c r="AG775" s="12">
        <f t="shared" si="116"/>
        <v>0</v>
      </c>
    </row>
    <row r="776" spans="1:33" ht="15" customHeight="1" x14ac:dyDescent="0.25">
      <c r="A776" s="12" t="str">
        <f>IF(Raw_Data!B779="","",Raw_Data!B779)</f>
        <v/>
      </c>
      <c r="B776" s="12">
        <f>IF(Raw_Data!X779&lt;&gt;"",Raw_Data!X779,Raw_Data!C779)</f>
        <v>0</v>
      </c>
      <c r="C776" s="12" t="str">
        <f>IF(Raw_Data!G779="","",Raw_Data!G779)</f>
        <v/>
      </c>
      <c r="D776" s="12" t="str">
        <f>IF(Raw_Data!H779="","",Raw_Data!H779)</f>
        <v/>
      </c>
      <c r="E776" s="12" t="str">
        <f>IF(Raw_Data!I779="","",Raw_Data!I779)</f>
        <v/>
      </c>
      <c r="F776" s="12" t="str">
        <f>IF(Raw_Data!J779="","",Raw_Data!J779)</f>
        <v/>
      </c>
      <c r="G776" s="12" t="str">
        <f>IF(Raw_Data!AH779&lt;&gt;"",Raw_Data!AH779,IF(Raw_Data!K779&lt;&gt;"",Raw_Data!K779,""))</f>
        <v/>
      </c>
      <c r="H776" s="12" t="str">
        <f>IF(Raw_Data!AI779&lt;&gt;"",Raw_Data!AI779,IF(Raw_Data!L779&lt;&gt;"",Raw_Data!L779,""))</f>
        <v/>
      </c>
      <c r="I776" s="12" t="str">
        <f t="shared" si="108"/>
        <v/>
      </c>
      <c r="J776" s="12" t="str">
        <f>IF(Raw_Data!M779="","",Raw_Data!M779)</f>
        <v/>
      </c>
      <c r="K776" s="12">
        <f>IF(Raw_Data!AJ779&lt;&gt;"",Raw_Data!AJ779,Raw_Data!N779)</f>
        <v>0</v>
      </c>
      <c r="L776" s="12">
        <f t="shared" si="109"/>
        <v>1</v>
      </c>
      <c r="M776" s="12" t="str">
        <f>IF(Raw_Data!AK779="","",Raw_Data!AK779)</f>
        <v/>
      </c>
      <c r="N776" s="12" t="str">
        <f>IF(Raw_Data!T779="","",Raw_Data!T779)</f>
        <v/>
      </c>
      <c r="O776" s="12" t="str">
        <f>IF(Raw_Data!AB779&lt;&gt;"",Raw_Data!AB779,IF(N776="tres_insatisfait",1,IF(N776="insatisfait",2,IF(N776="neutre",3,IF(N776="satisfait",4,IF(N776="tres_satisfait",5,""))))))</f>
        <v/>
      </c>
      <c r="P776" s="12">
        <f>IF(Raw_Data!AL779&lt;&gt;"",Raw_Data!AL779,Raw_Data!R779)</f>
        <v>0</v>
      </c>
      <c r="Q776" s="12">
        <f t="shared" si="110"/>
        <v>0</v>
      </c>
      <c r="R776" s="12" t="str">
        <f>IF(Raw_Data!AM779="","",Raw_Data!AM779)</f>
        <v/>
      </c>
      <c r="S776" s="12" t="str">
        <f t="shared" si="111"/>
        <v/>
      </c>
      <c r="T776" s="12" t="str">
        <f>IF(Raw_Data!AN779="","",Raw_Data!AN779)</f>
        <v/>
      </c>
      <c r="U776" s="12" t="str">
        <f t="shared" si="112"/>
        <v/>
      </c>
      <c r="V776" s="12" t="str">
        <f>IF(Raw_Data!AP779="","",IF(Raw_Data!AP779="oui",1,0))</f>
        <v/>
      </c>
      <c r="W776" s="12" t="str">
        <f>IF(Raw_Data!AQ779="","",IF(Raw_Data!AQ779="oui",1,0))</f>
        <v/>
      </c>
      <c r="X776" s="12" t="str">
        <f>IF(Raw_Data!AR779="","",IF(Raw_Data!AR779="oui",1,0))</f>
        <v/>
      </c>
      <c r="Y776" s="12" t="str">
        <f>IF(Raw_Data!AS779="","",IF(Raw_Data!AS779="oui",1,0))</f>
        <v/>
      </c>
      <c r="Z776" s="12" t="str">
        <f>IF(Raw_Data!V779="","",IF(Raw_Data!V779="oui",1,0))</f>
        <v/>
      </c>
      <c r="AA776" s="12" t="str">
        <f>IF(Raw_Data!W779="","",IF(Raw_Data!W779="oui",1,0))</f>
        <v/>
      </c>
      <c r="AB776" s="12" t="str">
        <f>IF(Raw_Data!Q779="","",IF(Raw_Data!Q779="oui",1,0))</f>
        <v/>
      </c>
      <c r="AC776" s="12">
        <f>Raw_Data!AF779</f>
        <v>0</v>
      </c>
      <c r="AD776" s="12" t="str">
        <f t="shared" si="113"/>
        <v/>
      </c>
      <c r="AE776" s="12" t="str">
        <f t="shared" si="114"/>
        <v/>
      </c>
      <c r="AF776" s="12" t="str">
        <f t="shared" si="115"/>
        <v/>
      </c>
      <c r="AG776" s="12">
        <f t="shared" si="116"/>
        <v>0</v>
      </c>
    </row>
    <row r="777" spans="1:33" ht="15" customHeight="1" x14ac:dyDescent="0.25">
      <c r="A777" s="12" t="str">
        <f>IF(Raw_Data!B780="","",Raw_Data!B780)</f>
        <v/>
      </c>
      <c r="B777" s="12">
        <f>IF(Raw_Data!X780&lt;&gt;"",Raw_Data!X780,Raw_Data!C780)</f>
        <v>0</v>
      </c>
      <c r="C777" s="12" t="str">
        <f>IF(Raw_Data!G780="","",Raw_Data!G780)</f>
        <v/>
      </c>
      <c r="D777" s="12" t="str">
        <f>IF(Raw_Data!H780="","",Raw_Data!H780)</f>
        <v/>
      </c>
      <c r="E777" s="12" t="str">
        <f>IF(Raw_Data!I780="","",Raw_Data!I780)</f>
        <v/>
      </c>
      <c r="F777" s="12" t="str">
        <f>IF(Raw_Data!J780="","",Raw_Data!J780)</f>
        <v/>
      </c>
      <c r="G777" s="12" t="str">
        <f>IF(Raw_Data!AH780&lt;&gt;"",Raw_Data!AH780,IF(Raw_Data!K780&lt;&gt;"",Raw_Data!K780,""))</f>
        <v/>
      </c>
      <c r="H777" s="12" t="str">
        <f>IF(Raw_Data!AI780&lt;&gt;"",Raw_Data!AI780,IF(Raw_Data!L780&lt;&gt;"",Raw_Data!L780,""))</f>
        <v/>
      </c>
      <c r="I777" s="12" t="str">
        <f t="shared" si="108"/>
        <v/>
      </c>
      <c r="J777" s="12" t="str">
        <f>IF(Raw_Data!M780="","",Raw_Data!M780)</f>
        <v/>
      </c>
      <c r="K777" s="12">
        <f>IF(Raw_Data!AJ780&lt;&gt;"",Raw_Data!AJ780,Raw_Data!N780)</f>
        <v>0</v>
      </c>
      <c r="L777" s="12">
        <f t="shared" si="109"/>
        <v>1</v>
      </c>
      <c r="M777" s="12" t="str">
        <f>IF(Raw_Data!AK780="","",Raw_Data!AK780)</f>
        <v/>
      </c>
      <c r="N777" s="12" t="str">
        <f>IF(Raw_Data!T780="","",Raw_Data!T780)</f>
        <v/>
      </c>
      <c r="O777" s="12" t="str">
        <f>IF(Raw_Data!AB780&lt;&gt;"",Raw_Data!AB780,IF(N777="tres_insatisfait",1,IF(N777="insatisfait",2,IF(N777="neutre",3,IF(N777="satisfait",4,IF(N777="tres_satisfait",5,""))))))</f>
        <v/>
      </c>
      <c r="P777" s="12">
        <f>IF(Raw_Data!AL780&lt;&gt;"",Raw_Data!AL780,Raw_Data!R780)</f>
        <v>0</v>
      </c>
      <c r="Q777" s="12">
        <f t="shared" si="110"/>
        <v>0</v>
      </c>
      <c r="R777" s="12" t="str">
        <f>IF(Raw_Data!AM780="","",Raw_Data!AM780)</f>
        <v/>
      </c>
      <c r="S777" s="12" t="str">
        <f t="shared" si="111"/>
        <v/>
      </c>
      <c r="T777" s="12" t="str">
        <f>IF(Raw_Data!AN780="","",Raw_Data!AN780)</f>
        <v/>
      </c>
      <c r="U777" s="12" t="str">
        <f t="shared" si="112"/>
        <v/>
      </c>
      <c r="V777" s="12" t="str">
        <f>IF(Raw_Data!AP780="","",IF(Raw_Data!AP780="oui",1,0))</f>
        <v/>
      </c>
      <c r="W777" s="12" t="str">
        <f>IF(Raw_Data!AQ780="","",IF(Raw_Data!AQ780="oui",1,0))</f>
        <v/>
      </c>
      <c r="X777" s="12" t="str">
        <f>IF(Raw_Data!AR780="","",IF(Raw_Data!AR780="oui",1,0))</f>
        <v/>
      </c>
      <c r="Y777" s="12" t="str">
        <f>IF(Raw_Data!AS780="","",IF(Raw_Data!AS780="oui",1,0))</f>
        <v/>
      </c>
      <c r="Z777" s="12" t="str">
        <f>IF(Raw_Data!V780="","",IF(Raw_Data!V780="oui",1,0))</f>
        <v/>
      </c>
      <c r="AA777" s="12" t="str">
        <f>IF(Raw_Data!W780="","",IF(Raw_Data!W780="oui",1,0))</f>
        <v/>
      </c>
      <c r="AB777" s="12" t="str">
        <f>IF(Raw_Data!Q780="","",IF(Raw_Data!Q780="oui",1,0))</f>
        <v/>
      </c>
      <c r="AC777" s="12">
        <f>Raw_Data!AF780</f>
        <v>0</v>
      </c>
      <c r="AD777" s="12" t="str">
        <f t="shared" si="113"/>
        <v/>
      </c>
      <c r="AE777" s="12" t="str">
        <f t="shared" si="114"/>
        <v/>
      </c>
      <c r="AF777" s="12" t="str">
        <f t="shared" si="115"/>
        <v/>
      </c>
      <c r="AG777" s="12">
        <f t="shared" si="116"/>
        <v>0</v>
      </c>
    </row>
    <row r="778" spans="1:33" ht="15" customHeight="1" x14ac:dyDescent="0.25">
      <c r="A778" s="12" t="str">
        <f>IF(Raw_Data!B781="","",Raw_Data!B781)</f>
        <v/>
      </c>
      <c r="B778" s="12">
        <f>IF(Raw_Data!X781&lt;&gt;"",Raw_Data!X781,Raw_Data!C781)</f>
        <v>0</v>
      </c>
      <c r="C778" s="12" t="str">
        <f>IF(Raw_Data!G781="","",Raw_Data!G781)</f>
        <v/>
      </c>
      <c r="D778" s="12" t="str">
        <f>IF(Raw_Data!H781="","",Raw_Data!H781)</f>
        <v/>
      </c>
      <c r="E778" s="12" t="str">
        <f>IF(Raw_Data!I781="","",Raw_Data!I781)</f>
        <v/>
      </c>
      <c r="F778" s="12" t="str">
        <f>IF(Raw_Data!J781="","",Raw_Data!J781)</f>
        <v/>
      </c>
      <c r="G778" s="12" t="str">
        <f>IF(Raw_Data!AH781&lt;&gt;"",Raw_Data!AH781,IF(Raw_Data!K781&lt;&gt;"",Raw_Data!K781,""))</f>
        <v/>
      </c>
      <c r="H778" s="12" t="str">
        <f>IF(Raw_Data!AI781&lt;&gt;"",Raw_Data!AI781,IF(Raw_Data!L781&lt;&gt;"",Raw_Data!L781,""))</f>
        <v/>
      </c>
      <c r="I778" s="12" t="str">
        <f t="shared" si="108"/>
        <v/>
      </c>
      <c r="J778" s="12" t="str">
        <f>IF(Raw_Data!M781="","",Raw_Data!M781)</f>
        <v/>
      </c>
      <c r="K778" s="12">
        <f>IF(Raw_Data!AJ781&lt;&gt;"",Raw_Data!AJ781,Raw_Data!N781)</f>
        <v>0</v>
      </c>
      <c r="L778" s="12">
        <f t="shared" si="109"/>
        <v>1</v>
      </c>
      <c r="M778" s="12" t="str">
        <f>IF(Raw_Data!AK781="","",Raw_Data!AK781)</f>
        <v/>
      </c>
      <c r="N778" s="12" t="str">
        <f>IF(Raw_Data!T781="","",Raw_Data!T781)</f>
        <v/>
      </c>
      <c r="O778" s="12" t="str">
        <f>IF(Raw_Data!AB781&lt;&gt;"",Raw_Data!AB781,IF(N778="tres_insatisfait",1,IF(N778="insatisfait",2,IF(N778="neutre",3,IF(N778="satisfait",4,IF(N778="tres_satisfait",5,""))))))</f>
        <v/>
      </c>
      <c r="P778" s="12">
        <f>IF(Raw_Data!AL781&lt;&gt;"",Raw_Data!AL781,Raw_Data!R781)</f>
        <v>0</v>
      </c>
      <c r="Q778" s="12">
        <f t="shared" si="110"/>
        <v>0</v>
      </c>
      <c r="R778" s="12" t="str">
        <f>IF(Raw_Data!AM781="","",Raw_Data!AM781)</f>
        <v/>
      </c>
      <c r="S778" s="12" t="str">
        <f t="shared" si="111"/>
        <v/>
      </c>
      <c r="T778" s="12" t="str">
        <f>IF(Raw_Data!AN781="","",Raw_Data!AN781)</f>
        <v/>
      </c>
      <c r="U778" s="12" t="str">
        <f t="shared" si="112"/>
        <v/>
      </c>
      <c r="V778" s="12" t="str">
        <f>IF(Raw_Data!AP781="","",IF(Raw_Data!AP781="oui",1,0))</f>
        <v/>
      </c>
      <c r="W778" s="12" t="str">
        <f>IF(Raw_Data!AQ781="","",IF(Raw_Data!AQ781="oui",1,0))</f>
        <v/>
      </c>
      <c r="X778" s="12" t="str">
        <f>IF(Raw_Data!AR781="","",IF(Raw_Data!AR781="oui",1,0))</f>
        <v/>
      </c>
      <c r="Y778" s="12" t="str">
        <f>IF(Raw_Data!AS781="","",IF(Raw_Data!AS781="oui",1,0))</f>
        <v/>
      </c>
      <c r="Z778" s="12" t="str">
        <f>IF(Raw_Data!V781="","",IF(Raw_Data!V781="oui",1,0))</f>
        <v/>
      </c>
      <c r="AA778" s="12" t="str">
        <f>IF(Raw_Data!W781="","",IF(Raw_Data!W781="oui",1,0))</f>
        <v/>
      </c>
      <c r="AB778" s="12" t="str">
        <f>IF(Raw_Data!Q781="","",IF(Raw_Data!Q781="oui",1,0))</f>
        <v/>
      </c>
      <c r="AC778" s="12">
        <f>Raw_Data!AF781</f>
        <v>0</v>
      </c>
      <c r="AD778" s="12" t="str">
        <f t="shared" si="113"/>
        <v/>
      </c>
      <c r="AE778" s="12" t="str">
        <f t="shared" si="114"/>
        <v/>
      </c>
      <c r="AF778" s="12" t="str">
        <f t="shared" si="115"/>
        <v/>
      </c>
      <c r="AG778" s="12">
        <f t="shared" si="116"/>
        <v>0</v>
      </c>
    </row>
    <row r="779" spans="1:33" ht="15" customHeight="1" x14ac:dyDescent="0.25">
      <c r="A779" s="12" t="str">
        <f>IF(Raw_Data!B782="","",Raw_Data!B782)</f>
        <v/>
      </c>
      <c r="B779" s="12">
        <f>IF(Raw_Data!X782&lt;&gt;"",Raw_Data!X782,Raw_Data!C782)</f>
        <v>0</v>
      </c>
      <c r="C779" s="12" t="str">
        <f>IF(Raw_Data!G782="","",Raw_Data!G782)</f>
        <v/>
      </c>
      <c r="D779" s="12" t="str">
        <f>IF(Raw_Data!H782="","",Raw_Data!H782)</f>
        <v/>
      </c>
      <c r="E779" s="12" t="str">
        <f>IF(Raw_Data!I782="","",Raw_Data!I782)</f>
        <v/>
      </c>
      <c r="F779" s="12" t="str">
        <f>IF(Raw_Data!J782="","",Raw_Data!J782)</f>
        <v/>
      </c>
      <c r="G779" s="12" t="str">
        <f>IF(Raw_Data!AH782&lt;&gt;"",Raw_Data!AH782,IF(Raw_Data!K782&lt;&gt;"",Raw_Data!K782,""))</f>
        <v/>
      </c>
      <c r="H779" s="12" t="str">
        <f>IF(Raw_Data!AI782&lt;&gt;"",Raw_Data!AI782,IF(Raw_Data!L782&lt;&gt;"",Raw_Data!L782,""))</f>
        <v/>
      </c>
      <c r="I779" s="12" t="str">
        <f t="shared" si="108"/>
        <v/>
      </c>
      <c r="J779" s="12" t="str">
        <f>IF(Raw_Data!M782="","",Raw_Data!M782)</f>
        <v/>
      </c>
      <c r="K779" s="12">
        <f>IF(Raw_Data!AJ782&lt;&gt;"",Raw_Data!AJ782,Raw_Data!N782)</f>
        <v>0</v>
      </c>
      <c r="L779" s="12">
        <f t="shared" si="109"/>
        <v>1</v>
      </c>
      <c r="M779" s="12" t="str">
        <f>IF(Raw_Data!AK782="","",Raw_Data!AK782)</f>
        <v/>
      </c>
      <c r="N779" s="12" t="str">
        <f>IF(Raw_Data!T782="","",Raw_Data!T782)</f>
        <v/>
      </c>
      <c r="O779" s="12" t="str">
        <f>IF(Raw_Data!AB782&lt;&gt;"",Raw_Data!AB782,IF(N779="tres_insatisfait",1,IF(N779="insatisfait",2,IF(N779="neutre",3,IF(N779="satisfait",4,IF(N779="tres_satisfait",5,""))))))</f>
        <v/>
      </c>
      <c r="P779" s="12">
        <f>IF(Raw_Data!AL782&lt;&gt;"",Raw_Data!AL782,Raw_Data!R782)</f>
        <v>0</v>
      </c>
      <c r="Q779" s="12">
        <f t="shared" si="110"/>
        <v>0</v>
      </c>
      <c r="R779" s="12" t="str">
        <f>IF(Raw_Data!AM782="","",Raw_Data!AM782)</f>
        <v/>
      </c>
      <c r="S779" s="12" t="str">
        <f t="shared" si="111"/>
        <v/>
      </c>
      <c r="T779" s="12" t="str">
        <f>IF(Raw_Data!AN782="","",Raw_Data!AN782)</f>
        <v/>
      </c>
      <c r="U779" s="12" t="str">
        <f t="shared" si="112"/>
        <v/>
      </c>
      <c r="V779" s="12" t="str">
        <f>IF(Raw_Data!AP782="","",IF(Raw_Data!AP782="oui",1,0))</f>
        <v/>
      </c>
      <c r="W779" s="12" t="str">
        <f>IF(Raw_Data!AQ782="","",IF(Raw_Data!AQ782="oui",1,0))</f>
        <v/>
      </c>
      <c r="X779" s="12" t="str">
        <f>IF(Raw_Data!AR782="","",IF(Raw_Data!AR782="oui",1,0))</f>
        <v/>
      </c>
      <c r="Y779" s="12" t="str">
        <f>IF(Raw_Data!AS782="","",IF(Raw_Data!AS782="oui",1,0))</f>
        <v/>
      </c>
      <c r="Z779" s="12" t="str">
        <f>IF(Raw_Data!V782="","",IF(Raw_Data!V782="oui",1,0))</f>
        <v/>
      </c>
      <c r="AA779" s="12" t="str">
        <f>IF(Raw_Data!W782="","",IF(Raw_Data!W782="oui",1,0))</f>
        <v/>
      </c>
      <c r="AB779" s="12" t="str">
        <f>IF(Raw_Data!Q782="","",IF(Raw_Data!Q782="oui",1,0))</f>
        <v/>
      </c>
      <c r="AC779" s="12">
        <f>Raw_Data!AF782</f>
        <v>0</v>
      </c>
      <c r="AD779" s="12" t="str">
        <f t="shared" si="113"/>
        <v/>
      </c>
      <c r="AE779" s="12" t="str">
        <f t="shared" si="114"/>
        <v/>
      </c>
      <c r="AF779" s="12" t="str">
        <f t="shared" si="115"/>
        <v/>
      </c>
      <c r="AG779" s="12">
        <f t="shared" si="116"/>
        <v>0</v>
      </c>
    </row>
    <row r="780" spans="1:33" ht="15" customHeight="1" x14ac:dyDescent="0.25">
      <c r="A780" s="12" t="str">
        <f>IF(Raw_Data!B783="","",Raw_Data!B783)</f>
        <v/>
      </c>
      <c r="B780" s="12">
        <f>IF(Raw_Data!X783&lt;&gt;"",Raw_Data!X783,Raw_Data!C783)</f>
        <v>0</v>
      </c>
      <c r="C780" s="12" t="str">
        <f>IF(Raw_Data!G783="","",Raw_Data!G783)</f>
        <v/>
      </c>
      <c r="D780" s="12" t="str">
        <f>IF(Raw_Data!H783="","",Raw_Data!H783)</f>
        <v/>
      </c>
      <c r="E780" s="12" t="str">
        <f>IF(Raw_Data!I783="","",Raw_Data!I783)</f>
        <v/>
      </c>
      <c r="F780" s="12" t="str">
        <f>IF(Raw_Data!J783="","",Raw_Data!J783)</f>
        <v/>
      </c>
      <c r="G780" s="12" t="str">
        <f>IF(Raw_Data!AH783&lt;&gt;"",Raw_Data!AH783,IF(Raw_Data!K783&lt;&gt;"",Raw_Data!K783,""))</f>
        <v/>
      </c>
      <c r="H780" s="12" t="str">
        <f>IF(Raw_Data!AI783&lt;&gt;"",Raw_Data!AI783,IF(Raw_Data!L783&lt;&gt;"",Raw_Data!L783,""))</f>
        <v/>
      </c>
      <c r="I780" s="12" t="str">
        <f t="shared" si="108"/>
        <v/>
      </c>
      <c r="J780" s="12" t="str">
        <f>IF(Raw_Data!M783="","",Raw_Data!M783)</f>
        <v/>
      </c>
      <c r="K780" s="12">
        <f>IF(Raw_Data!AJ783&lt;&gt;"",Raw_Data!AJ783,Raw_Data!N783)</f>
        <v>0</v>
      </c>
      <c r="L780" s="12">
        <f t="shared" si="109"/>
        <v>1</v>
      </c>
      <c r="M780" s="12" t="str">
        <f>IF(Raw_Data!AK783="","",Raw_Data!AK783)</f>
        <v/>
      </c>
      <c r="N780" s="12" t="str">
        <f>IF(Raw_Data!T783="","",Raw_Data!T783)</f>
        <v/>
      </c>
      <c r="O780" s="12" t="str">
        <f>IF(Raw_Data!AB783&lt;&gt;"",Raw_Data!AB783,IF(N780="tres_insatisfait",1,IF(N780="insatisfait",2,IF(N780="neutre",3,IF(N780="satisfait",4,IF(N780="tres_satisfait",5,""))))))</f>
        <v/>
      </c>
      <c r="P780" s="12">
        <f>IF(Raw_Data!AL783&lt;&gt;"",Raw_Data!AL783,Raw_Data!R783)</f>
        <v>0</v>
      </c>
      <c r="Q780" s="12">
        <f t="shared" si="110"/>
        <v>0</v>
      </c>
      <c r="R780" s="12" t="str">
        <f>IF(Raw_Data!AM783="","",Raw_Data!AM783)</f>
        <v/>
      </c>
      <c r="S780" s="12" t="str">
        <f t="shared" si="111"/>
        <v/>
      </c>
      <c r="T780" s="12" t="str">
        <f>IF(Raw_Data!AN783="","",Raw_Data!AN783)</f>
        <v/>
      </c>
      <c r="U780" s="12" t="str">
        <f t="shared" si="112"/>
        <v/>
      </c>
      <c r="V780" s="12" t="str">
        <f>IF(Raw_Data!AP783="","",IF(Raw_Data!AP783="oui",1,0))</f>
        <v/>
      </c>
      <c r="W780" s="12" t="str">
        <f>IF(Raw_Data!AQ783="","",IF(Raw_Data!AQ783="oui",1,0))</f>
        <v/>
      </c>
      <c r="X780" s="12" t="str">
        <f>IF(Raw_Data!AR783="","",IF(Raw_Data!AR783="oui",1,0))</f>
        <v/>
      </c>
      <c r="Y780" s="12" t="str">
        <f>IF(Raw_Data!AS783="","",IF(Raw_Data!AS783="oui",1,0))</f>
        <v/>
      </c>
      <c r="Z780" s="12" t="str">
        <f>IF(Raw_Data!V783="","",IF(Raw_Data!V783="oui",1,0))</f>
        <v/>
      </c>
      <c r="AA780" s="12" t="str">
        <f>IF(Raw_Data!W783="","",IF(Raw_Data!W783="oui",1,0))</f>
        <v/>
      </c>
      <c r="AB780" s="12" t="str">
        <f>IF(Raw_Data!Q783="","",IF(Raw_Data!Q783="oui",1,0))</f>
        <v/>
      </c>
      <c r="AC780" s="12">
        <f>Raw_Data!AF783</f>
        <v>0</v>
      </c>
      <c r="AD780" s="12" t="str">
        <f t="shared" si="113"/>
        <v/>
      </c>
      <c r="AE780" s="12" t="str">
        <f t="shared" si="114"/>
        <v/>
      </c>
      <c r="AF780" s="12" t="str">
        <f t="shared" si="115"/>
        <v/>
      </c>
      <c r="AG780" s="12">
        <f t="shared" si="116"/>
        <v>0</v>
      </c>
    </row>
    <row r="781" spans="1:33" ht="15" customHeight="1" x14ac:dyDescent="0.25">
      <c r="A781" s="12" t="str">
        <f>IF(Raw_Data!B784="","",Raw_Data!B784)</f>
        <v/>
      </c>
      <c r="B781" s="12">
        <f>IF(Raw_Data!X784&lt;&gt;"",Raw_Data!X784,Raw_Data!C784)</f>
        <v>0</v>
      </c>
      <c r="C781" s="12" t="str">
        <f>IF(Raw_Data!G784="","",Raw_Data!G784)</f>
        <v/>
      </c>
      <c r="D781" s="12" t="str">
        <f>IF(Raw_Data!H784="","",Raw_Data!H784)</f>
        <v/>
      </c>
      <c r="E781" s="12" t="str">
        <f>IF(Raw_Data!I784="","",Raw_Data!I784)</f>
        <v/>
      </c>
      <c r="F781" s="12" t="str">
        <f>IF(Raw_Data!J784="","",Raw_Data!J784)</f>
        <v/>
      </c>
      <c r="G781" s="12" t="str">
        <f>IF(Raw_Data!AH784&lt;&gt;"",Raw_Data!AH784,IF(Raw_Data!K784&lt;&gt;"",Raw_Data!K784,""))</f>
        <v/>
      </c>
      <c r="H781" s="12" t="str">
        <f>IF(Raw_Data!AI784&lt;&gt;"",Raw_Data!AI784,IF(Raw_Data!L784&lt;&gt;"",Raw_Data!L784,""))</f>
        <v/>
      </c>
      <c r="I781" s="12" t="str">
        <f t="shared" si="108"/>
        <v/>
      </c>
      <c r="J781" s="12" t="str">
        <f>IF(Raw_Data!M784="","",Raw_Data!M784)</f>
        <v/>
      </c>
      <c r="K781" s="12">
        <f>IF(Raw_Data!AJ784&lt;&gt;"",Raw_Data!AJ784,Raw_Data!N784)</f>
        <v>0</v>
      </c>
      <c r="L781" s="12">
        <f t="shared" si="109"/>
        <v>1</v>
      </c>
      <c r="M781" s="12" t="str">
        <f>IF(Raw_Data!AK784="","",Raw_Data!AK784)</f>
        <v/>
      </c>
      <c r="N781" s="12" t="str">
        <f>IF(Raw_Data!T784="","",Raw_Data!T784)</f>
        <v/>
      </c>
      <c r="O781" s="12" t="str">
        <f>IF(Raw_Data!AB784&lt;&gt;"",Raw_Data!AB784,IF(N781="tres_insatisfait",1,IF(N781="insatisfait",2,IF(N781="neutre",3,IF(N781="satisfait",4,IF(N781="tres_satisfait",5,""))))))</f>
        <v/>
      </c>
      <c r="P781" s="12">
        <f>IF(Raw_Data!AL784&lt;&gt;"",Raw_Data!AL784,Raw_Data!R784)</f>
        <v>0</v>
      </c>
      <c r="Q781" s="12">
        <f t="shared" si="110"/>
        <v>0</v>
      </c>
      <c r="R781" s="12" t="str">
        <f>IF(Raw_Data!AM784="","",Raw_Data!AM784)</f>
        <v/>
      </c>
      <c r="S781" s="12" t="str">
        <f t="shared" si="111"/>
        <v/>
      </c>
      <c r="T781" s="12" t="str">
        <f>IF(Raw_Data!AN784="","",Raw_Data!AN784)</f>
        <v/>
      </c>
      <c r="U781" s="12" t="str">
        <f t="shared" si="112"/>
        <v/>
      </c>
      <c r="V781" s="12" t="str">
        <f>IF(Raw_Data!AP784="","",IF(Raw_Data!AP784="oui",1,0))</f>
        <v/>
      </c>
      <c r="W781" s="12" t="str">
        <f>IF(Raw_Data!AQ784="","",IF(Raw_Data!AQ784="oui",1,0))</f>
        <v/>
      </c>
      <c r="X781" s="12" t="str">
        <f>IF(Raw_Data!AR784="","",IF(Raw_Data!AR784="oui",1,0))</f>
        <v/>
      </c>
      <c r="Y781" s="12" t="str">
        <f>IF(Raw_Data!AS784="","",IF(Raw_Data!AS784="oui",1,0))</f>
        <v/>
      </c>
      <c r="Z781" s="12" t="str">
        <f>IF(Raw_Data!V784="","",IF(Raw_Data!V784="oui",1,0))</f>
        <v/>
      </c>
      <c r="AA781" s="12" t="str">
        <f>IF(Raw_Data!W784="","",IF(Raw_Data!W784="oui",1,0))</f>
        <v/>
      </c>
      <c r="AB781" s="12" t="str">
        <f>IF(Raw_Data!Q784="","",IF(Raw_Data!Q784="oui",1,0))</f>
        <v/>
      </c>
      <c r="AC781" s="12">
        <f>Raw_Data!AF784</f>
        <v>0</v>
      </c>
      <c r="AD781" s="12" t="str">
        <f t="shared" si="113"/>
        <v/>
      </c>
      <c r="AE781" s="12" t="str">
        <f t="shared" si="114"/>
        <v/>
      </c>
      <c r="AF781" s="12" t="str">
        <f t="shared" si="115"/>
        <v/>
      </c>
      <c r="AG781" s="12">
        <f t="shared" si="116"/>
        <v>0</v>
      </c>
    </row>
    <row r="782" spans="1:33" ht="15" customHeight="1" x14ac:dyDescent="0.25">
      <c r="A782" s="12" t="str">
        <f>IF(Raw_Data!B785="","",Raw_Data!B785)</f>
        <v/>
      </c>
      <c r="B782" s="12">
        <f>IF(Raw_Data!X785&lt;&gt;"",Raw_Data!X785,Raw_Data!C785)</f>
        <v>0</v>
      </c>
      <c r="C782" s="12" t="str">
        <f>IF(Raw_Data!G785="","",Raw_Data!G785)</f>
        <v/>
      </c>
      <c r="D782" s="12" t="str">
        <f>IF(Raw_Data!H785="","",Raw_Data!H785)</f>
        <v/>
      </c>
      <c r="E782" s="12" t="str">
        <f>IF(Raw_Data!I785="","",Raw_Data!I785)</f>
        <v/>
      </c>
      <c r="F782" s="12" t="str">
        <f>IF(Raw_Data!J785="","",Raw_Data!J785)</f>
        <v/>
      </c>
      <c r="G782" s="12" t="str">
        <f>IF(Raw_Data!AH785&lt;&gt;"",Raw_Data!AH785,IF(Raw_Data!K785&lt;&gt;"",Raw_Data!K785,""))</f>
        <v/>
      </c>
      <c r="H782" s="12" t="str">
        <f>IF(Raw_Data!AI785&lt;&gt;"",Raw_Data!AI785,IF(Raw_Data!L785&lt;&gt;"",Raw_Data!L785,""))</f>
        <v/>
      </c>
      <c r="I782" s="12" t="str">
        <f t="shared" si="108"/>
        <v/>
      </c>
      <c r="J782" s="12" t="str">
        <f>IF(Raw_Data!M785="","",Raw_Data!M785)</f>
        <v/>
      </c>
      <c r="K782" s="12">
        <f>IF(Raw_Data!AJ785&lt;&gt;"",Raw_Data!AJ785,Raw_Data!N785)</f>
        <v>0</v>
      </c>
      <c r="L782" s="12">
        <f t="shared" si="109"/>
        <v>1</v>
      </c>
      <c r="M782" s="12" t="str">
        <f>IF(Raw_Data!AK785="","",Raw_Data!AK785)</f>
        <v/>
      </c>
      <c r="N782" s="12" t="str">
        <f>IF(Raw_Data!T785="","",Raw_Data!T785)</f>
        <v/>
      </c>
      <c r="O782" s="12" t="str">
        <f>IF(Raw_Data!AB785&lt;&gt;"",Raw_Data!AB785,IF(N782="tres_insatisfait",1,IF(N782="insatisfait",2,IF(N782="neutre",3,IF(N782="satisfait",4,IF(N782="tres_satisfait",5,""))))))</f>
        <v/>
      </c>
      <c r="P782" s="12">
        <f>IF(Raw_Data!AL785&lt;&gt;"",Raw_Data!AL785,Raw_Data!R785)</f>
        <v>0</v>
      </c>
      <c r="Q782" s="12">
        <f t="shared" si="110"/>
        <v>0</v>
      </c>
      <c r="R782" s="12" t="str">
        <f>IF(Raw_Data!AM785="","",Raw_Data!AM785)</f>
        <v/>
      </c>
      <c r="S782" s="12" t="str">
        <f t="shared" si="111"/>
        <v/>
      </c>
      <c r="T782" s="12" t="str">
        <f>IF(Raw_Data!AN785="","",Raw_Data!AN785)</f>
        <v/>
      </c>
      <c r="U782" s="12" t="str">
        <f t="shared" si="112"/>
        <v/>
      </c>
      <c r="V782" s="12" t="str">
        <f>IF(Raw_Data!AP785="","",IF(Raw_Data!AP785="oui",1,0))</f>
        <v/>
      </c>
      <c r="W782" s="12" t="str">
        <f>IF(Raw_Data!AQ785="","",IF(Raw_Data!AQ785="oui",1,0))</f>
        <v/>
      </c>
      <c r="X782" s="12" t="str">
        <f>IF(Raw_Data!AR785="","",IF(Raw_Data!AR785="oui",1,0))</f>
        <v/>
      </c>
      <c r="Y782" s="12" t="str">
        <f>IF(Raw_Data!AS785="","",IF(Raw_Data!AS785="oui",1,0))</f>
        <v/>
      </c>
      <c r="Z782" s="12" t="str">
        <f>IF(Raw_Data!V785="","",IF(Raw_Data!V785="oui",1,0))</f>
        <v/>
      </c>
      <c r="AA782" s="12" t="str">
        <f>IF(Raw_Data!W785="","",IF(Raw_Data!W785="oui",1,0))</f>
        <v/>
      </c>
      <c r="AB782" s="12" t="str">
        <f>IF(Raw_Data!Q785="","",IF(Raw_Data!Q785="oui",1,0))</f>
        <v/>
      </c>
      <c r="AC782" s="12">
        <f>Raw_Data!AF785</f>
        <v>0</v>
      </c>
      <c r="AD782" s="12" t="str">
        <f t="shared" si="113"/>
        <v/>
      </c>
      <c r="AE782" s="12" t="str">
        <f t="shared" si="114"/>
        <v/>
      </c>
      <c r="AF782" s="12" t="str">
        <f t="shared" si="115"/>
        <v/>
      </c>
      <c r="AG782" s="12">
        <f t="shared" si="116"/>
        <v>0</v>
      </c>
    </row>
    <row r="783" spans="1:33" ht="15" customHeight="1" x14ac:dyDescent="0.25">
      <c r="A783" s="12" t="str">
        <f>IF(Raw_Data!B786="","",Raw_Data!B786)</f>
        <v/>
      </c>
      <c r="B783" s="12">
        <f>IF(Raw_Data!X786&lt;&gt;"",Raw_Data!X786,Raw_Data!C786)</f>
        <v>0</v>
      </c>
      <c r="C783" s="12" t="str">
        <f>IF(Raw_Data!G786="","",Raw_Data!G786)</f>
        <v/>
      </c>
      <c r="D783" s="12" t="str">
        <f>IF(Raw_Data!H786="","",Raw_Data!H786)</f>
        <v/>
      </c>
      <c r="E783" s="12" t="str">
        <f>IF(Raw_Data!I786="","",Raw_Data!I786)</f>
        <v/>
      </c>
      <c r="F783" s="12" t="str">
        <f>IF(Raw_Data!J786="","",Raw_Data!J786)</f>
        <v/>
      </c>
      <c r="G783" s="12" t="str">
        <f>IF(Raw_Data!AH786&lt;&gt;"",Raw_Data!AH786,IF(Raw_Data!K786&lt;&gt;"",Raw_Data!K786,""))</f>
        <v/>
      </c>
      <c r="H783" s="12" t="str">
        <f>IF(Raw_Data!AI786&lt;&gt;"",Raw_Data!AI786,IF(Raw_Data!L786&lt;&gt;"",Raw_Data!L786,""))</f>
        <v/>
      </c>
      <c r="I783" s="12" t="str">
        <f t="shared" si="108"/>
        <v/>
      </c>
      <c r="J783" s="12" t="str">
        <f>IF(Raw_Data!M786="","",Raw_Data!M786)</f>
        <v/>
      </c>
      <c r="K783" s="12">
        <f>IF(Raw_Data!AJ786&lt;&gt;"",Raw_Data!AJ786,Raw_Data!N786)</f>
        <v>0</v>
      </c>
      <c r="L783" s="12">
        <f t="shared" si="109"/>
        <v>1</v>
      </c>
      <c r="M783" s="12" t="str">
        <f>IF(Raw_Data!AK786="","",Raw_Data!AK786)</f>
        <v/>
      </c>
      <c r="N783" s="12" t="str">
        <f>IF(Raw_Data!T786="","",Raw_Data!T786)</f>
        <v/>
      </c>
      <c r="O783" s="12" t="str">
        <f>IF(Raw_Data!AB786&lt;&gt;"",Raw_Data!AB786,IF(N783="tres_insatisfait",1,IF(N783="insatisfait",2,IF(N783="neutre",3,IF(N783="satisfait",4,IF(N783="tres_satisfait",5,""))))))</f>
        <v/>
      </c>
      <c r="P783" s="12">
        <f>IF(Raw_Data!AL786&lt;&gt;"",Raw_Data!AL786,Raw_Data!R786)</f>
        <v>0</v>
      </c>
      <c r="Q783" s="12">
        <f t="shared" si="110"/>
        <v>0</v>
      </c>
      <c r="R783" s="12" t="str">
        <f>IF(Raw_Data!AM786="","",Raw_Data!AM786)</f>
        <v/>
      </c>
      <c r="S783" s="12" t="str">
        <f t="shared" si="111"/>
        <v/>
      </c>
      <c r="T783" s="12" t="str">
        <f>IF(Raw_Data!AN786="","",Raw_Data!AN786)</f>
        <v/>
      </c>
      <c r="U783" s="12" t="str">
        <f t="shared" si="112"/>
        <v/>
      </c>
      <c r="V783" s="12" t="str">
        <f>IF(Raw_Data!AP786="","",IF(Raw_Data!AP786="oui",1,0))</f>
        <v/>
      </c>
      <c r="W783" s="12" t="str">
        <f>IF(Raw_Data!AQ786="","",IF(Raw_Data!AQ786="oui",1,0))</f>
        <v/>
      </c>
      <c r="X783" s="12" t="str">
        <f>IF(Raw_Data!AR786="","",IF(Raw_Data!AR786="oui",1,0))</f>
        <v/>
      </c>
      <c r="Y783" s="12" t="str">
        <f>IF(Raw_Data!AS786="","",IF(Raw_Data!AS786="oui",1,0))</f>
        <v/>
      </c>
      <c r="Z783" s="12" t="str">
        <f>IF(Raw_Data!V786="","",IF(Raw_Data!V786="oui",1,0))</f>
        <v/>
      </c>
      <c r="AA783" s="12" t="str">
        <f>IF(Raw_Data!W786="","",IF(Raw_Data!W786="oui",1,0))</f>
        <v/>
      </c>
      <c r="AB783" s="12" t="str">
        <f>IF(Raw_Data!Q786="","",IF(Raw_Data!Q786="oui",1,0))</f>
        <v/>
      </c>
      <c r="AC783" s="12">
        <f>Raw_Data!AF786</f>
        <v>0</v>
      </c>
      <c r="AD783" s="12" t="str">
        <f t="shared" si="113"/>
        <v/>
      </c>
      <c r="AE783" s="12" t="str">
        <f t="shared" si="114"/>
        <v/>
      </c>
      <c r="AF783" s="12" t="str">
        <f t="shared" si="115"/>
        <v/>
      </c>
      <c r="AG783" s="12">
        <f t="shared" si="116"/>
        <v>0</v>
      </c>
    </row>
    <row r="784" spans="1:33" ht="15" customHeight="1" x14ac:dyDescent="0.25">
      <c r="A784" s="12" t="str">
        <f>IF(Raw_Data!B787="","",Raw_Data!B787)</f>
        <v/>
      </c>
      <c r="B784" s="12">
        <f>IF(Raw_Data!X787&lt;&gt;"",Raw_Data!X787,Raw_Data!C787)</f>
        <v>0</v>
      </c>
      <c r="C784" s="12" t="str">
        <f>IF(Raw_Data!G787="","",Raw_Data!G787)</f>
        <v/>
      </c>
      <c r="D784" s="12" t="str">
        <f>IF(Raw_Data!H787="","",Raw_Data!H787)</f>
        <v/>
      </c>
      <c r="E784" s="12" t="str">
        <f>IF(Raw_Data!I787="","",Raw_Data!I787)</f>
        <v/>
      </c>
      <c r="F784" s="12" t="str">
        <f>IF(Raw_Data!J787="","",Raw_Data!J787)</f>
        <v/>
      </c>
      <c r="G784" s="12" t="str">
        <f>IF(Raw_Data!AH787&lt;&gt;"",Raw_Data!AH787,IF(Raw_Data!K787&lt;&gt;"",Raw_Data!K787,""))</f>
        <v/>
      </c>
      <c r="H784" s="12" t="str">
        <f>IF(Raw_Data!AI787&lt;&gt;"",Raw_Data!AI787,IF(Raw_Data!L787&lt;&gt;"",Raw_Data!L787,""))</f>
        <v/>
      </c>
      <c r="I784" s="12" t="str">
        <f t="shared" si="108"/>
        <v/>
      </c>
      <c r="J784" s="12" t="str">
        <f>IF(Raw_Data!M787="","",Raw_Data!M787)</f>
        <v/>
      </c>
      <c r="K784" s="12">
        <f>IF(Raw_Data!AJ787&lt;&gt;"",Raw_Data!AJ787,Raw_Data!N787)</f>
        <v>0</v>
      </c>
      <c r="L784" s="12">
        <f t="shared" si="109"/>
        <v>1</v>
      </c>
      <c r="M784" s="12" t="str">
        <f>IF(Raw_Data!AK787="","",Raw_Data!AK787)</f>
        <v/>
      </c>
      <c r="N784" s="12" t="str">
        <f>IF(Raw_Data!T787="","",Raw_Data!T787)</f>
        <v/>
      </c>
      <c r="O784" s="12" t="str">
        <f>IF(Raw_Data!AB787&lt;&gt;"",Raw_Data!AB787,IF(N784="tres_insatisfait",1,IF(N784="insatisfait",2,IF(N784="neutre",3,IF(N784="satisfait",4,IF(N784="tres_satisfait",5,""))))))</f>
        <v/>
      </c>
      <c r="P784" s="12">
        <f>IF(Raw_Data!AL787&lt;&gt;"",Raw_Data!AL787,Raw_Data!R787)</f>
        <v>0</v>
      </c>
      <c r="Q784" s="12">
        <f t="shared" si="110"/>
        <v>0</v>
      </c>
      <c r="R784" s="12" t="str">
        <f>IF(Raw_Data!AM787="","",Raw_Data!AM787)</f>
        <v/>
      </c>
      <c r="S784" s="12" t="str">
        <f t="shared" si="111"/>
        <v/>
      </c>
      <c r="T784" s="12" t="str">
        <f>IF(Raw_Data!AN787="","",Raw_Data!AN787)</f>
        <v/>
      </c>
      <c r="U784" s="12" t="str">
        <f t="shared" si="112"/>
        <v/>
      </c>
      <c r="V784" s="12" t="str">
        <f>IF(Raw_Data!AP787="","",IF(Raw_Data!AP787="oui",1,0))</f>
        <v/>
      </c>
      <c r="W784" s="12" t="str">
        <f>IF(Raw_Data!AQ787="","",IF(Raw_Data!AQ787="oui",1,0))</f>
        <v/>
      </c>
      <c r="X784" s="12" t="str">
        <f>IF(Raw_Data!AR787="","",IF(Raw_Data!AR787="oui",1,0))</f>
        <v/>
      </c>
      <c r="Y784" s="12" t="str">
        <f>IF(Raw_Data!AS787="","",IF(Raw_Data!AS787="oui",1,0))</f>
        <v/>
      </c>
      <c r="Z784" s="12" t="str">
        <f>IF(Raw_Data!V787="","",IF(Raw_Data!V787="oui",1,0))</f>
        <v/>
      </c>
      <c r="AA784" s="12" t="str">
        <f>IF(Raw_Data!W787="","",IF(Raw_Data!W787="oui",1,0))</f>
        <v/>
      </c>
      <c r="AB784" s="12" t="str">
        <f>IF(Raw_Data!Q787="","",IF(Raw_Data!Q787="oui",1,0))</f>
        <v/>
      </c>
      <c r="AC784" s="12">
        <f>Raw_Data!AF787</f>
        <v>0</v>
      </c>
      <c r="AD784" s="12" t="str">
        <f t="shared" si="113"/>
        <v/>
      </c>
      <c r="AE784" s="12" t="str">
        <f t="shared" si="114"/>
        <v/>
      </c>
      <c r="AF784" s="12" t="str">
        <f t="shared" si="115"/>
        <v/>
      </c>
      <c r="AG784" s="12">
        <f t="shared" si="116"/>
        <v>0</v>
      </c>
    </row>
    <row r="785" spans="1:33" ht="15" customHeight="1" x14ac:dyDescent="0.25">
      <c r="A785" s="12" t="str">
        <f>IF(Raw_Data!B788="","",Raw_Data!B788)</f>
        <v/>
      </c>
      <c r="B785" s="12">
        <f>IF(Raw_Data!X788&lt;&gt;"",Raw_Data!X788,Raw_Data!C788)</f>
        <v>0</v>
      </c>
      <c r="C785" s="12" t="str">
        <f>IF(Raw_Data!G788="","",Raw_Data!G788)</f>
        <v/>
      </c>
      <c r="D785" s="12" t="str">
        <f>IF(Raw_Data!H788="","",Raw_Data!H788)</f>
        <v/>
      </c>
      <c r="E785" s="12" t="str">
        <f>IF(Raw_Data!I788="","",Raw_Data!I788)</f>
        <v/>
      </c>
      <c r="F785" s="12" t="str">
        <f>IF(Raw_Data!J788="","",Raw_Data!J788)</f>
        <v/>
      </c>
      <c r="G785" s="12" t="str">
        <f>IF(Raw_Data!AH788&lt;&gt;"",Raw_Data!AH788,IF(Raw_Data!K788&lt;&gt;"",Raw_Data!K788,""))</f>
        <v/>
      </c>
      <c r="H785" s="12" t="str">
        <f>IF(Raw_Data!AI788&lt;&gt;"",Raw_Data!AI788,IF(Raw_Data!L788&lt;&gt;"",Raw_Data!L788,""))</f>
        <v/>
      </c>
      <c r="I785" s="12" t="str">
        <f t="shared" si="108"/>
        <v/>
      </c>
      <c r="J785" s="12" t="str">
        <f>IF(Raw_Data!M788="","",Raw_Data!M788)</f>
        <v/>
      </c>
      <c r="K785" s="12">
        <f>IF(Raw_Data!AJ788&lt;&gt;"",Raw_Data!AJ788,Raw_Data!N788)</f>
        <v>0</v>
      </c>
      <c r="L785" s="12">
        <f t="shared" si="109"/>
        <v>1</v>
      </c>
      <c r="M785" s="12" t="str">
        <f>IF(Raw_Data!AK788="","",Raw_Data!AK788)</f>
        <v/>
      </c>
      <c r="N785" s="12" t="str">
        <f>IF(Raw_Data!T788="","",Raw_Data!T788)</f>
        <v/>
      </c>
      <c r="O785" s="12" t="str">
        <f>IF(Raw_Data!AB788&lt;&gt;"",Raw_Data!AB788,IF(N785="tres_insatisfait",1,IF(N785="insatisfait",2,IF(N785="neutre",3,IF(N785="satisfait",4,IF(N785="tres_satisfait",5,""))))))</f>
        <v/>
      </c>
      <c r="P785" s="12">
        <f>IF(Raw_Data!AL788&lt;&gt;"",Raw_Data!AL788,Raw_Data!R788)</f>
        <v>0</v>
      </c>
      <c r="Q785" s="12">
        <f t="shared" si="110"/>
        <v>0</v>
      </c>
      <c r="R785" s="12" t="str">
        <f>IF(Raw_Data!AM788="","",Raw_Data!AM788)</f>
        <v/>
      </c>
      <c r="S785" s="12" t="str">
        <f t="shared" si="111"/>
        <v/>
      </c>
      <c r="T785" s="12" t="str">
        <f>IF(Raw_Data!AN788="","",Raw_Data!AN788)</f>
        <v/>
      </c>
      <c r="U785" s="12" t="str">
        <f t="shared" si="112"/>
        <v/>
      </c>
      <c r="V785" s="12" t="str">
        <f>IF(Raw_Data!AP788="","",IF(Raw_Data!AP788="oui",1,0))</f>
        <v/>
      </c>
      <c r="W785" s="12" t="str">
        <f>IF(Raw_Data!AQ788="","",IF(Raw_Data!AQ788="oui",1,0))</f>
        <v/>
      </c>
      <c r="X785" s="12" t="str">
        <f>IF(Raw_Data!AR788="","",IF(Raw_Data!AR788="oui",1,0))</f>
        <v/>
      </c>
      <c r="Y785" s="12" t="str">
        <f>IF(Raw_Data!AS788="","",IF(Raw_Data!AS788="oui",1,0))</f>
        <v/>
      </c>
      <c r="Z785" s="12" t="str">
        <f>IF(Raw_Data!V788="","",IF(Raw_Data!V788="oui",1,0))</f>
        <v/>
      </c>
      <c r="AA785" s="12" t="str">
        <f>IF(Raw_Data!W788="","",IF(Raw_Data!W788="oui",1,0))</f>
        <v/>
      </c>
      <c r="AB785" s="12" t="str">
        <f>IF(Raw_Data!Q788="","",IF(Raw_Data!Q788="oui",1,0))</f>
        <v/>
      </c>
      <c r="AC785" s="12">
        <f>Raw_Data!AF788</f>
        <v>0</v>
      </c>
      <c r="AD785" s="12" t="str">
        <f t="shared" si="113"/>
        <v/>
      </c>
      <c r="AE785" s="12" t="str">
        <f t="shared" si="114"/>
        <v/>
      </c>
      <c r="AF785" s="12" t="str">
        <f t="shared" si="115"/>
        <v/>
      </c>
      <c r="AG785" s="12">
        <f t="shared" si="116"/>
        <v>0</v>
      </c>
    </row>
    <row r="786" spans="1:33" ht="15" customHeight="1" x14ac:dyDescent="0.25">
      <c r="A786" s="12" t="str">
        <f>IF(Raw_Data!B789="","",Raw_Data!B789)</f>
        <v/>
      </c>
      <c r="B786" s="12">
        <f>IF(Raw_Data!X789&lt;&gt;"",Raw_Data!X789,Raw_Data!C789)</f>
        <v>0</v>
      </c>
      <c r="C786" s="12" t="str">
        <f>IF(Raw_Data!G789="","",Raw_Data!G789)</f>
        <v/>
      </c>
      <c r="D786" s="12" t="str">
        <f>IF(Raw_Data!H789="","",Raw_Data!H789)</f>
        <v/>
      </c>
      <c r="E786" s="12" t="str">
        <f>IF(Raw_Data!I789="","",Raw_Data!I789)</f>
        <v/>
      </c>
      <c r="F786" s="12" t="str">
        <f>IF(Raw_Data!J789="","",Raw_Data!J789)</f>
        <v/>
      </c>
      <c r="G786" s="12" t="str">
        <f>IF(Raw_Data!AH789&lt;&gt;"",Raw_Data!AH789,IF(Raw_Data!K789&lt;&gt;"",Raw_Data!K789,""))</f>
        <v/>
      </c>
      <c r="H786" s="12" t="str">
        <f>IF(Raw_Data!AI789&lt;&gt;"",Raw_Data!AI789,IF(Raw_Data!L789&lt;&gt;"",Raw_Data!L789,""))</f>
        <v/>
      </c>
      <c r="I786" s="12" t="str">
        <f t="shared" si="108"/>
        <v/>
      </c>
      <c r="J786" s="12" t="str">
        <f>IF(Raw_Data!M789="","",Raw_Data!M789)</f>
        <v/>
      </c>
      <c r="K786" s="12">
        <f>IF(Raw_Data!AJ789&lt;&gt;"",Raw_Data!AJ789,Raw_Data!N789)</f>
        <v>0</v>
      </c>
      <c r="L786" s="12">
        <f t="shared" si="109"/>
        <v>1</v>
      </c>
      <c r="M786" s="12" t="str">
        <f>IF(Raw_Data!AK789="","",Raw_Data!AK789)</f>
        <v/>
      </c>
      <c r="N786" s="12" t="str">
        <f>IF(Raw_Data!T789="","",Raw_Data!T789)</f>
        <v/>
      </c>
      <c r="O786" s="12" t="str">
        <f>IF(Raw_Data!AB789&lt;&gt;"",Raw_Data!AB789,IF(N786="tres_insatisfait",1,IF(N786="insatisfait",2,IF(N786="neutre",3,IF(N786="satisfait",4,IF(N786="tres_satisfait",5,""))))))</f>
        <v/>
      </c>
      <c r="P786" s="12">
        <f>IF(Raw_Data!AL789&lt;&gt;"",Raw_Data!AL789,Raw_Data!R789)</f>
        <v>0</v>
      </c>
      <c r="Q786" s="12">
        <f t="shared" si="110"/>
        <v>0</v>
      </c>
      <c r="R786" s="12" t="str">
        <f>IF(Raw_Data!AM789="","",Raw_Data!AM789)</f>
        <v/>
      </c>
      <c r="S786" s="12" t="str">
        <f t="shared" si="111"/>
        <v/>
      </c>
      <c r="T786" s="12" t="str">
        <f>IF(Raw_Data!AN789="","",Raw_Data!AN789)</f>
        <v/>
      </c>
      <c r="U786" s="12" t="str">
        <f t="shared" si="112"/>
        <v/>
      </c>
      <c r="V786" s="12" t="str">
        <f>IF(Raw_Data!AP789="","",IF(Raw_Data!AP789="oui",1,0))</f>
        <v/>
      </c>
      <c r="W786" s="12" t="str">
        <f>IF(Raw_Data!AQ789="","",IF(Raw_Data!AQ789="oui",1,0))</f>
        <v/>
      </c>
      <c r="X786" s="12" t="str">
        <f>IF(Raw_Data!AR789="","",IF(Raw_Data!AR789="oui",1,0))</f>
        <v/>
      </c>
      <c r="Y786" s="12" t="str">
        <f>IF(Raw_Data!AS789="","",IF(Raw_Data!AS789="oui",1,0))</f>
        <v/>
      </c>
      <c r="Z786" s="12" t="str">
        <f>IF(Raw_Data!V789="","",IF(Raw_Data!V789="oui",1,0))</f>
        <v/>
      </c>
      <c r="AA786" s="12" t="str">
        <f>IF(Raw_Data!W789="","",IF(Raw_Data!W789="oui",1,0))</f>
        <v/>
      </c>
      <c r="AB786" s="12" t="str">
        <f>IF(Raw_Data!Q789="","",IF(Raw_Data!Q789="oui",1,0))</f>
        <v/>
      </c>
      <c r="AC786" s="12">
        <f>Raw_Data!AF789</f>
        <v>0</v>
      </c>
      <c r="AD786" s="12" t="str">
        <f t="shared" si="113"/>
        <v/>
      </c>
      <c r="AE786" s="12" t="str">
        <f t="shared" si="114"/>
        <v/>
      </c>
      <c r="AF786" s="12" t="str">
        <f t="shared" si="115"/>
        <v/>
      </c>
      <c r="AG786" s="12">
        <f t="shared" si="116"/>
        <v>0</v>
      </c>
    </row>
    <row r="787" spans="1:33" ht="15" customHeight="1" x14ac:dyDescent="0.25">
      <c r="A787" s="12" t="str">
        <f>IF(Raw_Data!B790="","",Raw_Data!B790)</f>
        <v/>
      </c>
      <c r="B787" s="12">
        <f>IF(Raw_Data!X790&lt;&gt;"",Raw_Data!X790,Raw_Data!C790)</f>
        <v>0</v>
      </c>
      <c r="C787" s="12" t="str">
        <f>IF(Raw_Data!G790="","",Raw_Data!G790)</f>
        <v/>
      </c>
      <c r="D787" s="12" t="str">
        <f>IF(Raw_Data!H790="","",Raw_Data!H790)</f>
        <v/>
      </c>
      <c r="E787" s="12" t="str">
        <f>IF(Raw_Data!I790="","",Raw_Data!I790)</f>
        <v/>
      </c>
      <c r="F787" s="12" t="str">
        <f>IF(Raw_Data!J790="","",Raw_Data!J790)</f>
        <v/>
      </c>
      <c r="G787" s="12" t="str">
        <f>IF(Raw_Data!AH790&lt;&gt;"",Raw_Data!AH790,IF(Raw_Data!K790&lt;&gt;"",Raw_Data!K790,""))</f>
        <v/>
      </c>
      <c r="H787" s="12" t="str">
        <f>IF(Raw_Data!AI790&lt;&gt;"",Raw_Data!AI790,IF(Raw_Data!L790&lt;&gt;"",Raw_Data!L790,""))</f>
        <v/>
      </c>
      <c r="I787" s="12" t="str">
        <f t="shared" si="108"/>
        <v/>
      </c>
      <c r="J787" s="12" t="str">
        <f>IF(Raw_Data!M790="","",Raw_Data!M790)</f>
        <v/>
      </c>
      <c r="K787" s="12">
        <f>IF(Raw_Data!AJ790&lt;&gt;"",Raw_Data!AJ790,Raw_Data!N790)</f>
        <v>0</v>
      </c>
      <c r="L787" s="12">
        <f t="shared" si="109"/>
        <v>1</v>
      </c>
      <c r="M787" s="12" t="str">
        <f>IF(Raw_Data!AK790="","",Raw_Data!AK790)</f>
        <v/>
      </c>
      <c r="N787" s="12" t="str">
        <f>IF(Raw_Data!T790="","",Raw_Data!T790)</f>
        <v/>
      </c>
      <c r="O787" s="12" t="str">
        <f>IF(Raw_Data!AB790&lt;&gt;"",Raw_Data!AB790,IF(N787="tres_insatisfait",1,IF(N787="insatisfait",2,IF(N787="neutre",3,IF(N787="satisfait",4,IF(N787="tres_satisfait",5,""))))))</f>
        <v/>
      </c>
      <c r="P787" s="12">
        <f>IF(Raw_Data!AL790&lt;&gt;"",Raw_Data!AL790,Raw_Data!R790)</f>
        <v>0</v>
      </c>
      <c r="Q787" s="12">
        <f t="shared" si="110"/>
        <v>0</v>
      </c>
      <c r="R787" s="12" t="str">
        <f>IF(Raw_Data!AM790="","",Raw_Data!AM790)</f>
        <v/>
      </c>
      <c r="S787" s="12" t="str">
        <f t="shared" si="111"/>
        <v/>
      </c>
      <c r="T787" s="12" t="str">
        <f>IF(Raw_Data!AN790="","",Raw_Data!AN790)</f>
        <v/>
      </c>
      <c r="U787" s="12" t="str">
        <f t="shared" si="112"/>
        <v/>
      </c>
      <c r="V787" s="12" t="str">
        <f>IF(Raw_Data!AP790="","",IF(Raw_Data!AP790="oui",1,0))</f>
        <v/>
      </c>
      <c r="W787" s="12" t="str">
        <f>IF(Raw_Data!AQ790="","",IF(Raw_Data!AQ790="oui",1,0))</f>
        <v/>
      </c>
      <c r="X787" s="12" t="str">
        <f>IF(Raw_Data!AR790="","",IF(Raw_Data!AR790="oui",1,0))</f>
        <v/>
      </c>
      <c r="Y787" s="12" t="str">
        <f>IF(Raw_Data!AS790="","",IF(Raw_Data!AS790="oui",1,0))</f>
        <v/>
      </c>
      <c r="Z787" s="12" t="str">
        <f>IF(Raw_Data!V790="","",IF(Raw_Data!V790="oui",1,0))</f>
        <v/>
      </c>
      <c r="AA787" s="12" t="str">
        <f>IF(Raw_Data!W790="","",IF(Raw_Data!W790="oui",1,0))</f>
        <v/>
      </c>
      <c r="AB787" s="12" t="str">
        <f>IF(Raw_Data!Q790="","",IF(Raw_Data!Q790="oui",1,0))</f>
        <v/>
      </c>
      <c r="AC787" s="12">
        <f>Raw_Data!AF790</f>
        <v>0</v>
      </c>
      <c r="AD787" s="12" t="str">
        <f t="shared" si="113"/>
        <v/>
      </c>
      <c r="AE787" s="12" t="str">
        <f t="shared" si="114"/>
        <v/>
      </c>
      <c r="AF787" s="12" t="str">
        <f t="shared" si="115"/>
        <v/>
      </c>
      <c r="AG787" s="12">
        <f t="shared" si="116"/>
        <v>0</v>
      </c>
    </row>
    <row r="788" spans="1:33" ht="15" customHeight="1" x14ac:dyDescent="0.25">
      <c r="A788" s="12" t="str">
        <f>IF(Raw_Data!B791="","",Raw_Data!B791)</f>
        <v/>
      </c>
      <c r="B788" s="12">
        <f>IF(Raw_Data!X791&lt;&gt;"",Raw_Data!X791,Raw_Data!C791)</f>
        <v>0</v>
      </c>
      <c r="C788" s="12" t="str">
        <f>IF(Raw_Data!G791="","",Raw_Data!G791)</f>
        <v/>
      </c>
      <c r="D788" s="12" t="str">
        <f>IF(Raw_Data!H791="","",Raw_Data!H791)</f>
        <v/>
      </c>
      <c r="E788" s="12" t="str">
        <f>IF(Raw_Data!I791="","",Raw_Data!I791)</f>
        <v/>
      </c>
      <c r="F788" s="12" t="str">
        <f>IF(Raw_Data!J791="","",Raw_Data!J791)</f>
        <v/>
      </c>
      <c r="G788" s="12" t="str">
        <f>IF(Raw_Data!AH791&lt;&gt;"",Raw_Data!AH791,IF(Raw_Data!K791&lt;&gt;"",Raw_Data!K791,""))</f>
        <v/>
      </c>
      <c r="H788" s="12" t="str">
        <f>IF(Raw_Data!AI791&lt;&gt;"",Raw_Data!AI791,IF(Raw_Data!L791&lt;&gt;"",Raw_Data!L791,""))</f>
        <v/>
      </c>
      <c r="I788" s="12" t="str">
        <f t="shared" si="108"/>
        <v/>
      </c>
      <c r="J788" s="12" t="str">
        <f>IF(Raw_Data!M791="","",Raw_Data!M791)</f>
        <v/>
      </c>
      <c r="K788" s="12">
        <f>IF(Raw_Data!AJ791&lt;&gt;"",Raw_Data!AJ791,Raw_Data!N791)</f>
        <v>0</v>
      </c>
      <c r="L788" s="12">
        <f t="shared" si="109"/>
        <v>1</v>
      </c>
      <c r="M788" s="12" t="str">
        <f>IF(Raw_Data!AK791="","",Raw_Data!AK791)</f>
        <v/>
      </c>
      <c r="N788" s="12" t="str">
        <f>IF(Raw_Data!T791="","",Raw_Data!T791)</f>
        <v/>
      </c>
      <c r="O788" s="12" t="str">
        <f>IF(Raw_Data!AB791&lt;&gt;"",Raw_Data!AB791,IF(N788="tres_insatisfait",1,IF(N788="insatisfait",2,IF(N788="neutre",3,IF(N788="satisfait",4,IF(N788="tres_satisfait",5,""))))))</f>
        <v/>
      </c>
      <c r="P788" s="12">
        <f>IF(Raw_Data!AL791&lt;&gt;"",Raw_Data!AL791,Raw_Data!R791)</f>
        <v>0</v>
      </c>
      <c r="Q788" s="12">
        <f t="shared" si="110"/>
        <v>0</v>
      </c>
      <c r="R788" s="12" t="str">
        <f>IF(Raw_Data!AM791="","",Raw_Data!AM791)</f>
        <v/>
      </c>
      <c r="S788" s="12" t="str">
        <f t="shared" si="111"/>
        <v/>
      </c>
      <c r="T788" s="12" t="str">
        <f>IF(Raw_Data!AN791="","",Raw_Data!AN791)</f>
        <v/>
      </c>
      <c r="U788" s="12" t="str">
        <f t="shared" si="112"/>
        <v/>
      </c>
      <c r="V788" s="12" t="str">
        <f>IF(Raw_Data!AP791="","",IF(Raw_Data!AP791="oui",1,0))</f>
        <v/>
      </c>
      <c r="W788" s="12" t="str">
        <f>IF(Raw_Data!AQ791="","",IF(Raw_Data!AQ791="oui",1,0))</f>
        <v/>
      </c>
      <c r="X788" s="12" t="str">
        <f>IF(Raw_Data!AR791="","",IF(Raw_Data!AR791="oui",1,0))</f>
        <v/>
      </c>
      <c r="Y788" s="12" t="str">
        <f>IF(Raw_Data!AS791="","",IF(Raw_Data!AS791="oui",1,0))</f>
        <v/>
      </c>
      <c r="Z788" s="12" t="str">
        <f>IF(Raw_Data!V791="","",IF(Raw_Data!V791="oui",1,0))</f>
        <v/>
      </c>
      <c r="AA788" s="12" t="str">
        <f>IF(Raw_Data!W791="","",IF(Raw_Data!W791="oui",1,0))</f>
        <v/>
      </c>
      <c r="AB788" s="12" t="str">
        <f>IF(Raw_Data!Q791="","",IF(Raw_Data!Q791="oui",1,0))</f>
        <v/>
      </c>
      <c r="AC788" s="12">
        <f>Raw_Data!AF791</f>
        <v>0</v>
      </c>
      <c r="AD788" s="12" t="str">
        <f t="shared" si="113"/>
        <v/>
      </c>
      <c r="AE788" s="12" t="str">
        <f t="shared" si="114"/>
        <v/>
      </c>
      <c r="AF788" s="12" t="str">
        <f t="shared" si="115"/>
        <v/>
      </c>
      <c r="AG788" s="12">
        <f t="shared" si="116"/>
        <v>0</v>
      </c>
    </row>
    <row r="789" spans="1:33" ht="15" customHeight="1" x14ac:dyDescent="0.25">
      <c r="A789" s="12" t="str">
        <f>IF(Raw_Data!B792="","",Raw_Data!B792)</f>
        <v/>
      </c>
      <c r="B789" s="12">
        <f>IF(Raw_Data!X792&lt;&gt;"",Raw_Data!X792,Raw_Data!C792)</f>
        <v>0</v>
      </c>
      <c r="C789" s="12" t="str">
        <f>IF(Raw_Data!G792="","",Raw_Data!G792)</f>
        <v/>
      </c>
      <c r="D789" s="12" t="str">
        <f>IF(Raw_Data!H792="","",Raw_Data!H792)</f>
        <v/>
      </c>
      <c r="E789" s="12" t="str">
        <f>IF(Raw_Data!I792="","",Raw_Data!I792)</f>
        <v/>
      </c>
      <c r="F789" s="12" t="str">
        <f>IF(Raw_Data!J792="","",Raw_Data!J792)</f>
        <v/>
      </c>
      <c r="G789" s="12" t="str">
        <f>IF(Raw_Data!AH792&lt;&gt;"",Raw_Data!AH792,IF(Raw_Data!K792&lt;&gt;"",Raw_Data!K792,""))</f>
        <v/>
      </c>
      <c r="H789" s="12" t="str">
        <f>IF(Raw_Data!AI792&lt;&gt;"",Raw_Data!AI792,IF(Raw_Data!L792&lt;&gt;"",Raw_Data!L792,""))</f>
        <v/>
      </c>
      <c r="I789" s="12" t="str">
        <f t="shared" si="108"/>
        <v/>
      </c>
      <c r="J789" s="12" t="str">
        <f>IF(Raw_Data!M792="","",Raw_Data!M792)</f>
        <v/>
      </c>
      <c r="K789" s="12">
        <f>IF(Raw_Data!AJ792&lt;&gt;"",Raw_Data!AJ792,Raw_Data!N792)</f>
        <v>0</v>
      </c>
      <c r="L789" s="12">
        <f t="shared" si="109"/>
        <v>1</v>
      </c>
      <c r="M789" s="12" t="str">
        <f>IF(Raw_Data!AK792="","",Raw_Data!AK792)</f>
        <v/>
      </c>
      <c r="N789" s="12" t="str">
        <f>IF(Raw_Data!T792="","",Raw_Data!T792)</f>
        <v/>
      </c>
      <c r="O789" s="12" t="str">
        <f>IF(Raw_Data!AB792&lt;&gt;"",Raw_Data!AB792,IF(N789="tres_insatisfait",1,IF(N789="insatisfait",2,IF(N789="neutre",3,IF(N789="satisfait",4,IF(N789="tres_satisfait",5,""))))))</f>
        <v/>
      </c>
      <c r="P789" s="12">
        <f>IF(Raw_Data!AL792&lt;&gt;"",Raw_Data!AL792,Raw_Data!R792)</f>
        <v>0</v>
      </c>
      <c r="Q789" s="12">
        <f t="shared" si="110"/>
        <v>0</v>
      </c>
      <c r="R789" s="12" t="str">
        <f>IF(Raw_Data!AM792="","",Raw_Data!AM792)</f>
        <v/>
      </c>
      <c r="S789" s="12" t="str">
        <f t="shared" si="111"/>
        <v/>
      </c>
      <c r="T789" s="12" t="str">
        <f>IF(Raw_Data!AN792="","",Raw_Data!AN792)</f>
        <v/>
      </c>
      <c r="U789" s="12" t="str">
        <f t="shared" si="112"/>
        <v/>
      </c>
      <c r="V789" s="12" t="str">
        <f>IF(Raw_Data!AP792="","",IF(Raw_Data!AP792="oui",1,0))</f>
        <v/>
      </c>
      <c r="W789" s="12" t="str">
        <f>IF(Raw_Data!AQ792="","",IF(Raw_Data!AQ792="oui",1,0))</f>
        <v/>
      </c>
      <c r="X789" s="12" t="str">
        <f>IF(Raw_Data!AR792="","",IF(Raw_Data!AR792="oui",1,0))</f>
        <v/>
      </c>
      <c r="Y789" s="12" t="str">
        <f>IF(Raw_Data!AS792="","",IF(Raw_Data!AS792="oui",1,0))</f>
        <v/>
      </c>
      <c r="Z789" s="12" t="str">
        <f>IF(Raw_Data!V792="","",IF(Raw_Data!V792="oui",1,0))</f>
        <v/>
      </c>
      <c r="AA789" s="12" t="str">
        <f>IF(Raw_Data!W792="","",IF(Raw_Data!W792="oui",1,0))</f>
        <v/>
      </c>
      <c r="AB789" s="12" t="str">
        <f>IF(Raw_Data!Q792="","",IF(Raw_Data!Q792="oui",1,0))</f>
        <v/>
      </c>
      <c r="AC789" s="12">
        <f>Raw_Data!AF792</f>
        <v>0</v>
      </c>
      <c r="AD789" s="12" t="str">
        <f t="shared" si="113"/>
        <v/>
      </c>
      <c r="AE789" s="12" t="str">
        <f t="shared" si="114"/>
        <v/>
      </c>
      <c r="AF789" s="12" t="str">
        <f t="shared" si="115"/>
        <v/>
      </c>
      <c r="AG789" s="12">
        <f t="shared" si="116"/>
        <v>0</v>
      </c>
    </row>
    <row r="790" spans="1:33" ht="15" customHeight="1" x14ac:dyDescent="0.25">
      <c r="A790" s="12" t="str">
        <f>IF(Raw_Data!B793="","",Raw_Data!B793)</f>
        <v/>
      </c>
      <c r="B790" s="12">
        <f>IF(Raw_Data!X793&lt;&gt;"",Raw_Data!X793,Raw_Data!C793)</f>
        <v>0</v>
      </c>
      <c r="C790" s="12" t="str">
        <f>IF(Raw_Data!G793="","",Raw_Data!G793)</f>
        <v/>
      </c>
      <c r="D790" s="12" t="str">
        <f>IF(Raw_Data!H793="","",Raw_Data!H793)</f>
        <v/>
      </c>
      <c r="E790" s="12" t="str">
        <f>IF(Raw_Data!I793="","",Raw_Data!I793)</f>
        <v/>
      </c>
      <c r="F790" s="12" t="str">
        <f>IF(Raw_Data!J793="","",Raw_Data!J793)</f>
        <v/>
      </c>
      <c r="G790" s="12" t="str">
        <f>IF(Raw_Data!AH793&lt;&gt;"",Raw_Data!AH793,IF(Raw_Data!K793&lt;&gt;"",Raw_Data!K793,""))</f>
        <v/>
      </c>
      <c r="H790" s="12" t="str">
        <f>IF(Raw_Data!AI793&lt;&gt;"",Raw_Data!AI793,IF(Raw_Data!L793&lt;&gt;"",Raw_Data!L793,""))</f>
        <v/>
      </c>
      <c r="I790" s="12" t="str">
        <f t="shared" si="108"/>
        <v/>
      </c>
      <c r="J790" s="12" t="str">
        <f>IF(Raw_Data!M793="","",Raw_Data!M793)</f>
        <v/>
      </c>
      <c r="K790" s="12">
        <f>IF(Raw_Data!AJ793&lt;&gt;"",Raw_Data!AJ793,Raw_Data!N793)</f>
        <v>0</v>
      </c>
      <c r="L790" s="12">
        <f t="shared" si="109"/>
        <v>1</v>
      </c>
      <c r="M790" s="12" t="str">
        <f>IF(Raw_Data!AK793="","",Raw_Data!AK793)</f>
        <v/>
      </c>
      <c r="N790" s="12" t="str">
        <f>IF(Raw_Data!T793="","",Raw_Data!T793)</f>
        <v/>
      </c>
      <c r="O790" s="12" t="str">
        <f>IF(Raw_Data!AB793&lt;&gt;"",Raw_Data!AB793,IF(N790="tres_insatisfait",1,IF(N790="insatisfait",2,IF(N790="neutre",3,IF(N790="satisfait",4,IF(N790="tres_satisfait",5,""))))))</f>
        <v/>
      </c>
      <c r="P790" s="12">
        <f>IF(Raw_Data!AL793&lt;&gt;"",Raw_Data!AL793,Raw_Data!R793)</f>
        <v>0</v>
      </c>
      <c r="Q790" s="12">
        <f t="shared" si="110"/>
        <v>0</v>
      </c>
      <c r="R790" s="12" t="str">
        <f>IF(Raw_Data!AM793="","",Raw_Data!AM793)</f>
        <v/>
      </c>
      <c r="S790" s="12" t="str">
        <f t="shared" si="111"/>
        <v/>
      </c>
      <c r="T790" s="12" t="str">
        <f>IF(Raw_Data!AN793="","",Raw_Data!AN793)</f>
        <v/>
      </c>
      <c r="U790" s="12" t="str">
        <f t="shared" si="112"/>
        <v/>
      </c>
      <c r="V790" s="12" t="str">
        <f>IF(Raw_Data!AP793="","",IF(Raw_Data!AP793="oui",1,0))</f>
        <v/>
      </c>
      <c r="W790" s="12" t="str">
        <f>IF(Raw_Data!AQ793="","",IF(Raw_Data!AQ793="oui",1,0))</f>
        <v/>
      </c>
      <c r="X790" s="12" t="str">
        <f>IF(Raw_Data!AR793="","",IF(Raw_Data!AR793="oui",1,0))</f>
        <v/>
      </c>
      <c r="Y790" s="12" t="str">
        <f>IF(Raw_Data!AS793="","",IF(Raw_Data!AS793="oui",1,0))</f>
        <v/>
      </c>
      <c r="Z790" s="12" t="str">
        <f>IF(Raw_Data!V793="","",IF(Raw_Data!V793="oui",1,0))</f>
        <v/>
      </c>
      <c r="AA790" s="12" t="str">
        <f>IF(Raw_Data!W793="","",IF(Raw_Data!W793="oui",1,0))</f>
        <v/>
      </c>
      <c r="AB790" s="12" t="str">
        <f>IF(Raw_Data!Q793="","",IF(Raw_Data!Q793="oui",1,0))</f>
        <v/>
      </c>
      <c r="AC790" s="12">
        <f>Raw_Data!AF793</f>
        <v>0</v>
      </c>
      <c r="AD790" s="12" t="str">
        <f t="shared" si="113"/>
        <v/>
      </c>
      <c r="AE790" s="12" t="str">
        <f t="shared" si="114"/>
        <v/>
      </c>
      <c r="AF790" s="12" t="str">
        <f t="shared" si="115"/>
        <v/>
      </c>
      <c r="AG790" s="12">
        <f t="shared" si="116"/>
        <v>0</v>
      </c>
    </row>
    <row r="791" spans="1:33" ht="15" customHeight="1" x14ac:dyDescent="0.25">
      <c r="A791" s="12" t="str">
        <f>IF(Raw_Data!B794="","",Raw_Data!B794)</f>
        <v/>
      </c>
      <c r="B791" s="12">
        <f>IF(Raw_Data!X794&lt;&gt;"",Raw_Data!X794,Raw_Data!C794)</f>
        <v>0</v>
      </c>
      <c r="C791" s="12" t="str">
        <f>IF(Raw_Data!G794="","",Raw_Data!G794)</f>
        <v/>
      </c>
      <c r="D791" s="12" t="str">
        <f>IF(Raw_Data!H794="","",Raw_Data!H794)</f>
        <v/>
      </c>
      <c r="E791" s="12" t="str">
        <f>IF(Raw_Data!I794="","",Raw_Data!I794)</f>
        <v/>
      </c>
      <c r="F791" s="12" t="str">
        <f>IF(Raw_Data!J794="","",Raw_Data!J794)</f>
        <v/>
      </c>
      <c r="G791" s="12" t="str">
        <f>IF(Raw_Data!AH794&lt;&gt;"",Raw_Data!AH794,IF(Raw_Data!K794&lt;&gt;"",Raw_Data!K794,""))</f>
        <v/>
      </c>
      <c r="H791" s="12" t="str">
        <f>IF(Raw_Data!AI794&lt;&gt;"",Raw_Data!AI794,IF(Raw_Data!L794&lt;&gt;"",Raw_Data!L794,""))</f>
        <v/>
      </c>
      <c r="I791" s="12" t="str">
        <f t="shared" si="108"/>
        <v/>
      </c>
      <c r="J791" s="12" t="str">
        <f>IF(Raw_Data!M794="","",Raw_Data!M794)</f>
        <v/>
      </c>
      <c r="K791" s="12">
        <f>IF(Raw_Data!AJ794&lt;&gt;"",Raw_Data!AJ794,Raw_Data!N794)</f>
        <v>0</v>
      </c>
      <c r="L791" s="12">
        <f t="shared" si="109"/>
        <v>1</v>
      </c>
      <c r="M791" s="12" t="str">
        <f>IF(Raw_Data!AK794="","",Raw_Data!AK794)</f>
        <v/>
      </c>
      <c r="N791" s="12" t="str">
        <f>IF(Raw_Data!T794="","",Raw_Data!T794)</f>
        <v/>
      </c>
      <c r="O791" s="12" t="str">
        <f>IF(Raw_Data!AB794&lt;&gt;"",Raw_Data!AB794,IF(N791="tres_insatisfait",1,IF(N791="insatisfait",2,IF(N791="neutre",3,IF(N791="satisfait",4,IF(N791="tres_satisfait",5,""))))))</f>
        <v/>
      </c>
      <c r="P791" s="12">
        <f>IF(Raw_Data!AL794&lt;&gt;"",Raw_Data!AL794,Raw_Data!R794)</f>
        <v>0</v>
      </c>
      <c r="Q791" s="12">
        <f t="shared" si="110"/>
        <v>0</v>
      </c>
      <c r="R791" s="12" t="str">
        <f>IF(Raw_Data!AM794="","",Raw_Data!AM794)</f>
        <v/>
      </c>
      <c r="S791" s="12" t="str">
        <f t="shared" si="111"/>
        <v/>
      </c>
      <c r="T791" s="12" t="str">
        <f>IF(Raw_Data!AN794="","",Raw_Data!AN794)</f>
        <v/>
      </c>
      <c r="U791" s="12" t="str">
        <f t="shared" si="112"/>
        <v/>
      </c>
      <c r="V791" s="12" t="str">
        <f>IF(Raw_Data!AP794="","",IF(Raw_Data!AP794="oui",1,0))</f>
        <v/>
      </c>
      <c r="W791" s="12" t="str">
        <f>IF(Raw_Data!AQ794="","",IF(Raw_Data!AQ794="oui",1,0))</f>
        <v/>
      </c>
      <c r="X791" s="12" t="str">
        <f>IF(Raw_Data!AR794="","",IF(Raw_Data!AR794="oui",1,0))</f>
        <v/>
      </c>
      <c r="Y791" s="12" t="str">
        <f>IF(Raw_Data!AS794="","",IF(Raw_Data!AS794="oui",1,0))</f>
        <v/>
      </c>
      <c r="Z791" s="12" t="str">
        <f>IF(Raw_Data!V794="","",IF(Raw_Data!V794="oui",1,0))</f>
        <v/>
      </c>
      <c r="AA791" s="12" t="str">
        <f>IF(Raw_Data!W794="","",IF(Raw_Data!W794="oui",1,0))</f>
        <v/>
      </c>
      <c r="AB791" s="12" t="str">
        <f>IF(Raw_Data!Q794="","",IF(Raw_Data!Q794="oui",1,0))</f>
        <v/>
      </c>
      <c r="AC791" s="12">
        <f>Raw_Data!AF794</f>
        <v>0</v>
      </c>
      <c r="AD791" s="12" t="str">
        <f t="shared" si="113"/>
        <v/>
      </c>
      <c r="AE791" s="12" t="str">
        <f t="shared" si="114"/>
        <v/>
      </c>
      <c r="AF791" s="12" t="str">
        <f t="shared" si="115"/>
        <v/>
      </c>
      <c r="AG791" s="12">
        <f t="shared" si="116"/>
        <v>0</v>
      </c>
    </row>
    <row r="792" spans="1:33" ht="15" customHeight="1" x14ac:dyDescent="0.25">
      <c r="A792" s="12" t="str">
        <f>IF(Raw_Data!B795="","",Raw_Data!B795)</f>
        <v/>
      </c>
      <c r="B792" s="12">
        <f>IF(Raw_Data!X795&lt;&gt;"",Raw_Data!X795,Raw_Data!C795)</f>
        <v>0</v>
      </c>
      <c r="C792" s="12" t="str">
        <f>IF(Raw_Data!G795="","",Raw_Data!G795)</f>
        <v/>
      </c>
      <c r="D792" s="12" t="str">
        <f>IF(Raw_Data!H795="","",Raw_Data!H795)</f>
        <v/>
      </c>
      <c r="E792" s="12" t="str">
        <f>IF(Raw_Data!I795="","",Raw_Data!I795)</f>
        <v/>
      </c>
      <c r="F792" s="12" t="str">
        <f>IF(Raw_Data!J795="","",Raw_Data!J795)</f>
        <v/>
      </c>
      <c r="G792" s="12" t="str">
        <f>IF(Raw_Data!AH795&lt;&gt;"",Raw_Data!AH795,IF(Raw_Data!K795&lt;&gt;"",Raw_Data!K795,""))</f>
        <v/>
      </c>
      <c r="H792" s="12" t="str">
        <f>IF(Raw_Data!AI795&lt;&gt;"",Raw_Data!AI795,IF(Raw_Data!L795&lt;&gt;"",Raw_Data!L795,""))</f>
        <v/>
      </c>
      <c r="I792" s="12" t="str">
        <f t="shared" si="108"/>
        <v/>
      </c>
      <c r="J792" s="12" t="str">
        <f>IF(Raw_Data!M795="","",Raw_Data!M795)</f>
        <v/>
      </c>
      <c r="K792" s="12">
        <f>IF(Raw_Data!AJ795&lt;&gt;"",Raw_Data!AJ795,Raw_Data!N795)</f>
        <v>0</v>
      </c>
      <c r="L792" s="12">
        <f t="shared" si="109"/>
        <v>1</v>
      </c>
      <c r="M792" s="12" t="str">
        <f>IF(Raw_Data!AK795="","",Raw_Data!AK795)</f>
        <v/>
      </c>
      <c r="N792" s="12" t="str">
        <f>IF(Raw_Data!T795="","",Raw_Data!T795)</f>
        <v/>
      </c>
      <c r="O792" s="12" t="str">
        <f>IF(Raw_Data!AB795&lt;&gt;"",Raw_Data!AB795,IF(N792="tres_insatisfait",1,IF(N792="insatisfait",2,IF(N792="neutre",3,IF(N792="satisfait",4,IF(N792="tres_satisfait",5,""))))))</f>
        <v/>
      </c>
      <c r="P792" s="12">
        <f>IF(Raw_Data!AL795&lt;&gt;"",Raw_Data!AL795,Raw_Data!R795)</f>
        <v>0</v>
      </c>
      <c r="Q792" s="12">
        <f t="shared" si="110"/>
        <v>0</v>
      </c>
      <c r="R792" s="12" t="str">
        <f>IF(Raw_Data!AM795="","",Raw_Data!AM795)</f>
        <v/>
      </c>
      <c r="S792" s="12" t="str">
        <f t="shared" si="111"/>
        <v/>
      </c>
      <c r="T792" s="12" t="str">
        <f>IF(Raw_Data!AN795="","",Raw_Data!AN795)</f>
        <v/>
      </c>
      <c r="U792" s="12" t="str">
        <f t="shared" si="112"/>
        <v/>
      </c>
      <c r="V792" s="12" t="str">
        <f>IF(Raw_Data!AP795="","",IF(Raw_Data!AP795="oui",1,0))</f>
        <v/>
      </c>
      <c r="W792" s="12" t="str">
        <f>IF(Raw_Data!AQ795="","",IF(Raw_Data!AQ795="oui",1,0))</f>
        <v/>
      </c>
      <c r="X792" s="12" t="str">
        <f>IF(Raw_Data!AR795="","",IF(Raw_Data!AR795="oui",1,0))</f>
        <v/>
      </c>
      <c r="Y792" s="12" t="str">
        <f>IF(Raw_Data!AS795="","",IF(Raw_Data!AS795="oui",1,0))</f>
        <v/>
      </c>
      <c r="Z792" s="12" t="str">
        <f>IF(Raw_Data!V795="","",IF(Raw_Data!V795="oui",1,0))</f>
        <v/>
      </c>
      <c r="AA792" s="12" t="str">
        <f>IF(Raw_Data!W795="","",IF(Raw_Data!W795="oui",1,0))</f>
        <v/>
      </c>
      <c r="AB792" s="12" t="str">
        <f>IF(Raw_Data!Q795="","",IF(Raw_Data!Q795="oui",1,0))</f>
        <v/>
      </c>
      <c r="AC792" s="12">
        <f>Raw_Data!AF795</f>
        <v>0</v>
      </c>
      <c r="AD792" s="12" t="str">
        <f t="shared" si="113"/>
        <v/>
      </c>
      <c r="AE792" s="12" t="str">
        <f t="shared" si="114"/>
        <v/>
      </c>
      <c r="AF792" s="12" t="str">
        <f t="shared" si="115"/>
        <v/>
      </c>
      <c r="AG792" s="12">
        <f t="shared" si="116"/>
        <v>0</v>
      </c>
    </row>
    <row r="793" spans="1:33" ht="15" customHeight="1" x14ac:dyDescent="0.25">
      <c r="A793" s="12" t="str">
        <f>IF(Raw_Data!B796="","",Raw_Data!B796)</f>
        <v/>
      </c>
      <c r="B793" s="12">
        <f>IF(Raw_Data!X796&lt;&gt;"",Raw_Data!X796,Raw_Data!C796)</f>
        <v>0</v>
      </c>
      <c r="C793" s="12" t="str">
        <f>IF(Raw_Data!G796="","",Raw_Data!G796)</f>
        <v/>
      </c>
      <c r="D793" s="12" t="str">
        <f>IF(Raw_Data!H796="","",Raw_Data!H796)</f>
        <v/>
      </c>
      <c r="E793" s="12" t="str">
        <f>IF(Raw_Data!I796="","",Raw_Data!I796)</f>
        <v/>
      </c>
      <c r="F793" s="12" t="str">
        <f>IF(Raw_Data!J796="","",Raw_Data!J796)</f>
        <v/>
      </c>
      <c r="G793" s="12" t="str">
        <f>IF(Raw_Data!AH796&lt;&gt;"",Raw_Data!AH796,IF(Raw_Data!K796&lt;&gt;"",Raw_Data!K796,""))</f>
        <v/>
      </c>
      <c r="H793" s="12" t="str">
        <f>IF(Raw_Data!AI796&lt;&gt;"",Raw_Data!AI796,IF(Raw_Data!L796&lt;&gt;"",Raw_Data!L796,""))</f>
        <v/>
      </c>
      <c r="I793" s="12" t="str">
        <f t="shared" si="108"/>
        <v/>
      </c>
      <c r="J793" s="12" t="str">
        <f>IF(Raw_Data!M796="","",Raw_Data!M796)</f>
        <v/>
      </c>
      <c r="K793" s="12">
        <f>IF(Raw_Data!AJ796&lt;&gt;"",Raw_Data!AJ796,Raw_Data!N796)</f>
        <v>0</v>
      </c>
      <c r="L793" s="12">
        <f t="shared" si="109"/>
        <v>1</v>
      </c>
      <c r="M793" s="12" t="str">
        <f>IF(Raw_Data!AK796="","",Raw_Data!AK796)</f>
        <v/>
      </c>
      <c r="N793" s="12" t="str">
        <f>IF(Raw_Data!T796="","",Raw_Data!T796)</f>
        <v/>
      </c>
      <c r="O793" s="12" t="str">
        <f>IF(Raw_Data!AB796&lt;&gt;"",Raw_Data!AB796,IF(N793="tres_insatisfait",1,IF(N793="insatisfait",2,IF(N793="neutre",3,IF(N793="satisfait",4,IF(N793="tres_satisfait",5,""))))))</f>
        <v/>
      </c>
      <c r="P793" s="12">
        <f>IF(Raw_Data!AL796&lt;&gt;"",Raw_Data!AL796,Raw_Data!R796)</f>
        <v>0</v>
      </c>
      <c r="Q793" s="12">
        <f t="shared" si="110"/>
        <v>0</v>
      </c>
      <c r="R793" s="12" t="str">
        <f>IF(Raw_Data!AM796="","",Raw_Data!AM796)</f>
        <v/>
      </c>
      <c r="S793" s="12" t="str">
        <f t="shared" si="111"/>
        <v/>
      </c>
      <c r="T793" s="12" t="str">
        <f>IF(Raw_Data!AN796="","",Raw_Data!AN796)</f>
        <v/>
      </c>
      <c r="U793" s="12" t="str">
        <f t="shared" si="112"/>
        <v/>
      </c>
      <c r="V793" s="12" t="str">
        <f>IF(Raw_Data!AP796="","",IF(Raw_Data!AP796="oui",1,0))</f>
        <v/>
      </c>
      <c r="W793" s="12" t="str">
        <f>IF(Raw_Data!AQ796="","",IF(Raw_Data!AQ796="oui",1,0))</f>
        <v/>
      </c>
      <c r="X793" s="12" t="str">
        <f>IF(Raw_Data!AR796="","",IF(Raw_Data!AR796="oui",1,0))</f>
        <v/>
      </c>
      <c r="Y793" s="12" t="str">
        <f>IF(Raw_Data!AS796="","",IF(Raw_Data!AS796="oui",1,0))</f>
        <v/>
      </c>
      <c r="Z793" s="12" t="str">
        <f>IF(Raw_Data!V796="","",IF(Raw_Data!V796="oui",1,0))</f>
        <v/>
      </c>
      <c r="AA793" s="12" t="str">
        <f>IF(Raw_Data!W796="","",IF(Raw_Data!W796="oui",1,0))</f>
        <v/>
      </c>
      <c r="AB793" s="12" t="str">
        <f>IF(Raw_Data!Q796="","",IF(Raw_Data!Q796="oui",1,0))</f>
        <v/>
      </c>
      <c r="AC793" s="12">
        <f>Raw_Data!AF796</f>
        <v>0</v>
      </c>
      <c r="AD793" s="12" t="str">
        <f t="shared" si="113"/>
        <v/>
      </c>
      <c r="AE793" s="12" t="str">
        <f t="shared" si="114"/>
        <v/>
      </c>
      <c r="AF793" s="12" t="str">
        <f t="shared" si="115"/>
        <v/>
      </c>
      <c r="AG793" s="12">
        <f t="shared" si="116"/>
        <v>0</v>
      </c>
    </row>
    <row r="794" spans="1:33" ht="15" customHeight="1" x14ac:dyDescent="0.25">
      <c r="A794" s="12" t="str">
        <f>IF(Raw_Data!B797="","",Raw_Data!B797)</f>
        <v/>
      </c>
      <c r="B794" s="12">
        <f>IF(Raw_Data!X797&lt;&gt;"",Raw_Data!X797,Raw_Data!C797)</f>
        <v>0</v>
      </c>
      <c r="C794" s="12" t="str">
        <f>IF(Raw_Data!G797="","",Raw_Data!G797)</f>
        <v/>
      </c>
      <c r="D794" s="12" t="str">
        <f>IF(Raw_Data!H797="","",Raw_Data!H797)</f>
        <v/>
      </c>
      <c r="E794" s="12" t="str">
        <f>IF(Raw_Data!I797="","",Raw_Data!I797)</f>
        <v/>
      </c>
      <c r="F794" s="12" t="str">
        <f>IF(Raw_Data!J797="","",Raw_Data!J797)</f>
        <v/>
      </c>
      <c r="G794" s="12" t="str">
        <f>IF(Raw_Data!AH797&lt;&gt;"",Raw_Data!AH797,IF(Raw_Data!K797&lt;&gt;"",Raw_Data!K797,""))</f>
        <v/>
      </c>
      <c r="H794" s="12" t="str">
        <f>IF(Raw_Data!AI797&lt;&gt;"",Raw_Data!AI797,IF(Raw_Data!L797&lt;&gt;"",Raw_Data!L797,""))</f>
        <v/>
      </c>
      <c r="I794" s="12" t="str">
        <f t="shared" si="108"/>
        <v/>
      </c>
      <c r="J794" s="12" t="str">
        <f>IF(Raw_Data!M797="","",Raw_Data!M797)</f>
        <v/>
      </c>
      <c r="K794" s="12">
        <f>IF(Raw_Data!AJ797&lt;&gt;"",Raw_Data!AJ797,Raw_Data!N797)</f>
        <v>0</v>
      </c>
      <c r="L794" s="12">
        <f t="shared" si="109"/>
        <v>1</v>
      </c>
      <c r="M794" s="12" t="str">
        <f>IF(Raw_Data!AK797="","",Raw_Data!AK797)</f>
        <v/>
      </c>
      <c r="N794" s="12" t="str">
        <f>IF(Raw_Data!T797="","",Raw_Data!T797)</f>
        <v/>
      </c>
      <c r="O794" s="12" t="str">
        <f>IF(Raw_Data!AB797&lt;&gt;"",Raw_Data!AB797,IF(N794="tres_insatisfait",1,IF(N794="insatisfait",2,IF(N794="neutre",3,IF(N794="satisfait",4,IF(N794="tres_satisfait",5,""))))))</f>
        <v/>
      </c>
      <c r="P794" s="12">
        <f>IF(Raw_Data!AL797&lt;&gt;"",Raw_Data!AL797,Raw_Data!R797)</f>
        <v>0</v>
      </c>
      <c r="Q794" s="12">
        <f t="shared" si="110"/>
        <v>0</v>
      </c>
      <c r="R794" s="12" t="str">
        <f>IF(Raw_Data!AM797="","",Raw_Data!AM797)</f>
        <v/>
      </c>
      <c r="S794" s="12" t="str">
        <f t="shared" si="111"/>
        <v/>
      </c>
      <c r="T794" s="12" t="str">
        <f>IF(Raw_Data!AN797="","",Raw_Data!AN797)</f>
        <v/>
      </c>
      <c r="U794" s="12" t="str">
        <f t="shared" si="112"/>
        <v/>
      </c>
      <c r="V794" s="12" t="str">
        <f>IF(Raw_Data!AP797="","",IF(Raw_Data!AP797="oui",1,0))</f>
        <v/>
      </c>
      <c r="W794" s="12" t="str">
        <f>IF(Raw_Data!AQ797="","",IF(Raw_Data!AQ797="oui",1,0))</f>
        <v/>
      </c>
      <c r="X794" s="12" t="str">
        <f>IF(Raw_Data!AR797="","",IF(Raw_Data!AR797="oui",1,0))</f>
        <v/>
      </c>
      <c r="Y794" s="12" t="str">
        <f>IF(Raw_Data!AS797="","",IF(Raw_Data!AS797="oui",1,0))</f>
        <v/>
      </c>
      <c r="Z794" s="12" t="str">
        <f>IF(Raw_Data!V797="","",IF(Raw_Data!V797="oui",1,0))</f>
        <v/>
      </c>
      <c r="AA794" s="12" t="str">
        <f>IF(Raw_Data!W797="","",IF(Raw_Data!W797="oui",1,0))</f>
        <v/>
      </c>
      <c r="AB794" s="12" t="str">
        <f>IF(Raw_Data!Q797="","",IF(Raw_Data!Q797="oui",1,0))</f>
        <v/>
      </c>
      <c r="AC794" s="12">
        <f>Raw_Data!AF797</f>
        <v>0</v>
      </c>
      <c r="AD794" s="12" t="str">
        <f t="shared" si="113"/>
        <v/>
      </c>
      <c r="AE794" s="12" t="str">
        <f t="shared" si="114"/>
        <v/>
      </c>
      <c r="AF794" s="12" t="str">
        <f t="shared" si="115"/>
        <v/>
      </c>
      <c r="AG794" s="12">
        <f t="shared" si="116"/>
        <v>0</v>
      </c>
    </row>
    <row r="795" spans="1:33" ht="15" customHeight="1" x14ac:dyDescent="0.25">
      <c r="A795" s="12" t="str">
        <f>IF(Raw_Data!B798="","",Raw_Data!B798)</f>
        <v/>
      </c>
      <c r="B795" s="12">
        <f>IF(Raw_Data!X798&lt;&gt;"",Raw_Data!X798,Raw_Data!C798)</f>
        <v>0</v>
      </c>
      <c r="C795" s="12" t="str">
        <f>IF(Raw_Data!G798="","",Raw_Data!G798)</f>
        <v/>
      </c>
      <c r="D795" s="12" t="str">
        <f>IF(Raw_Data!H798="","",Raw_Data!H798)</f>
        <v/>
      </c>
      <c r="E795" s="12" t="str">
        <f>IF(Raw_Data!I798="","",Raw_Data!I798)</f>
        <v/>
      </c>
      <c r="F795" s="12" t="str">
        <f>IF(Raw_Data!J798="","",Raw_Data!J798)</f>
        <v/>
      </c>
      <c r="G795" s="12" t="str">
        <f>IF(Raw_Data!AH798&lt;&gt;"",Raw_Data!AH798,IF(Raw_Data!K798&lt;&gt;"",Raw_Data!K798,""))</f>
        <v/>
      </c>
      <c r="H795" s="12" t="str">
        <f>IF(Raw_Data!AI798&lt;&gt;"",Raw_Data!AI798,IF(Raw_Data!L798&lt;&gt;"",Raw_Data!L798,""))</f>
        <v/>
      </c>
      <c r="I795" s="12" t="str">
        <f t="shared" si="108"/>
        <v/>
      </c>
      <c r="J795" s="12" t="str">
        <f>IF(Raw_Data!M798="","",Raw_Data!M798)</f>
        <v/>
      </c>
      <c r="K795" s="12">
        <f>IF(Raw_Data!AJ798&lt;&gt;"",Raw_Data!AJ798,Raw_Data!N798)</f>
        <v>0</v>
      </c>
      <c r="L795" s="12">
        <f t="shared" si="109"/>
        <v>1</v>
      </c>
      <c r="M795" s="12" t="str">
        <f>IF(Raw_Data!AK798="","",Raw_Data!AK798)</f>
        <v/>
      </c>
      <c r="N795" s="12" t="str">
        <f>IF(Raw_Data!T798="","",Raw_Data!T798)</f>
        <v/>
      </c>
      <c r="O795" s="12" t="str">
        <f>IF(Raw_Data!AB798&lt;&gt;"",Raw_Data!AB798,IF(N795="tres_insatisfait",1,IF(N795="insatisfait",2,IF(N795="neutre",3,IF(N795="satisfait",4,IF(N795="tres_satisfait",5,""))))))</f>
        <v/>
      </c>
      <c r="P795" s="12">
        <f>IF(Raw_Data!AL798&lt;&gt;"",Raw_Data!AL798,Raw_Data!R798)</f>
        <v>0</v>
      </c>
      <c r="Q795" s="12">
        <f t="shared" si="110"/>
        <v>0</v>
      </c>
      <c r="R795" s="12" t="str">
        <f>IF(Raw_Data!AM798="","",Raw_Data!AM798)</f>
        <v/>
      </c>
      <c r="S795" s="12" t="str">
        <f t="shared" si="111"/>
        <v/>
      </c>
      <c r="T795" s="12" t="str">
        <f>IF(Raw_Data!AN798="","",Raw_Data!AN798)</f>
        <v/>
      </c>
      <c r="U795" s="12" t="str">
        <f t="shared" si="112"/>
        <v/>
      </c>
      <c r="V795" s="12" t="str">
        <f>IF(Raw_Data!AP798="","",IF(Raw_Data!AP798="oui",1,0))</f>
        <v/>
      </c>
      <c r="W795" s="12" t="str">
        <f>IF(Raw_Data!AQ798="","",IF(Raw_Data!AQ798="oui",1,0))</f>
        <v/>
      </c>
      <c r="X795" s="12" t="str">
        <f>IF(Raw_Data!AR798="","",IF(Raw_Data!AR798="oui",1,0))</f>
        <v/>
      </c>
      <c r="Y795" s="12" t="str">
        <f>IF(Raw_Data!AS798="","",IF(Raw_Data!AS798="oui",1,0))</f>
        <v/>
      </c>
      <c r="Z795" s="12" t="str">
        <f>IF(Raw_Data!V798="","",IF(Raw_Data!V798="oui",1,0))</f>
        <v/>
      </c>
      <c r="AA795" s="12" t="str">
        <f>IF(Raw_Data!W798="","",IF(Raw_Data!W798="oui",1,0))</f>
        <v/>
      </c>
      <c r="AB795" s="12" t="str">
        <f>IF(Raw_Data!Q798="","",IF(Raw_Data!Q798="oui",1,0))</f>
        <v/>
      </c>
      <c r="AC795" s="12">
        <f>Raw_Data!AF798</f>
        <v>0</v>
      </c>
      <c r="AD795" s="12" t="str">
        <f t="shared" si="113"/>
        <v/>
      </c>
      <c r="AE795" s="12" t="str">
        <f t="shared" si="114"/>
        <v/>
      </c>
      <c r="AF795" s="12" t="str">
        <f t="shared" si="115"/>
        <v/>
      </c>
      <c r="AG795" s="12">
        <f t="shared" si="116"/>
        <v>0</v>
      </c>
    </row>
    <row r="796" spans="1:33" ht="15" customHeight="1" x14ac:dyDescent="0.25">
      <c r="A796" s="12" t="str">
        <f>IF(Raw_Data!B799="","",Raw_Data!B799)</f>
        <v/>
      </c>
      <c r="B796" s="12">
        <f>IF(Raw_Data!X799&lt;&gt;"",Raw_Data!X799,Raw_Data!C799)</f>
        <v>0</v>
      </c>
      <c r="C796" s="12" t="str">
        <f>IF(Raw_Data!G799="","",Raw_Data!G799)</f>
        <v/>
      </c>
      <c r="D796" s="12" t="str">
        <f>IF(Raw_Data!H799="","",Raw_Data!H799)</f>
        <v/>
      </c>
      <c r="E796" s="12" t="str">
        <f>IF(Raw_Data!I799="","",Raw_Data!I799)</f>
        <v/>
      </c>
      <c r="F796" s="12" t="str">
        <f>IF(Raw_Data!J799="","",Raw_Data!J799)</f>
        <v/>
      </c>
      <c r="G796" s="12" t="str">
        <f>IF(Raw_Data!AH799&lt;&gt;"",Raw_Data!AH799,IF(Raw_Data!K799&lt;&gt;"",Raw_Data!K799,""))</f>
        <v/>
      </c>
      <c r="H796" s="12" t="str">
        <f>IF(Raw_Data!AI799&lt;&gt;"",Raw_Data!AI799,IF(Raw_Data!L799&lt;&gt;"",Raw_Data!L799,""))</f>
        <v/>
      </c>
      <c r="I796" s="12" t="str">
        <f t="shared" si="108"/>
        <v/>
      </c>
      <c r="J796" s="12" t="str">
        <f>IF(Raw_Data!M799="","",Raw_Data!M799)</f>
        <v/>
      </c>
      <c r="K796" s="12">
        <f>IF(Raw_Data!AJ799&lt;&gt;"",Raw_Data!AJ799,Raw_Data!N799)</f>
        <v>0</v>
      </c>
      <c r="L796" s="12">
        <f t="shared" si="109"/>
        <v>1</v>
      </c>
      <c r="M796" s="12" t="str">
        <f>IF(Raw_Data!AK799="","",Raw_Data!AK799)</f>
        <v/>
      </c>
      <c r="N796" s="12" t="str">
        <f>IF(Raw_Data!T799="","",Raw_Data!T799)</f>
        <v/>
      </c>
      <c r="O796" s="12" t="str">
        <f>IF(Raw_Data!AB799&lt;&gt;"",Raw_Data!AB799,IF(N796="tres_insatisfait",1,IF(N796="insatisfait",2,IF(N796="neutre",3,IF(N796="satisfait",4,IF(N796="tres_satisfait",5,""))))))</f>
        <v/>
      </c>
      <c r="P796" s="12">
        <f>IF(Raw_Data!AL799&lt;&gt;"",Raw_Data!AL799,Raw_Data!R799)</f>
        <v>0</v>
      </c>
      <c r="Q796" s="12">
        <f t="shared" si="110"/>
        <v>0</v>
      </c>
      <c r="R796" s="12" t="str">
        <f>IF(Raw_Data!AM799="","",Raw_Data!AM799)</f>
        <v/>
      </c>
      <c r="S796" s="12" t="str">
        <f t="shared" si="111"/>
        <v/>
      </c>
      <c r="T796" s="12" t="str">
        <f>IF(Raw_Data!AN799="","",Raw_Data!AN799)</f>
        <v/>
      </c>
      <c r="U796" s="12" t="str">
        <f t="shared" si="112"/>
        <v/>
      </c>
      <c r="V796" s="12" t="str">
        <f>IF(Raw_Data!AP799="","",IF(Raw_Data!AP799="oui",1,0))</f>
        <v/>
      </c>
      <c r="W796" s="12" t="str">
        <f>IF(Raw_Data!AQ799="","",IF(Raw_Data!AQ799="oui",1,0))</f>
        <v/>
      </c>
      <c r="X796" s="12" t="str">
        <f>IF(Raw_Data!AR799="","",IF(Raw_Data!AR799="oui",1,0))</f>
        <v/>
      </c>
      <c r="Y796" s="12" t="str">
        <f>IF(Raw_Data!AS799="","",IF(Raw_Data!AS799="oui",1,0))</f>
        <v/>
      </c>
      <c r="Z796" s="12" t="str">
        <f>IF(Raw_Data!V799="","",IF(Raw_Data!V799="oui",1,0))</f>
        <v/>
      </c>
      <c r="AA796" s="12" t="str">
        <f>IF(Raw_Data!W799="","",IF(Raw_Data!W799="oui",1,0))</f>
        <v/>
      </c>
      <c r="AB796" s="12" t="str">
        <f>IF(Raw_Data!Q799="","",IF(Raw_Data!Q799="oui",1,0))</f>
        <v/>
      </c>
      <c r="AC796" s="12">
        <f>Raw_Data!AF799</f>
        <v>0</v>
      </c>
      <c r="AD796" s="12" t="str">
        <f t="shared" si="113"/>
        <v/>
      </c>
      <c r="AE796" s="12" t="str">
        <f t="shared" si="114"/>
        <v/>
      </c>
      <c r="AF796" s="12" t="str">
        <f t="shared" si="115"/>
        <v/>
      </c>
      <c r="AG796" s="12">
        <f t="shared" si="116"/>
        <v>0</v>
      </c>
    </row>
    <row r="797" spans="1:33" ht="15" customHeight="1" x14ac:dyDescent="0.25">
      <c r="A797" s="12" t="str">
        <f>IF(Raw_Data!B800="","",Raw_Data!B800)</f>
        <v/>
      </c>
      <c r="B797" s="12">
        <f>IF(Raw_Data!X800&lt;&gt;"",Raw_Data!X800,Raw_Data!C800)</f>
        <v>0</v>
      </c>
      <c r="C797" s="12" t="str">
        <f>IF(Raw_Data!G800="","",Raw_Data!G800)</f>
        <v/>
      </c>
      <c r="D797" s="12" t="str">
        <f>IF(Raw_Data!H800="","",Raw_Data!H800)</f>
        <v/>
      </c>
      <c r="E797" s="12" t="str">
        <f>IF(Raw_Data!I800="","",Raw_Data!I800)</f>
        <v/>
      </c>
      <c r="F797" s="12" t="str">
        <f>IF(Raw_Data!J800="","",Raw_Data!J800)</f>
        <v/>
      </c>
      <c r="G797" s="12" t="str">
        <f>IF(Raw_Data!AH800&lt;&gt;"",Raw_Data!AH800,IF(Raw_Data!K800&lt;&gt;"",Raw_Data!K800,""))</f>
        <v/>
      </c>
      <c r="H797" s="12" t="str">
        <f>IF(Raw_Data!AI800&lt;&gt;"",Raw_Data!AI800,IF(Raw_Data!L800&lt;&gt;"",Raw_Data!L800,""))</f>
        <v/>
      </c>
      <c r="I797" s="12" t="str">
        <f t="shared" si="108"/>
        <v/>
      </c>
      <c r="J797" s="12" t="str">
        <f>IF(Raw_Data!M800="","",Raw_Data!M800)</f>
        <v/>
      </c>
      <c r="K797" s="12">
        <f>IF(Raw_Data!AJ800&lt;&gt;"",Raw_Data!AJ800,Raw_Data!N800)</f>
        <v>0</v>
      </c>
      <c r="L797" s="12">
        <f t="shared" si="109"/>
        <v>1</v>
      </c>
      <c r="M797" s="12" t="str">
        <f>IF(Raw_Data!AK800="","",Raw_Data!AK800)</f>
        <v/>
      </c>
      <c r="N797" s="12" t="str">
        <f>IF(Raw_Data!T800="","",Raw_Data!T800)</f>
        <v/>
      </c>
      <c r="O797" s="12" t="str">
        <f>IF(Raw_Data!AB800&lt;&gt;"",Raw_Data!AB800,IF(N797="tres_insatisfait",1,IF(N797="insatisfait",2,IF(N797="neutre",3,IF(N797="satisfait",4,IF(N797="tres_satisfait",5,""))))))</f>
        <v/>
      </c>
      <c r="P797" s="12">
        <f>IF(Raw_Data!AL800&lt;&gt;"",Raw_Data!AL800,Raw_Data!R800)</f>
        <v>0</v>
      </c>
      <c r="Q797" s="12">
        <f t="shared" si="110"/>
        <v>0</v>
      </c>
      <c r="R797" s="12" t="str">
        <f>IF(Raw_Data!AM800="","",Raw_Data!AM800)</f>
        <v/>
      </c>
      <c r="S797" s="12" t="str">
        <f t="shared" si="111"/>
        <v/>
      </c>
      <c r="T797" s="12" t="str">
        <f>IF(Raw_Data!AN800="","",Raw_Data!AN800)</f>
        <v/>
      </c>
      <c r="U797" s="12" t="str">
        <f t="shared" si="112"/>
        <v/>
      </c>
      <c r="V797" s="12" t="str">
        <f>IF(Raw_Data!AP800="","",IF(Raw_Data!AP800="oui",1,0))</f>
        <v/>
      </c>
      <c r="W797" s="12" t="str">
        <f>IF(Raw_Data!AQ800="","",IF(Raw_Data!AQ800="oui",1,0))</f>
        <v/>
      </c>
      <c r="X797" s="12" t="str">
        <f>IF(Raw_Data!AR800="","",IF(Raw_Data!AR800="oui",1,0))</f>
        <v/>
      </c>
      <c r="Y797" s="12" t="str">
        <f>IF(Raw_Data!AS800="","",IF(Raw_Data!AS800="oui",1,0))</f>
        <v/>
      </c>
      <c r="Z797" s="12" t="str">
        <f>IF(Raw_Data!V800="","",IF(Raw_Data!V800="oui",1,0))</f>
        <v/>
      </c>
      <c r="AA797" s="12" t="str">
        <f>IF(Raw_Data!W800="","",IF(Raw_Data!W800="oui",1,0))</f>
        <v/>
      </c>
      <c r="AB797" s="12" t="str">
        <f>IF(Raw_Data!Q800="","",IF(Raw_Data!Q800="oui",1,0))</f>
        <v/>
      </c>
      <c r="AC797" s="12">
        <f>Raw_Data!AF800</f>
        <v>0</v>
      </c>
      <c r="AD797" s="12" t="str">
        <f t="shared" si="113"/>
        <v/>
      </c>
      <c r="AE797" s="12" t="str">
        <f t="shared" si="114"/>
        <v/>
      </c>
      <c r="AF797" s="12" t="str">
        <f t="shared" si="115"/>
        <v/>
      </c>
      <c r="AG797" s="12">
        <f t="shared" si="116"/>
        <v>0</v>
      </c>
    </row>
    <row r="798" spans="1:33" ht="15" customHeight="1" x14ac:dyDescent="0.25">
      <c r="A798" s="12" t="str">
        <f>IF(Raw_Data!B801="","",Raw_Data!B801)</f>
        <v/>
      </c>
      <c r="B798" s="12">
        <f>IF(Raw_Data!X801&lt;&gt;"",Raw_Data!X801,Raw_Data!C801)</f>
        <v>0</v>
      </c>
      <c r="C798" s="12" t="str">
        <f>IF(Raw_Data!G801="","",Raw_Data!G801)</f>
        <v/>
      </c>
      <c r="D798" s="12" t="str">
        <f>IF(Raw_Data!H801="","",Raw_Data!H801)</f>
        <v/>
      </c>
      <c r="E798" s="12" t="str">
        <f>IF(Raw_Data!I801="","",Raw_Data!I801)</f>
        <v/>
      </c>
      <c r="F798" s="12" t="str">
        <f>IF(Raw_Data!J801="","",Raw_Data!J801)</f>
        <v/>
      </c>
      <c r="G798" s="12" t="str">
        <f>IF(Raw_Data!AH801&lt;&gt;"",Raw_Data!AH801,IF(Raw_Data!K801&lt;&gt;"",Raw_Data!K801,""))</f>
        <v/>
      </c>
      <c r="H798" s="12" t="str">
        <f>IF(Raw_Data!AI801&lt;&gt;"",Raw_Data!AI801,IF(Raw_Data!L801&lt;&gt;"",Raw_Data!L801,""))</f>
        <v/>
      </c>
      <c r="I798" s="12" t="str">
        <f t="shared" si="108"/>
        <v/>
      </c>
      <c r="J798" s="12" t="str">
        <f>IF(Raw_Data!M801="","",Raw_Data!M801)</f>
        <v/>
      </c>
      <c r="K798" s="12">
        <f>IF(Raw_Data!AJ801&lt;&gt;"",Raw_Data!AJ801,Raw_Data!N801)</f>
        <v>0</v>
      </c>
      <c r="L798" s="12">
        <f t="shared" si="109"/>
        <v>1</v>
      </c>
      <c r="M798" s="12" t="str">
        <f>IF(Raw_Data!AK801="","",Raw_Data!AK801)</f>
        <v/>
      </c>
      <c r="N798" s="12" t="str">
        <f>IF(Raw_Data!T801="","",Raw_Data!T801)</f>
        <v/>
      </c>
      <c r="O798" s="12" t="str">
        <f>IF(Raw_Data!AB801&lt;&gt;"",Raw_Data!AB801,IF(N798="tres_insatisfait",1,IF(N798="insatisfait",2,IF(N798="neutre",3,IF(N798="satisfait",4,IF(N798="tres_satisfait",5,""))))))</f>
        <v/>
      </c>
      <c r="P798" s="12">
        <f>IF(Raw_Data!AL801&lt;&gt;"",Raw_Data!AL801,Raw_Data!R801)</f>
        <v>0</v>
      </c>
      <c r="Q798" s="12">
        <f t="shared" si="110"/>
        <v>0</v>
      </c>
      <c r="R798" s="12" t="str">
        <f>IF(Raw_Data!AM801="","",Raw_Data!AM801)</f>
        <v/>
      </c>
      <c r="S798" s="12" t="str">
        <f t="shared" si="111"/>
        <v/>
      </c>
      <c r="T798" s="12" t="str">
        <f>IF(Raw_Data!AN801="","",Raw_Data!AN801)</f>
        <v/>
      </c>
      <c r="U798" s="12" t="str">
        <f t="shared" si="112"/>
        <v/>
      </c>
      <c r="V798" s="12" t="str">
        <f>IF(Raw_Data!AP801="","",IF(Raw_Data!AP801="oui",1,0))</f>
        <v/>
      </c>
      <c r="W798" s="12" t="str">
        <f>IF(Raw_Data!AQ801="","",IF(Raw_Data!AQ801="oui",1,0))</f>
        <v/>
      </c>
      <c r="X798" s="12" t="str">
        <f>IF(Raw_Data!AR801="","",IF(Raw_Data!AR801="oui",1,0))</f>
        <v/>
      </c>
      <c r="Y798" s="12" t="str">
        <f>IF(Raw_Data!AS801="","",IF(Raw_Data!AS801="oui",1,0))</f>
        <v/>
      </c>
      <c r="Z798" s="12" t="str">
        <f>IF(Raw_Data!V801="","",IF(Raw_Data!V801="oui",1,0))</f>
        <v/>
      </c>
      <c r="AA798" s="12" t="str">
        <f>IF(Raw_Data!W801="","",IF(Raw_Data!W801="oui",1,0))</f>
        <v/>
      </c>
      <c r="AB798" s="12" t="str">
        <f>IF(Raw_Data!Q801="","",IF(Raw_Data!Q801="oui",1,0))</f>
        <v/>
      </c>
      <c r="AC798" s="12">
        <f>Raw_Data!AF801</f>
        <v>0</v>
      </c>
      <c r="AD798" s="12" t="str">
        <f t="shared" si="113"/>
        <v/>
      </c>
      <c r="AE798" s="12" t="str">
        <f t="shared" si="114"/>
        <v/>
      </c>
      <c r="AF798" s="12" t="str">
        <f t="shared" si="115"/>
        <v/>
      </c>
      <c r="AG798" s="12">
        <f t="shared" si="116"/>
        <v>0</v>
      </c>
    </row>
    <row r="799" spans="1:33" ht="15" customHeight="1" x14ac:dyDescent="0.25">
      <c r="A799" s="12" t="str">
        <f>IF(Raw_Data!B802="","",Raw_Data!B802)</f>
        <v/>
      </c>
      <c r="B799" s="12">
        <f>IF(Raw_Data!X802&lt;&gt;"",Raw_Data!X802,Raw_Data!C802)</f>
        <v>0</v>
      </c>
      <c r="C799" s="12" t="str">
        <f>IF(Raw_Data!G802="","",Raw_Data!G802)</f>
        <v/>
      </c>
      <c r="D799" s="12" t="str">
        <f>IF(Raw_Data!H802="","",Raw_Data!H802)</f>
        <v/>
      </c>
      <c r="E799" s="12" t="str">
        <f>IF(Raw_Data!I802="","",Raw_Data!I802)</f>
        <v/>
      </c>
      <c r="F799" s="12" t="str">
        <f>IF(Raw_Data!J802="","",Raw_Data!J802)</f>
        <v/>
      </c>
      <c r="G799" s="12" t="str">
        <f>IF(Raw_Data!AH802&lt;&gt;"",Raw_Data!AH802,IF(Raw_Data!K802&lt;&gt;"",Raw_Data!K802,""))</f>
        <v/>
      </c>
      <c r="H799" s="12" t="str">
        <f>IF(Raw_Data!AI802&lt;&gt;"",Raw_Data!AI802,IF(Raw_Data!L802&lt;&gt;"",Raw_Data!L802,""))</f>
        <v/>
      </c>
      <c r="I799" s="12" t="str">
        <f t="shared" si="108"/>
        <v/>
      </c>
      <c r="J799" s="12" t="str">
        <f>IF(Raw_Data!M802="","",Raw_Data!M802)</f>
        <v/>
      </c>
      <c r="K799" s="12">
        <f>IF(Raw_Data!AJ802&lt;&gt;"",Raw_Data!AJ802,Raw_Data!N802)</f>
        <v>0</v>
      </c>
      <c r="L799" s="12">
        <f t="shared" si="109"/>
        <v>1</v>
      </c>
      <c r="M799" s="12" t="str">
        <f>IF(Raw_Data!AK802="","",Raw_Data!AK802)</f>
        <v/>
      </c>
      <c r="N799" s="12" t="str">
        <f>IF(Raw_Data!T802="","",Raw_Data!T802)</f>
        <v/>
      </c>
      <c r="O799" s="12" t="str">
        <f>IF(Raw_Data!AB802&lt;&gt;"",Raw_Data!AB802,IF(N799="tres_insatisfait",1,IF(N799="insatisfait",2,IF(N799="neutre",3,IF(N799="satisfait",4,IF(N799="tres_satisfait",5,""))))))</f>
        <v/>
      </c>
      <c r="P799" s="12">
        <f>IF(Raw_Data!AL802&lt;&gt;"",Raw_Data!AL802,Raw_Data!R802)</f>
        <v>0</v>
      </c>
      <c r="Q799" s="12">
        <f t="shared" si="110"/>
        <v>0</v>
      </c>
      <c r="R799" s="12" t="str">
        <f>IF(Raw_Data!AM802="","",Raw_Data!AM802)</f>
        <v/>
      </c>
      <c r="S799" s="12" t="str">
        <f t="shared" si="111"/>
        <v/>
      </c>
      <c r="T799" s="12" t="str">
        <f>IF(Raw_Data!AN802="","",Raw_Data!AN802)</f>
        <v/>
      </c>
      <c r="U799" s="12" t="str">
        <f t="shared" si="112"/>
        <v/>
      </c>
      <c r="V799" s="12" t="str">
        <f>IF(Raw_Data!AP802="","",IF(Raw_Data!AP802="oui",1,0))</f>
        <v/>
      </c>
      <c r="W799" s="12" t="str">
        <f>IF(Raw_Data!AQ802="","",IF(Raw_Data!AQ802="oui",1,0))</f>
        <v/>
      </c>
      <c r="X799" s="12" t="str">
        <f>IF(Raw_Data!AR802="","",IF(Raw_Data!AR802="oui",1,0))</f>
        <v/>
      </c>
      <c r="Y799" s="12" t="str">
        <f>IF(Raw_Data!AS802="","",IF(Raw_Data!AS802="oui",1,0))</f>
        <v/>
      </c>
      <c r="Z799" s="12" t="str">
        <f>IF(Raw_Data!V802="","",IF(Raw_Data!V802="oui",1,0))</f>
        <v/>
      </c>
      <c r="AA799" s="12" t="str">
        <f>IF(Raw_Data!W802="","",IF(Raw_Data!W802="oui",1,0))</f>
        <v/>
      </c>
      <c r="AB799" s="12" t="str">
        <f>IF(Raw_Data!Q802="","",IF(Raw_Data!Q802="oui",1,0))</f>
        <v/>
      </c>
      <c r="AC799" s="12">
        <f>Raw_Data!AF802</f>
        <v>0</v>
      </c>
      <c r="AD799" s="12" t="str">
        <f t="shared" si="113"/>
        <v/>
      </c>
      <c r="AE799" s="12" t="str">
        <f t="shared" si="114"/>
        <v/>
      </c>
      <c r="AF799" s="12" t="str">
        <f t="shared" si="115"/>
        <v/>
      </c>
      <c r="AG799" s="12">
        <f t="shared" si="116"/>
        <v>0</v>
      </c>
    </row>
    <row r="800" spans="1:33" ht="15" customHeight="1" x14ac:dyDescent="0.25">
      <c r="A800" s="12" t="str">
        <f>IF(Raw_Data!B803="","",Raw_Data!B803)</f>
        <v/>
      </c>
      <c r="B800" s="12">
        <f>IF(Raw_Data!X803&lt;&gt;"",Raw_Data!X803,Raw_Data!C803)</f>
        <v>0</v>
      </c>
      <c r="C800" s="12" t="str">
        <f>IF(Raw_Data!G803="","",Raw_Data!G803)</f>
        <v/>
      </c>
      <c r="D800" s="12" t="str">
        <f>IF(Raw_Data!H803="","",Raw_Data!H803)</f>
        <v/>
      </c>
      <c r="E800" s="12" t="str">
        <f>IF(Raw_Data!I803="","",Raw_Data!I803)</f>
        <v/>
      </c>
      <c r="F800" s="12" t="str">
        <f>IF(Raw_Data!J803="","",Raw_Data!J803)</f>
        <v/>
      </c>
      <c r="G800" s="12" t="str">
        <f>IF(Raw_Data!AH803&lt;&gt;"",Raw_Data!AH803,IF(Raw_Data!K803&lt;&gt;"",Raw_Data!K803,""))</f>
        <v/>
      </c>
      <c r="H800" s="12" t="str">
        <f>IF(Raw_Data!AI803&lt;&gt;"",Raw_Data!AI803,IF(Raw_Data!L803&lt;&gt;"",Raw_Data!L803,""))</f>
        <v/>
      </c>
      <c r="I800" s="12" t="str">
        <f t="shared" si="108"/>
        <v/>
      </c>
      <c r="J800" s="12" t="str">
        <f>IF(Raw_Data!M803="","",Raw_Data!M803)</f>
        <v/>
      </c>
      <c r="K800" s="12">
        <f>IF(Raw_Data!AJ803&lt;&gt;"",Raw_Data!AJ803,Raw_Data!N803)</f>
        <v>0</v>
      </c>
      <c r="L800" s="12">
        <f t="shared" si="109"/>
        <v>1</v>
      </c>
      <c r="M800" s="12" t="str">
        <f>IF(Raw_Data!AK803="","",Raw_Data!AK803)</f>
        <v/>
      </c>
      <c r="N800" s="12" t="str">
        <f>IF(Raw_Data!T803="","",Raw_Data!T803)</f>
        <v/>
      </c>
      <c r="O800" s="12" t="str">
        <f>IF(Raw_Data!AB803&lt;&gt;"",Raw_Data!AB803,IF(N800="tres_insatisfait",1,IF(N800="insatisfait",2,IF(N800="neutre",3,IF(N800="satisfait",4,IF(N800="tres_satisfait",5,""))))))</f>
        <v/>
      </c>
      <c r="P800" s="12">
        <f>IF(Raw_Data!AL803&lt;&gt;"",Raw_Data!AL803,Raw_Data!R803)</f>
        <v>0</v>
      </c>
      <c r="Q800" s="12">
        <f t="shared" si="110"/>
        <v>0</v>
      </c>
      <c r="R800" s="12" t="str">
        <f>IF(Raw_Data!AM803="","",Raw_Data!AM803)</f>
        <v/>
      </c>
      <c r="S800" s="12" t="str">
        <f t="shared" si="111"/>
        <v/>
      </c>
      <c r="T800" s="12" t="str">
        <f>IF(Raw_Data!AN803="","",Raw_Data!AN803)</f>
        <v/>
      </c>
      <c r="U800" s="12" t="str">
        <f t="shared" si="112"/>
        <v/>
      </c>
      <c r="V800" s="12" t="str">
        <f>IF(Raw_Data!AP803="","",IF(Raw_Data!AP803="oui",1,0))</f>
        <v/>
      </c>
      <c r="W800" s="12" t="str">
        <f>IF(Raw_Data!AQ803="","",IF(Raw_Data!AQ803="oui",1,0))</f>
        <v/>
      </c>
      <c r="X800" s="12" t="str">
        <f>IF(Raw_Data!AR803="","",IF(Raw_Data!AR803="oui",1,0))</f>
        <v/>
      </c>
      <c r="Y800" s="12" t="str">
        <f>IF(Raw_Data!AS803="","",IF(Raw_Data!AS803="oui",1,0))</f>
        <v/>
      </c>
      <c r="Z800" s="12" t="str">
        <f>IF(Raw_Data!V803="","",IF(Raw_Data!V803="oui",1,0))</f>
        <v/>
      </c>
      <c r="AA800" s="12" t="str">
        <f>IF(Raw_Data!W803="","",IF(Raw_Data!W803="oui",1,0))</f>
        <v/>
      </c>
      <c r="AB800" s="12" t="str">
        <f>IF(Raw_Data!Q803="","",IF(Raw_Data!Q803="oui",1,0))</f>
        <v/>
      </c>
      <c r="AC800" s="12">
        <f>Raw_Data!AF803</f>
        <v>0</v>
      </c>
      <c r="AD800" s="12" t="str">
        <f t="shared" si="113"/>
        <v/>
      </c>
      <c r="AE800" s="12" t="str">
        <f t="shared" si="114"/>
        <v/>
      </c>
      <c r="AF800" s="12" t="str">
        <f t="shared" si="115"/>
        <v/>
      </c>
      <c r="AG800" s="12">
        <f t="shared" si="116"/>
        <v>0</v>
      </c>
    </row>
    <row r="801" spans="1:33" ht="15" customHeight="1" x14ac:dyDescent="0.25">
      <c r="A801" s="12" t="str">
        <f>IF(Raw_Data!B804="","",Raw_Data!B804)</f>
        <v/>
      </c>
      <c r="B801" s="12">
        <f>IF(Raw_Data!X804&lt;&gt;"",Raw_Data!X804,Raw_Data!C804)</f>
        <v>0</v>
      </c>
      <c r="C801" s="12" t="str">
        <f>IF(Raw_Data!G804="","",Raw_Data!G804)</f>
        <v/>
      </c>
      <c r="D801" s="12" t="str">
        <f>IF(Raw_Data!H804="","",Raw_Data!H804)</f>
        <v/>
      </c>
      <c r="E801" s="12" t="str">
        <f>IF(Raw_Data!I804="","",Raw_Data!I804)</f>
        <v/>
      </c>
      <c r="F801" s="12" t="str">
        <f>IF(Raw_Data!J804="","",Raw_Data!J804)</f>
        <v/>
      </c>
      <c r="G801" s="12" t="str">
        <f>IF(Raw_Data!AH804&lt;&gt;"",Raw_Data!AH804,IF(Raw_Data!K804&lt;&gt;"",Raw_Data!K804,""))</f>
        <v/>
      </c>
      <c r="H801" s="12" t="str">
        <f>IF(Raw_Data!AI804&lt;&gt;"",Raw_Data!AI804,IF(Raw_Data!L804&lt;&gt;"",Raw_Data!L804,""))</f>
        <v/>
      </c>
      <c r="I801" s="12" t="str">
        <f t="shared" si="108"/>
        <v/>
      </c>
      <c r="J801" s="12" t="str">
        <f>IF(Raw_Data!M804="","",Raw_Data!M804)</f>
        <v/>
      </c>
      <c r="K801" s="12">
        <f>IF(Raw_Data!AJ804&lt;&gt;"",Raw_Data!AJ804,Raw_Data!N804)</f>
        <v>0</v>
      </c>
      <c r="L801" s="12">
        <f t="shared" si="109"/>
        <v>1</v>
      </c>
      <c r="M801" s="12" t="str">
        <f>IF(Raw_Data!AK804="","",Raw_Data!AK804)</f>
        <v/>
      </c>
      <c r="N801" s="12" t="str">
        <f>IF(Raw_Data!T804="","",Raw_Data!T804)</f>
        <v/>
      </c>
      <c r="O801" s="12" t="str">
        <f>IF(Raw_Data!AB804&lt;&gt;"",Raw_Data!AB804,IF(N801="tres_insatisfait",1,IF(N801="insatisfait",2,IF(N801="neutre",3,IF(N801="satisfait",4,IF(N801="tres_satisfait",5,""))))))</f>
        <v/>
      </c>
      <c r="P801" s="12">
        <f>IF(Raw_Data!AL804&lt;&gt;"",Raw_Data!AL804,Raw_Data!R804)</f>
        <v>0</v>
      </c>
      <c r="Q801" s="12">
        <f t="shared" si="110"/>
        <v>0</v>
      </c>
      <c r="R801" s="12" t="str">
        <f>IF(Raw_Data!AM804="","",Raw_Data!AM804)</f>
        <v/>
      </c>
      <c r="S801" s="12" t="str">
        <f t="shared" si="111"/>
        <v/>
      </c>
      <c r="T801" s="12" t="str">
        <f>IF(Raw_Data!AN804="","",Raw_Data!AN804)</f>
        <v/>
      </c>
      <c r="U801" s="12" t="str">
        <f t="shared" si="112"/>
        <v/>
      </c>
      <c r="V801" s="12" t="str">
        <f>IF(Raw_Data!AP804="","",IF(Raw_Data!AP804="oui",1,0))</f>
        <v/>
      </c>
      <c r="W801" s="12" t="str">
        <f>IF(Raw_Data!AQ804="","",IF(Raw_Data!AQ804="oui",1,0))</f>
        <v/>
      </c>
      <c r="X801" s="12" t="str">
        <f>IF(Raw_Data!AR804="","",IF(Raw_Data!AR804="oui",1,0))</f>
        <v/>
      </c>
      <c r="Y801" s="12" t="str">
        <f>IF(Raw_Data!AS804="","",IF(Raw_Data!AS804="oui",1,0))</f>
        <v/>
      </c>
      <c r="Z801" s="12" t="str">
        <f>IF(Raw_Data!V804="","",IF(Raw_Data!V804="oui",1,0))</f>
        <v/>
      </c>
      <c r="AA801" s="12" t="str">
        <f>IF(Raw_Data!W804="","",IF(Raw_Data!W804="oui",1,0))</f>
        <v/>
      </c>
      <c r="AB801" s="12" t="str">
        <f>IF(Raw_Data!Q804="","",IF(Raw_Data!Q804="oui",1,0))</f>
        <v/>
      </c>
      <c r="AC801" s="12">
        <f>Raw_Data!AF804</f>
        <v>0</v>
      </c>
      <c r="AD801" s="12" t="str">
        <f t="shared" si="113"/>
        <v/>
      </c>
      <c r="AE801" s="12" t="str">
        <f t="shared" si="114"/>
        <v/>
      </c>
      <c r="AF801" s="12" t="str">
        <f t="shared" si="115"/>
        <v/>
      </c>
      <c r="AG801" s="12">
        <f t="shared" si="116"/>
        <v>0</v>
      </c>
    </row>
    <row r="802" spans="1:33" ht="15" customHeight="1" x14ac:dyDescent="0.25">
      <c r="A802" s="12" t="str">
        <f>IF(Raw_Data!B805="","",Raw_Data!B805)</f>
        <v/>
      </c>
      <c r="B802" s="12">
        <f>IF(Raw_Data!X805&lt;&gt;"",Raw_Data!X805,Raw_Data!C805)</f>
        <v>0</v>
      </c>
      <c r="C802" s="12" t="str">
        <f>IF(Raw_Data!G805="","",Raw_Data!G805)</f>
        <v/>
      </c>
      <c r="D802" s="12" t="str">
        <f>IF(Raw_Data!H805="","",Raw_Data!H805)</f>
        <v/>
      </c>
      <c r="E802" s="12" t="str">
        <f>IF(Raw_Data!I805="","",Raw_Data!I805)</f>
        <v/>
      </c>
      <c r="F802" s="12" t="str">
        <f>IF(Raw_Data!J805="","",Raw_Data!J805)</f>
        <v/>
      </c>
      <c r="G802" s="12" t="str">
        <f>IF(Raw_Data!AH805&lt;&gt;"",Raw_Data!AH805,IF(Raw_Data!K805&lt;&gt;"",Raw_Data!K805,""))</f>
        <v/>
      </c>
      <c r="H802" s="12" t="str">
        <f>IF(Raw_Data!AI805&lt;&gt;"",Raw_Data!AI805,IF(Raw_Data!L805&lt;&gt;"",Raw_Data!L805,""))</f>
        <v/>
      </c>
      <c r="I802" s="12" t="str">
        <f t="shared" si="108"/>
        <v/>
      </c>
      <c r="J802" s="12" t="str">
        <f>IF(Raw_Data!M805="","",Raw_Data!M805)</f>
        <v/>
      </c>
      <c r="K802" s="12">
        <f>IF(Raw_Data!AJ805&lt;&gt;"",Raw_Data!AJ805,Raw_Data!N805)</f>
        <v>0</v>
      </c>
      <c r="L802" s="12">
        <f t="shared" si="109"/>
        <v>1</v>
      </c>
      <c r="M802" s="12" t="str">
        <f>IF(Raw_Data!AK805="","",Raw_Data!AK805)</f>
        <v/>
      </c>
      <c r="N802" s="12" t="str">
        <f>IF(Raw_Data!T805="","",Raw_Data!T805)</f>
        <v/>
      </c>
      <c r="O802" s="12" t="str">
        <f>IF(Raw_Data!AB805&lt;&gt;"",Raw_Data!AB805,IF(N802="tres_insatisfait",1,IF(N802="insatisfait",2,IF(N802="neutre",3,IF(N802="satisfait",4,IF(N802="tres_satisfait",5,""))))))</f>
        <v/>
      </c>
      <c r="P802" s="12">
        <f>IF(Raw_Data!AL805&lt;&gt;"",Raw_Data!AL805,Raw_Data!R805)</f>
        <v>0</v>
      </c>
      <c r="Q802" s="12">
        <f t="shared" si="110"/>
        <v>0</v>
      </c>
      <c r="R802" s="12" t="str">
        <f>IF(Raw_Data!AM805="","",Raw_Data!AM805)</f>
        <v/>
      </c>
      <c r="S802" s="12" t="str">
        <f t="shared" si="111"/>
        <v/>
      </c>
      <c r="T802" s="12" t="str">
        <f>IF(Raw_Data!AN805="","",Raw_Data!AN805)</f>
        <v/>
      </c>
      <c r="U802" s="12" t="str">
        <f t="shared" si="112"/>
        <v/>
      </c>
      <c r="V802" s="12" t="str">
        <f>IF(Raw_Data!AP805="","",IF(Raw_Data!AP805="oui",1,0))</f>
        <v/>
      </c>
      <c r="W802" s="12" t="str">
        <f>IF(Raw_Data!AQ805="","",IF(Raw_Data!AQ805="oui",1,0))</f>
        <v/>
      </c>
      <c r="X802" s="12" t="str">
        <f>IF(Raw_Data!AR805="","",IF(Raw_Data!AR805="oui",1,0))</f>
        <v/>
      </c>
      <c r="Y802" s="12" t="str">
        <f>IF(Raw_Data!AS805="","",IF(Raw_Data!AS805="oui",1,0))</f>
        <v/>
      </c>
      <c r="Z802" s="12" t="str">
        <f>IF(Raw_Data!V805="","",IF(Raw_Data!V805="oui",1,0))</f>
        <v/>
      </c>
      <c r="AA802" s="12" t="str">
        <f>IF(Raw_Data!W805="","",IF(Raw_Data!W805="oui",1,0))</f>
        <v/>
      </c>
      <c r="AB802" s="12" t="str">
        <f>IF(Raw_Data!Q805="","",IF(Raw_Data!Q805="oui",1,0))</f>
        <v/>
      </c>
      <c r="AC802" s="12">
        <f>Raw_Data!AF805</f>
        <v>0</v>
      </c>
      <c r="AD802" s="12" t="str">
        <f t="shared" si="113"/>
        <v/>
      </c>
      <c r="AE802" s="12" t="str">
        <f t="shared" si="114"/>
        <v/>
      </c>
      <c r="AF802" s="12" t="str">
        <f t="shared" si="115"/>
        <v/>
      </c>
      <c r="AG802" s="12">
        <f t="shared" si="116"/>
        <v>0</v>
      </c>
    </row>
    <row r="803" spans="1:33" ht="15" customHeight="1" x14ac:dyDescent="0.25">
      <c r="A803" s="12" t="str">
        <f>IF(Raw_Data!B806="","",Raw_Data!B806)</f>
        <v/>
      </c>
      <c r="B803" s="12">
        <f>IF(Raw_Data!X806&lt;&gt;"",Raw_Data!X806,Raw_Data!C806)</f>
        <v>0</v>
      </c>
      <c r="C803" s="12" t="str">
        <f>IF(Raw_Data!G806="","",Raw_Data!G806)</f>
        <v/>
      </c>
      <c r="D803" s="12" t="str">
        <f>IF(Raw_Data!H806="","",Raw_Data!H806)</f>
        <v/>
      </c>
      <c r="E803" s="12" t="str">
        <f>IF(Raw_Data!I806="","",Raw_Data!I806)</f>
        <v/>
      </c>
      <c r="F803" s="12" t="str">
        <f>IF(Raw_Data!J806="","",Raw_Data!J806)</f>
        <v/>
      </c>
      <c r="G803" s="12" t="str">
        <f>IF(Raw_Data!AH806&lt;&gt;"",Raw_Data!AH806,IF(Raw_Data!K806&lt;&gt;"",Raw_Data!K806,""))</f>
        <v/>
      </c>
      <c r="H803" s="12" t="str">
        <f>IF(Raw_Data!AI806&lt;&gt;"",Raw_Data!AI806,IF(Raw_Data!L806&lt;&gt;"",Raw_Data!L806,""))</f>
        <v/>
      </c>
      <c r="I803" s="12" t="str">
        <f t="shared" si="108"/>
        <v/>
      </c>
      <c r="J803" s="12" t="str">
        <f>IF(Raw_Data!M806="","",Raw_Data!M806)</f>
        <v/>
      </c>
      <c r="K803" s="12">
        <f>IF(Raw_Data!AJ806&lt;&gt;"",Raw_Data!AJ806,Raw_Data!N806)</f>
        <v>0</v>
      </c>
      <c r="L803" s="12">
        <f t="shared" si="109"/>
        <v>1</v>
      </c>
      <c r="M803" s="12" t="str">
        <f>IF(Raw_Data!AK806="","",Raw_Data!AK806)</f>
        <v/>
      </c>
      <c r="N803" s="12" t="str">
        <f>IF(Raw_Data!T806="","",Raw_Data!T806)</f>
        <v/>
      </c>
      <c r="O803" s="12" t="str">
        <f>IF(Raw_Data!AB806&lt;&gt;"",Raw_Data!AB806,IF(N803="tres_insatisfait",1,IF(N803="insatisfait",2,IF(N803="neutre",3,IF(N803="satisfait",4,IF(N803="tres_satisfait",5,""))))))</f>
        <v/>
      </c>
      <c r="P803" s="12">
        <f>IF(Raw_Data!AL806&lt;&gt;"",Raw_Data!AL806,Raw_Data!R806)</f>
        <v>0</v>
      </c>
      <c r="Q803" s="12">
        <f t="shared" si="110"/>
        <v>0</v>
      </c>
      <c r="R803" s="12" t="str">
        <f>IF(Raw_Data!AM806="","",Raw_Data!AM806)</f>
        <v/>
      </c>
      <c r="S803" s="12" t="str">
        <f t="shared" si="111"/>
        <v/>
      </c>
      <c r="T803" s="12" t="str">
        <f>IF(Raw_Data!AN806="","",Raw_Data!AN806)</f>
        <v/>
      </c>
      <c r="U803" s="12" t="str">
        <f t="shared" si="112"/>
        <v/>
      </c>
      <c r="V803" s="12" t="str">
        <f>IF(Raw_Data!AP806="","",IF(Raw_Data!AP806="oui",1,0))</f>
        <v/>
      </c>
      <c r="W803" s="12" t="str">
        <f>IF(Raw_Data!AQ806="","",IF(Raw_Data!AQ806="oui",1,0))</f>
        <v/>
      </c>
      <c r="X803" s="12" t="str">
        <f>IF(Raw_Data!AR806="","",IF(Raw_Data!AR806="oui",1,0))</f>
        <v/>
      </c>
      <c r="Y803" s="12" t="str">
        <f>IF(Raw_Data!AS806="","",IF(Raw_Data!AS806="oui",1,0))</f>
        <v/>
      </c>
      <c r="Z803" s="12" t="str">
        <f>IF(Raw_Data!V806="","",IF(Raw_Data!V806="oui",1,0))</f>
        <v/>
      </c>
      <c r="AA803" s="12" t="str">
        <f>IF(Raw_Data!W806="","",IF(Raw_Data!W806="oui",1,0))</f>
        <v/>
      </c>
      <c r="AB803" s="12" t="str">
        <f>IF(Raw_Data!Q806="","",IF(Raw_Data!Q806="oui",1,0))</f>
        <v/>
      </c>
      <c r="AC803" s="12">
        <f>Raw_Data!AF806</f>
        <v>0</v>
      </c>
      <c r="AD803" s="12" t="str">
        <f t="shared" si="113"/>
        <v/>
      </c>
      <c r="AE803" s="12" t="str">
        <f t="shared" si="114"/>
        <v/>
      </c>
      <c r="AF803" s="12" t="str">
        <f t="shared" si="115"/>
        <v/>
      </c>
      <c r="AG803" s="12">
        <f t="shared" si="116"/>
        <v>0</v>
      </c>
    </row>
    <row r="804" spans="1:33" ht="15" customHeight="1" x14ac:dyDescent="0.25">
      <c r="A804" s="12" t="str">
        <f>IF(Raw_Data!B807="","",Raw_Data!B807)</f>
        <v/>
      </c>
      <c r="B804" s="12">
        <f>IF(Raw_Data!X807&lt;&gt;"",Raw_Data!X807,Raw_Data!C807)</f>
        <v>0</v>
      </c>
      <c r="C804" s="12" t="str">
        <f>IF(Raw_Data!G807="","",Raw_Data!G807)</f>
        <v/>
      </c>
      <c r="D804" s="12" t="str">
        <f>IF(Raw_Data!H807="","",Raw_Data!H807)</f>
        <v/>
      </c>
      <c r="E804" s="12" t="str">
        <f>IF(Raw_Data!I807="","",Raw_Data!I807)</f>
        <v/>
      </c>
      <c r="F804" s="12" t="str">
        <f>IF(Raw_Data!J807="","",Raw_Data!J807)</f>
        <v/>
      </c>
      <c r="G804" s="12" t="str">
        <f>IF(Raw_Data!AH807&lt;&gt;"",Raw_Data!AH807,IF(Raw_Data!K807&lt;&gt;"",Raw_Data!K807,""))</f>
        <v/>
      </c>
      <c r="H804" s="12" t="str">
        <f>IF(Raw_Data!AI807&lt;&gt;"",Raw_Data!AI807,IF(Raw_Data!L807&lt;&gt;"",Raw_Data!L807,""))</f>
        <v/>
      </c>
      <c r="I804" s="12" t="str">
        <f t="shared" si="108"/>
        <v/>
      </c>
      <c r="J804" s="12" t="str">
        <f>IF(Raw_Data!M807="","",Raw_Data!M807)</f>
        <v/>
      </c>
      <c r="K804" s="12">
        <f>IF(Raw_Data!AJ807&lt;&gt;"",Raw_Data!AJ807,Raw_Data!N807)</f>
        <v>0</v>
      </c>
      <c r="L804" s="12">
        <f t="shared" si="109"/>
        <v>1</v>
      </c>
      <c r="M804" s="12" t="str">
        <f>IF(Raw_Data!AK807="","",Raw_Data!AK807)</f>
        <v/>
      </c>
      <c r="N804" s="12" t="str">
        <f>IF(Raw_Data!T807="","",Raw_Data!T807)</f>
        <v/>
      </c>
      <c r="O804" s="12" t="str">
        <f>IF(Raw_Data!AB807&lt;&gt;"",Raw_Data!AB807,IF(N804="tres_insatisfait",1,IF(N804="insatisfait",2,IF(N804="neutre",3,IF(N804="satisfait",4,IF(N804="tres_satisfait",5,""))))))</f>
        <v/>
      </c>
      <c r="P804" s="12">
        <f>IF(Raw_Data!AL807&lt;&gt;"",Raw_Data!AL807,Raw_Data!R807)</f>
        <v>0</v>
      </c>
      <c r="Q804" s="12">
        <f t="shared" si="110"/>
        <v>0</v>
      </c>
      <c r="R804" s="12" t="str">
        <f>IF(Raw_Data!AM807="","",Raw_Data!AM807)</f>
        <v/>
      </c>
      <c r="S804" s="12" t="str">
        <f t="shared" si="111"/>
        <v/>
      </c>
      <c r="T804" s="12" t="str">
        <f>IF(Raw_Data!AN807="","",Raw_Data!AN807)</f>
        <v/>
      </c>
      <c r="U804" s="12" t="str">
        <f t="shared" si="112"/>
        <v/>
      </c>
      <c r="V804" s="12" t="str">
        <f>IF(Raw_Data!AP807="","",IF(Raw_Data!AP807="oui",1,0))</f>
        <v/>
      </c>
      <c r="W804" s="12" t="str">
        <f>IF(Raw_Data!AQ807="","",IF(Raw_Data!AQ807="oui",1,0))</f>
        <v/>
      </c>
      <c r="X804" s="12" t="str">
        <f>IF(Raw_Data!AR807="","",IF(Raw_Data!AR807="oui",1,0))</f>
        <v/>
      </c>
      <c r="Y804" s="12" t="str">
        <f>IF(Raw_Data!AS807="","",IF(Raw_Data!AS807="oui",1,0))</f>
        <v/>
      </c>
      <c r="Z804" s="12" t="str">
        <f>IF(Raw_Data!V807="","",IF(Raw_Data!V807="oui",1,0))</f>
        <v/>
      </c>
      <c r="AA804" s="12" t="str">
        <f>IF(Raw_Data!W807="","",IF(Raw_Data!W807="oui",1,0))</f>
        <v/>
      </c>
      <c r="AB804" s="12" t="str">
        <f>IF(Raw_Data!Q807="","",IF(Raw_Data!Q807="oui",1,0))</f>
        <v/>
      </c>
      <c r="AC804" s="12">
        <f>Raw_Data!AF807</f>
        <v>0</v>
      </c>
      <c r="AD804" s="12" t="str">
        <f t="shared" si="113"/>
        <v/>
      </c>
      <c r="AE804" s="12" t="str">
        <f t="shared" si="114"/>
        <v/>
      </c>
      <c r="AF804" s="12" t="str">
        <f t="shared" si="115"/>
        <v/>
      </c>
      <c r="AG804" s="12">
        <f t="shared" si="116"/>
        <v>0</v>
      </c>
    </row>
    <row r="805" spans="1:33" ht="15" customHeight="1" x14ac:dyDescent="0.25">
      <c r="A805" s="12" t="str">
        <f>IF(Raw_Data!B808="","",Raw_Data!B808)</f>
        <v/>
      </c>
      <c r="B805" s="12">
        <f>IF(Raw_Data!X808&lt;&gt;"",Raw_Data!X808,Raw_Data!C808)</f>
        <v>0</v>
      </c>
      <c r="C805" s="12" t="str">
        <f>IF(Raw_Data!G808="","",Raw_Data!G808)</f>
        <v/>
      </c>
      <c r="D805" s="12" t="str">
        <f>IF(Raw_Data!H808="","",Raw_Data!H808)</f>
        <v/>
      </c>
      <c r="E805" s="12" t="str">
        <f>IF(Raw_Data!I808="","",Raw_Data!I808)</f>
        <v/>
      </c>
      <c r="F805" s="12" t="str">
        <f>IF(Raw_Data!J808="","",Raw_Data!J808)</f>
        <v/>
      </c>
      <c r="G805" s="12" t="str">
        <f>IF(Raw_Data!AH808&lt;&gt;"",Raw_Data!AH808,IF(Raw_Data!K808&lt;&gt;"",Raw_Data!K808,""))</f>
        <v/>
      </c>
      <c r="H805" s="12" t="str">
        <f>IF(Raw_Data!AI808&lt;&gt;"",Raw_Data!AI808,IF(Raw_Data!L808&lt;&gt;"",Raw_Data!L808,""))</f>
        <v/>
      </c>
      <c r="I805" s="12" t="str">
        <f t="shared" si="108"/>
        <v/>
      </c>
      <c r="J805" s="12" t="str">
        <f>IF(Raw_Data!M808="","",Raw_Data!M808)</f>
        <v/>
      </c>
      <c r="K805" s="12">
        <f>IF(Raw_Data!AJ808&lt;&gt;"",Raw_Data!AJ808,Raw_Data!N808)</f>
        <v>0</v>
      </c>
      <c r="L805" s="12">
        <f t="shared" si="109"/>
        <v>1</v>
      </c>
      <c r="M805" s="12" t="str">
        <f>IF(Raw_Data!AK808="","",Raw_Data!AK808)</f>
        <v/>
      </c>
      <c r="N805" s="12" t="str">
        <f>IF(Raw_Data!T808="","",Raw_Data!T808)</f>
        <v/>
      </c>
      <c r="O805" s="12" t="str">
        <f>IF(Raw_Data!AB808&lt;&gt;"",Raw_Data!AB808,IF(N805="tres_insatisfait",1,IF(N805="insatisfait",2,IF(N805="neutre",3,IF(N805="satisfait",4,IF(N805="tres_satisfait",5,""))))))</f>
        <v/>
      </c>
      <c r="P805" s="12">
        <f>IF(Raw_Data!AL808&lt;&gt;"",Raw_Data!AL808,Raw_Data!R808)</f>
        <v>0</v>
      </c>
      <c r="Q805" s="12">
        <f t="shared" si="110"/>
        <v>0</v>
      </c>
      <c r="R805" s="12" t="str">
        <f>IF(Raw_Data!AM808="","",Raw_Data!AM808)</f>
        <v/>
      </c>
      <c r="S805" s="12" t="str">
        <f t="shared" si="111"/>
        <v/>
      </c>
      <c r="T805" s="12" t="str">
        <f>IF(Raw_Data!AN808="","",Raw_Data!AN808)</f>
        <v/>
      </c>
      <c r="U805" s="12" t="str">
        <f t="shared" si="112"/>
        <v/>
      </c>
      <c r="V805" s="12" t="str">
        <f>IF(Raw_Data!AP808="","",IF(Raw_Data!AP808="oui",1,0))</f>
        <v/>
      </c>
      <c r="W805" s="12" t="str">
        <f>IF(Raw_Data!AQ808="","",IF(Raw_Data!AQ808="oui",1,0))</f>
        <v/>
      </c>
      <c r="X805" s="12" t="str">
        <f>IF(Raw_Data!AR808="","",IF(Raw_Data!AR808="oui",1,0))</f>
        <v/>
      </c>
      <c r="Y805" s="12" t="str">
        <f>IF(Raw_Data!AS808="","",IF(Raw_Data!AS808="oui",1,0))</f>
        <v/>
      </c>
      <c r="Z805" s="12" t="str">
        <f>IF(Raw_Data!V808="","",IF(Raw_Data!V808="oui",1,0))</f>
        <v/>
      </c>
      <c r="AA805" s="12" t="str">
        <f>IF(Raw_Data!W808="","",IF(Raw_Data!W808="oui",1,0))</f>
        <v/>
      </c>
      <c r="AB805" s="12" t="str">
        <f>IF(Raw_Data!Q808="","",IF(Raw_Data!Q808="oui",1,0))</f>
        <v/>
      </c>
      <c r="AC805" s="12">
        <f>Raw_Data!AF808</f>
        <v>0</v>
      </c>
      <c r="AD805" s="12" t="str">
        <f t="shared" si="113"/>
        <v/>
      </c>
      <c r="AE805" s="12" t="str">
        <f t="shared" si="114"/>
        <v/>
      </c>
      <c r="AF805" s="12" t="str">
        <f t="shared" si="115"/>
        <v/>
      </c>
      <c r="AG805" s="12">
        <f t="shared" si="116"/>
        <v>0</v>
      </c>
    </row>
    <row r="806" spans="1:33" ht="15" customHeight="1" x14ac:dyDescent="0.25">
      <c r="A806" s="12" t="str">
        <f>IF(Raw_Data!B809="","",Raw_Data!B809)</f>
        <v/>
      </c>
      <c r="B806" s="12">
        <f>IF(Raw_Data!X809&lt;&gt;"",Raw_Data!X809,Raw_Data!C809)</f>
        <v>0</v>
      </c>
      <c r="C806" s="12" t="str">
        <f>IF(Raw_Data!G809="","",Raw_Data!G809)</f>
        <v/>
      </c>
      <c r="D806" s="12" t="str">
        <f>IF(Raw_Data!H809="","",Raw_Data!H809)</f>
        <v/>
      </c>
      <c r="E806" s="12" t="str">
        <f>IF(Raw_Data!I809="","",Raw_Data!I809)</f>
        <v/>
      </c>
      <c r="F806" s="12" t="str">
        <f>IF(Raw_Data!J809="","",Raw_Data!J809)</f>
        <v/>
      </c>
      <c r="G806" s="12" t="str">
        <f>IF(Raw_Data!AH809&lt;&gt;"",Raw_Data!AH809,IF(Raw_Data!K809&lt;&gt;"",Raw_Data!K809,""))</f>
        <v/>
      </c>
      <c r="H806" s="12" t="str">
        <f>IF(Raw_Data!AI809&lt;&gt;"",Raw_Data!AI809,IF(Raw_Data!L809&lt;&gt;"",Raw_Data!L809,""))</f>
        <v/>
      </c>
      <c r="I806" s="12" t="str">
        <f t="shared" si="108"/>
        <v/>
      </c>
      <c r="J806" s="12" t="str">
        <f>IF(Raw_Data!M809="","",Raw_Data!M809)</f>
        <v/>
      </c>
      <c r="K806" s="12">
        <f>IF(Raw_Data!AJ809&lt;&gt;"",Raw_Data!AJ809,Raw_Data!N809)</f>
        <v>0</v>
      </c>
      <c r="L806" s="12">
        <f t="shared" si="109"/>
        <v>1</v>
      </c>
      <c r="M806" s="12" t="str">
        <f>IF(Raw_Data!AK809="","",Raw_Data!AK809)</f>
        <v/>
      </c>
      <c r="N806" s="12" t="str">
        <f>IF(Raw_Data!T809="","",Raw_Data!T809)</f>
        <v/>
      </c>
      <c r="O806" s="12" t="str">
        <f>IF(Raw_Data!AB809&lt;&gt;"",Raw_Data!AB809,IF(N806="tres_insatisfait",1,IF(N806="insatisfait",2,IF(N806="neutre",3,IF(N806="satisfait",4,IF(N806="tres_satisfait",5,""))))))</f>
        <v/>
      </c>
      <c r="P806" s="12">
        <f>IF(Raw_Data!AL809&lt;&gt;"",Raw_Data!AL809,Raw_Data!R809)</f>
        <v>0</v>
      </c>
      <c r="Q806" s="12">
        <f t="shared" si="110"/>
        <v>0</v>
      </c>
      <c r="R806" s="12" t="str">
        <f>IF(Raw_Data!AM809="","",Raw_Data!AM809)</f>
        <v/>
      </c>
      <c r="S806" s="12" t="str">
        <f t="shared" si="111"/>
        <v/>
      </c>
      <c r="T806" s="12" t="str">
        <f>IF(Raw_Data!AN809="","",Raw_Data!AN809)</f>
        <v/>
      </c>
      <c r="U806" s="12" t="str">
        <f t="shared" si="112"/>
        <v/>
      </c>
      <c r="V806" s="12" t="str">
        <f>IF(Raw_Data!AP809="","",IF(Raw_Data!AP809="oui",1,0))</f>
        <v/>
      </c>
      <c r="W806" s="12" t="str">
        <f>IF(Raw_Data!AQ809="","",IF(Raw_Data!AQ809="oui",1,0))</f>
        <v/>
      </c>
      <c r="X806" s="12" t="str">
        <f>IF(Raw_Data!AR809="","",IF(Raw_Data!AR809="oui",1,0))</f>
        <v/>
      </c>
      <c r="Y806" s="12" t="str">
        <f>IF(Raw_Data!AS809="","",IF(Raw_Data!AS809="oui",1,0))</f>
        <v/>
      </c>
      <c r="Z806" s="12" t="str">
        <f>IF(Raw_Data!V809="","",IF(Raw_Data!V809="oui",1,0))</f>
        <v/>
      </c>
      <c r="AA806" s="12" t="str">
        <f>IF(Raw_Data!W809="","",IF(Raw_Data!W809="oui",1,0))</f>
        <v/>
      </c>
      <c r="AB806" s="12" t="str">
        <f>IF(Raw_Data!Q809="","",IF(Raw_Data!Q809="oui",1,0))</f>
        <v/>
      </c>
      <c r="AC806" s="12">
        <f>Raw_Data!AF809</f>
        <v>0</v>
      </c>
      <c r="AD806" s="12" t="str">
        <f t="shared" si="113"/>
        <v/>
      </c>
      <c r="AE806" s="12" t="str">
        <f t="shared" si="114"/>
        <v/>
      </c>
      <c r="AF806" s="12" t="str">
        <f t="shared" si="115"/>
        <v/>
      </c>
      <c r="AG806" s="12">
        <f t="shared" si="116"/>
        <v>0</v>
      </c>
    </row>
    <row r="807" spans="1:33" ht="15" customHeight="1" x14ac:dyDescent="0.25">
      <c r="A807" s="12" t="str">
        <f>IF(Raw_Data!B810="","",Raw_Data!B810)</f>
        <v/>
      </c>
      <c r="B807" s="12">
        <f>IF(Raw_Data!X810&lt;&gt;"",Raw_Data!X810,Raw_Data!C810)</f>
        <v>0</v>
      </c>
      <c r="C807" s="12" t="str">
        <f>IF(Raw_Data!G810="","",Raw_Data!G810)</f>
        <v/>
      </c>
      <c r="D807" s="12" t="str">
        <f>IF(Raw_Data!H810="","",Raw_Data!H810)</f>
        <v/>
      </c>
      <c r="E807" s="12" t="str">
        <f>IF(Raw_Data!I810="","",Raw_Data!I810)</f>
        <v/>
      </c>
      <c r="F807" s="12" t="str">
        <f>IF(Raw_Data!J810="","",Raw_Data!J810)</f>
        <v/>
      </c>
      <c r="G807" s="12" t="str">
        <f>IF(Raw_Data!AH810&lt;&gt;"",Raw_Data!AH810,IF(Raw_Data!K810&lt;&gt;"",Raw_Data!K810,""))</f>
        <v/>
      </c>
      <c r="H807" s="12" t="str">
        <f>IF(Raw_Data!AI810&lt;&gt;"",Raw_Data!AI810,IF(Raw_Data!L810&lt;&gt;"",Raw_Data!L810,""))</f>
        <v/>
      </c>
      <c r="I807" s="12" t="str">
        <f t="shared" si="108"/>
        <v/>
      </c>
      <c r="J807" s="12" t="str">
        <f>IF(Raw_Data!M810="","",Raw_Data!M810)</f>
        <v/>
      </c>
      <c r="K807" s="12">
        <f>IF(Raw_Data!AJ810&lt;&gt;"",Raw_Data!AJ810,Raw_Data!N810)</f>
        <v>0</v>
      </c>
      <c r="L807" s="12">
        <f t="shared" si="109"/>
        <v>1</v>
      </c>
      <c r="M807" s="12" t="str">
        <f>IF(Raw_Data!AK810="","",Raw_Data!AK810)</f>
        <v/>
      </c>
      <c r="N807" s="12" t="str">
        <f>IF(Raw_Data!T810="","",Raw_Data!T810)</f>
        <v/>
      </c>
      <c r="O807" s="12" t="str">
        <f>IF(Raw_Data!AB810&lt;&gt;"",Raw_Data!AB810,IF(N807="tres_insatisfait",1,IF(N807="insatisfait",2,IF(N807="neutre",3,IF(N807="satisfait",4,IF(N807="tres_satisfait",5,""))))))</f>
        <v/>
      </c>
      <c r="P807" s="12">
        <f>IF(Raw_Data!AL810&lt;&gt;"",Raw_Data!AL810,Raw_Data!R810)</f>
        <v>0</v>
      </c>
      <c r="Q807" s="12">
        <f t="shared" si="110"/>
        <v>0</v>
      </c>
      <c r="R807" s="12" t="str">
        <f>IF(Raw_Data!AM810="","",Raw_Data!AM810)</f>
        <v/>
      </c>
      <c r="S807" s="12" t="str">
        <f t="shared" si="111"/>
        <v/>
      </c>
      <c r="T807" s="12" t="str">
        <f>IF(Raw_Data!AN810="","",Raw_Data!AN810)</f>
        <v/>
      </c>
      <c r="U807" s="12" t="str">
        <f t="shared" si="112"/>
        <v/>
      </c>
      <c r="V807" s="12" t="str">
        <f>IF(Raw_Data!AP810="","",IF(Raw_Data!AP810="oui",1,0))</f>
        <v/>
      </c>
      <c r="W807" s="12" t="str">
        <f>IF(Raw_Data!AQ810="","",IF(Raw_Data!AQ810="oui",1,0))</f>
        <v/>
      </c>
      <c r="X807" s="12" t="str">
        <f>IF(Raw_Data!AR810="","",IF(Raw_Data!AR810="oui",1,0))</f>
        <v/>
      </c>
      <c r="Y807" s="12" t="str">
        <f>IF(Raw_Data!AS810="","",IF(Raw_Data!AS810="oui",1,0))</f>
        <v/>
      </c>
      <c r="Z807" s="12" t="str">
        <f>IF(Raw_Data!V810="","",IF(Raw_Data!V810="oui",1,0))</f>
        <v/>
      </c>
      <c r="AA807" s="12" t="str">
        <f>IF(Raw_Data!W810="","",IF(Raw_Data!W810="oui",1,0))</f>
        <v/>
      </c>
      <c r="AB807" s="12" t="str">
        <f>IF(Raw_Data!Q810="","",IF(Raw_Data!Q810="oui",1,0))</f>
        <v/>
      </c>
      <c r="AC807" s="12">
        <f>Raw_Data!AF810</f>
        <v>0</v>
      </c>
      <c r="AD807" s="12" t="str">
        <f t="shared" si="113"/>
        <v/>
      </c>
      <c r="AE807" s="12" t="str">
        <f t="shared" si="114"/>
        <v/>
      </c>
      <c r="AF807" s="12" t="str">
        <f t="shared" si="115"/>
        <v/>
      </c>
      <c r="AG807" s="12">
        <f t="shared" si="116"/>
        <v>0</v>
      </c>
    </row>
    <row r="808" spans="1:33" ht="15" customHeight="1" x14ac:dyDescent="0.25">
      <c r="A808" s="12" t="str">
        <f>IF(Raw_Data!B811="","",Raw_Data!B811)</f>
        <v/>
      </c>
      <c r="B808" s="12">
        <f>IF(Raw_Data!X811&lt;&gt;"",Raw_Data!X811,Raw_Data!C811)</f>
        <v>0</v>
      </c>
      <c r="C808" s="12" t="str">
        <f>IF(Raw_Data!G811="","",Raw_Data!G811)</f>
        <v/>
      </c>
      <c r="D808" s="12" t="str">
        <f>IF(Raw_Data!H811="","",Raw_Data!H811)</f>
        <v/>
      </c>
      <c r="E808" s="12" t="str">
        <f>IF(Raw_Data!I811="","",Raw_Data!I811)</f>
        <v/>
      </c>
      <c r="F808" s="12" t="str">
        <f>IF(Raw_Data!J811="","",Raw_Data!J811)</f>
        <v/>
      </c>
      <c r="G808" s="12" t="str">
        <f>IF(Raw_Data!AH811&lt;&gt;"",Raw_Data!AH811,IF(Raw_Data!K811&lt;&gt;"",Raw_Data!K811,""))</f>
        <v/>
      </c>
      <c r="H808" s="12" t="str">
        <f>IF(Raw_Data!AI811&lt;&gt;"",Raw_Data!AI811,IF(Raw_Data!L811&lt;&gt;"",Raw_Data!L811,""))</f>
        <v/>
      </c>
      <c r="I808" s="12" t="str">
        <f t="shared" si="108"/>
        <v/>
      </c>
      <c r="J808" s="12" t="str">
        <f>IF(Raw_Data!M811="","",Raw_Data!M811)</f>
        <v/>
      </c>
      <c r="K808" s="12">
        <f>IF(Raw_Data!AJ811&lt;&gt;"",Raw_Data!AJ811,Raw_Data!N811)</f>
        <v>0</v>
      </c>
      <c r="L808" s="12">
        <f t="shared" si="109"/>
        <v>1</v>
      </c>
      <c r="M808" s="12" t="str">
        <f>IF(Raw_Data!AK811="","",Raw_Data!AK811)</f>
        <v/>
      </c>
      <c r="N808" s="12" t="str">
        <f>IF(Raw_Data!T811="","",Raw_Data!T811)</f>
        <v/>
      </c>
      <c r="O808" s="12" t="str">
        <f>IF(Raw_Data!AB811&lt;&gt;"",Raw_Data!AB811,IF(N808="tres_insatisfait",1,IF(N808="insatisfait",2,IF(N808="neutre",3,IF(N808="satisfait",4,IF(N808="tres_satisfait",5,""))))))</f>
        <v/>
      </c>
      <c r="P808" s="12">
        <f>IF(Raw_Data!AL811&lt;&gt;"",Raw_Data!AL811,Raw_Data!R811)</f>
        <v>0</v>
      </c>
      <c r="Q808" s="12">
        <f t="shared" si="110"/>
        <v>0</v>
      </c>
      <c r="R808" s="12" t="str">
        <f>IF(Raw_Data!AM811="","",Raw_Data!AM811)</f>
        <v/>
      </c>
      <c r="S808" s="12" t="str">
        <f t="shared" si="111"/>
        <v/>
      </c>
      <c r="T808" s="12" t="str">
        <f>IF(Raw_Data!AN811="","",Raw_Data!AN811)</f>
        <v/>
      </c>
      <c r="U808" s="12" t="str">
        <f t="shared" si="112"/>
        <v/>
      </c>
      <c r="V808" s="12" t="str">
        <f>IF(Raw_Data!AP811="","",IF(Raw_Data!AP811="oui",1,0))</f>
        <v/>
      </c>
      <c r="W808" s="12" t="str">
        <f>IF(Raw_Data!AQ811="","",IF(Raw_Data!AQ811="oui",1,0))</f>
        <v/>
      </c>
      <c r="X808" s="12" t="str">
        <f>IF(Raw_Data!AR811="","",IF(Raw_Data!AR811="oui",1,0))</f>
        <v/>
      </c>
      <c r="Y808" s="12" t="str">
        <f>IF(Raw_Data!AS811="","",IF(Raw_Data!AS811="oui",1,0))</f>
        <v/>
      </c>
      <c r="Z808" s="12" t="str">
        <f>IF(Raw_Data!V811="","",IF(Raw_Data!V811="oui",1,0))</f>
        <v/>
      </c>
      <c r="AA808" s="12" t="str">
        <f>IF(Raw_Data!W811="","",IF(Raw_Data!W811="oui",1,0))</f>
        <v/>
      </c>
      <c r="AB808" s="12" t="str">
        <f>IF(Raw_Data!Q811="","",IF(Raw_Data!Q811="oui",1,0))</f>
        <v/>
      </c>
      <c r="AC808" s="12">
        <f>Raw_Data!AF811</f>
        <v>0</v>
      </c>
      <c r="AD808" s="12" t="str">
        <f t="shared" si="113"/>
        <v/>
      </c>
      <c r="AE808" s="12" t="str">
        <f t="shared" si="114"/>
        <v/>
      </c>
      <c r="AF808" s="12" t="str">
        <f t="shared" si="115"/>
        <v/>
      </c>
      <c r="AG808" s="12">
        <f t="shared" si="116"/>
        <v>0</v>
      </c>
    </row>
    <row r="809" spans="1:33" ht="15" customHeight="1" x14ac:dyDescent="0.25">
      <c r="A809" s="12" t="str">
        <f>IF(Raw_Data!B812="","",Raw_Data!B812)</f>
        <v/>
      </c>
      <c r="B809" s="12">
        <f>IF(Raw_Data!X812&lt;&gt;"",Raw_Data!X812,Raw_Data!C812)</f>
        <v>0</v>
      </c>
      <c r="C809" s="12" t="str">
        <f>IF(Raw_Data!G812="","",Raw_Data!G812)</f>
        <v/>
      </c>
      <c r="D809" s="12" t="str">
        <f>IF(Raw_Data!H812="","",Raw_Data!H812)</f>
        <v/>
      </c>
      <c r="E809" s="12" t="str">
        <f>IF(Raw_Data!I812="","",Raw_Data!I812)</f>
        <v/>
      </c>
      <c r="F809" s="12" t="str">
        <f>IF(Raw_Data!J812="","",Raw_Data!J812)</f>
        <v/>
      </c>
      <c r="G809" s="12" t="str">
        <f>IF(Raw_Data!AH812&lt;&gt;"",Raw_Data!AH812,IF(Raw_Data!K812&lt;&gt;"",Raw_Data!K812,""))</f>
        <v/>
      </c>
      <c r="H809" s="12" t="str">
        <f>IF(Raw_Data!AI812&lt;&gt;"",Raw_Data!AI812,IF(Raw_Data!L812&lt;&gt;"",Raw_Data!L812,""))</f>
        <v/>
      </c>
      <c r="I809" s="12" t="str">
        <f t="shared" si="108"/>
        <v/>
      </c>
      <c r="J809" s="12" t="str">
        <f>IF(Raw_Data!M812="","",Raw_Data!M812)</f>
        <v/>
      </c>
      <c r="K809" s="12">
        <f>IF(Raw_Data!AJ812&lt;&gt;"",Raw_Data!AJ812,Raw_Data!N812)</f>
        <v>0</v>
      </c>
      <c r="L809" s="12">
        <f t="shared" si="109"/>
        <v>1</v>
      </c>
      <c r="M809" s="12" t="str">
        <f>IF(Raw_Data!AK812="","",Raw_Data!AK812)</f>
        <v/>
      </c>
      <c r="N809" s="12" t="str">
        <f>IF(Raw_Data!T812="","",Raw_Data!T812)</f>
        <v/>
      </c>
      <c r="O809" s="12" t="str">
        <f>IF(Raw_Data!AB812&lt;&gt;"",Raw_Data!AB812,IF(N809="tres_insatisfait",1,IF(N809="insatisfait",2,IF(N809="neutre",3,IF(N809="satisfait",4,IF(N809="tres_satisfait",5,""))))))</f>
        <v/>
      </c>
      <c r="P809" s="12">
        <f>IF(Raw_Data!AL812&lt;&gt;"",Raw_Data!AL812,Raw_Data!R812)</f>
        <v>0</v>
      </c>
      <c r="Q809" s="12">
        <f t="shared" si="110"/>
        <v>0</v>
      </c>
      <c r="R809" s="12" t="str">
        <f>IF(Raw_Data!AM812="","",Raw_Data!AM812)</f>
        <v/>
      </c>
      <c r="S809" s="12" t="str">
        <f t="shared" si="111"/>
        <v/>
      </c>
      <c r="T809" s="12" t="str">
        <f>IF(Raw_Data!AN812="","",Raw_Data!AN812)</f>
        <v/>
      </c>
      <c r="U809" s="12" t="str">
        <f t="shared" si="112"/>
        <v/>
      </c>
      <c r="V809" s="12" t="str">
        <f>IF(Raw_Data!AP812="","",IF(Raw_Data!AP812="oui",1,0))</f>
        <v/>
      </c>
      <c r="W809" s="12" t="str">
        <f>IF(Raw_Data!AQ812="","",IF(Raw_Data!AQ812="oui",1,0))</f>
        <v/>
      </c>
      <c r="X809" s="12" t="str">
        <f>IF(Raw_Data!AR812="","",IF(Raw_Data!AR812="oui",1,0))</f>
        <v/>
      </c>
      <c r="Y809" s="12" t="str">
        <f>IF(Raw_Data!AS812="","",IF(Raw_Data!AS812="oui",1,0))</f>
        <v/>
      </c>
      <c r="Z809" s="12" t="str">
        <f>IF(Raw_Data!V812="","",IF(Raw_Data!V812="oui",1,0))</f>
        <v/>
      </c>
      <c r="AA809" s="12" t="str">
        <f>IF(Raw_Data!W812="","",IF(Raw_Data!W812="oui",1,0))</f>
        <v/>
      </c>
      <c r="AB809" s="12" t="str">
        <f>IF(Raw_Data!Q812="","",IF(Raw_Data!Q812="oui",1,0))</f>
        <v/>
      </c>
      <c r="AC809" s="12">
        <f>Raw_Data!AF812</f>
        <v>0</v>
      </c>
      <c r="AD809" s="12" t="str">
        <f t="shared" si="113"/>
        <v/>
      </c>
      <c r="AE809" s="12" t="str">
        <f t="shared" si="114"/>
        <v/>
      </c>
      <c r="AF809" s="12" t="str">
        <f t="shared" si="115"/>
        <v/>
      </c>
      <c r="AG809" s="12">
        <f t="shared" si="116"/>
        <v>0</v>
      </c>
    </row>
    <row r="810" spans="1:33" ht="15" customHeight="1" x14ac:dyDescent="0.25">
      <c r="A810" s="12" t="str">
        <f>IF(Raw_Data!B813="","",Raw_Data!B813)</f>
        <v/>
      </c>
      <c r="B810" s="12">
        <f>IF(Raw_Data!X813&lt;&gt;"",Raw_Data!X813,Raw_Data!C813)</f>
        <v>0</v>
      </c>
      <c r="C810" s="12" t="str">
        <f>IF(Raw_Data!G813="","",Raw_Data!G813)</f>
        <v/>
      </c>
      <c r="D810" s="12" t="str">
        <f>IF(Raw_Data!H813="","",Raw_Data!H813)</f>
        <v/>
      </c>
      <c r="E810" s="12" t="str">
        <f>IF(Raw_Data!I813="","",Raw_Data!I813)</f>
        <v/>
      </c>
      <c r="F810" s="12" t="str">
        <f>IF(Raw_Data!J813="","",Raw_Data!J813)</f>
        <v/>
      </c>
      <c r="G810" s="12" t="str">
        <f>IF(Raw_Data!AH813&lt;&gt;"",Raw_Data!AH813,IF(Raw_Data!K813&lt;&gt;"",Raw_Data!K813,""))</f>
        <v/>
      </c>
      <c r="H810" s="12" t="str">
        <f>IF(Raw_Data!AI813&lt;&gt;"",Raw_Data!AI813,IF(Raw_Data!L813&lt;&gt;"",Raw_Data!L813,""))</f>
        <v/>
      </c>
      <c r="I810" s="12" t="str">
        <f t="shared" si="108"/>
        <v/>
      </c>
      <c r="J810" s="12" t="str">
        <f>IF(Raw_Data!M813="","",Raw_Data!M813)</f>
        <v/>
      </c>
      <c r="K810" s="12">
        <f>IF(Raw_Data!AJ813&lt;&gt;"",Raw_Data!AJ813,Raw_Data!N813)</f>
        <v>0</v>
      </c>
      <c r="L810" s="12">
        <f t="shared" si="109"/>
        <v>1</v>
      </c>
      <c r="M810" s="12" t="str">
        <f>IF(Raw_Data!AK813="","",Raw_Data!AK813)</f>
        <v/>
      </c>
      <c r="N810" s="12" t="str">
        <f>IF(Raw_Data!T813="","",Raw_Data!T813)</f>
        <v/>
      </c>
      <c r="O810" s="12" t="str">
        <f>IF(Raw_Data!AB813&lt;&gt;"",Raw_Data!AB813,IF(N810="tres_insatisfait",1,IF(N810="insatisfait",2,IF(N810="neutre",3,IF(N810="satisfait",4,IF(N810="tres_satisfait",5,""))))))</f>
        <v/>
      </c>
      <c r="P810" s="12">
        <f>IF(Raw_Data!AL813&lt;&gt;"",Raw_Data!AL813,Raw_Data!R813)</f>
        <v>0</v>
      </c>
      <c r="Q810" s="12">
        <f t="shared" si="110"/>
        <v>0</v>
      </c>
      <c r="R810" s="12" t="str">
        <f>IF(Raw_Data!AM813="","",Raw_Data!AM813)</f>
        <v/>
      </c>
      <c r="S810" s="12" t="str">
        <f t="shared" si="111"/>
        <v/>
      </c>
      <c r="T810" s="12" t="str">
        <f>IF(Raw_Data!AN813="","",Raw_Data!AN813)</f>
        <v/>
      </c>
      <c r="U810" s="12" t="str">
        <f t="shared" si="112"/>
        <v/>
      </c>
      <c r="V810" s="12" t="str">
        <f>IF(Raw_Data!AP813="","",IF(Raw_Data!AP813="oui",1,0))</f>
        <v/>
      </c>
      <c r="W810" s="12" t="str">
        <f>IF(Raw_Data!AQ813="","",IF(Raw_Data!AQ813="oui",1,0))</f>
        <v/>
      </c>
      <c r="X810" s="12" t="str">
        <f>IF(Raw_Data!AR813="","",IF(Raw_Data!AR813="oui",1,0))</f>
        <v/>
      </c>
      <c r="Y810" s="12" t="str">
        <f>IF(Raw_Data!AS813="","",IF(Raw_Data!AS813="oui",1,0))</f>
        <v/>
      </c>
      <c r="Z810" s="12" t="str">
        <f>IF(Raw_Data!V813="","",IF(Raw_Data!V813="oui",1,0))</f>
        <v/>
      </c>
      <c r="AA810" s="12" t="str">
        <f>IF(Raw_Data!W813="","",IF(Raw_Data!W813="oui",1,0))</f>
        <v/>
      </c>
      <c r="AB810" s="12" t="str">
        <f>IF(Raw_Data!Q813="","",IF(Raw_Data!Q813="oui",1,0))</f>
        <v/>
      </c>
      <c r="AC810" s="12">
        <f>Raw_Data!AF813</f>
        <v>0</v>
      </c>
      <c r="AD810" s="12" t="str">
        <f t="shared" si="113"/>
        <v/>
      </c>
      <c r="AE810" s="12" t="str">
        <f t="shared" si="114"/>
        <v/>
      </c>
      <c r="AF810" s="12" t="str">
        <f t="shared" si="115"/>
        <v/>
      </c>
      <c r="AG810" s="12">
        <f t="shared" si="116"/>
        <v>0</v>
      </c>
    </row>
    <row r="811" spans="1:33" ht="15" customHeight="1" x14ac:dyDescent="0.25">
      <c r="A811" s="12" t="str">
        <f>IF(Raw_Data!B814="","",Raw_Data!B814)</f>
        <v/>
      </c>
      <c r="B811" s="12">
        <f>IF(Raw_Data!X814&lt;&gt;"",Raw_Data!X814,Raw_Data!C814)</f>
        <v>0</v>
      </c>
      <c r="C811" s="12" t="str">
        <f>IF(Raw_Data!G814="","",Raw_Data!G814)</f>
        <v/>
      </c>
      <c r="D811" s="12" t="str">
        <f>IF(Raw_Data!H814="","",Raw_Data!H814)</f>
        <v/>
      </c>
      <c r="E811" s="12" t="str">
        <f>IF(Raw_Data!I814="","",Raw_Data!I814)</f>
        <v/>
      </c>
      <c r="F811" s="12" t="str">
        <f>IF(Raw_Data!J814="","",Raw_Data!J814)</f>
        <v/>
      </c>
      <c r="G811" s="12" t="str">
        <f>IF(Raw_Data!AH814&lt;&gt;"",Raw_Data!AH814,IF(Raw_Data!K814&lt;&gt;"",Raw_Data!K814,""))</f>
        <v/>
      </c>
      <c r="H811" s="12" t="str">
        <f>IF(Raw_Data!AI814&lt;&gt;"",Raw_Data!AI814,IF(Raw_Data!L814&lt;&gt;"",Raw_Data!L814,""))</f>
        <v/>
      </c>
      <c r="I811" s="12" t="str">
        <f t="shared" si="108"/>
        <v/>
      </c>
      <c r="J811" s="12" t="str">
        <f>IF(Raw_Data!M814="","",Raw_Data!M814)</f>
        <v/>
      </c>
      <c r="K811" s="12">
        <f>IF(Raw_Data!AJ814&lt;&gt;"",Raw_Data!AJ814,Raw_Data!N814)</f>
        <v>0</v>
      </c>
      <c r="L811" s="12">
        <f t="shared" si="109"/>
        <v>1</v>
      </c>
      <c r="M811" s="12" t="str">
        <f>IF(Raw_Data!AK814="","",Raw_Data!AK814)</f>
        <v/>
      </c>
      <c r="N811" s="12" t="str">
        <f>IF(Raw_Data!T814="","",Raw_Data!T814)</f>
        <v/>
      </c>
      <c r="O811" s="12" t="str">
        <f>IF(Raw_Data!AB814&lt;&gt;"",Raw_Data!AB814,IF(N811="tres_insatisfait",1,IF(N811="insatisfait",2,IF(N811="neutre",3,IF(N811="satisfait",4,IF(N811="tres_satisfait",5,""))))))</f>
        <v/>
      </c>
      <c r="P811" s="12">
        <f>IF(Raw_Data!AL814&lt;&gt;"",Raw_Data!AL814,Raw_Data!R814)</f>
        <v>0</v>
      </c>
      <c r="Q811" s="12">
        <f t="shared" si="110"/>
        <v>0</v>
      </c>
      <c r="R811" s="12" t="str">
        <f>IF(Raw_Data!AM814="","",Raw_Data!AM814)</f>
        <v/>
      </c>
      <c r="S811" s="12" t="str">
        <f t="shared" si="111"/>
        <v/>
      </c>
      <c r="T811" s="12" t="str">
        <f>IF(Raw_Data!AN814="","",Raw_Data!AN814)</f>
        <v/>
      </c>
      <c r="U811" s="12" t="str">
        <f t="shared" si="112"/>
        <v/>
      </c>
      <c r="V811" s="12" t="str">
        <f>IF(Raw_Data!AP814="","",IF(Raw_Data!AP814="oui",1,0))</f>
        <v/>
      </c>
      <c r="W811" s="12" t="str">
        <f>IF(Raw_Data!AQ814="","",IF(Raw_Data!AQ814="oui",1,0))</f>
        <v/>
      </c>
      <c r="X811" s="12" t="str">
        <f>IF(Raw_Data!AR814="","",IF(Raw_Data!AR814="oui",1,0))</f>
        <v/>
      </c>
      <c r="Y811" s="12" t="str">
        <f>IF(Raw_Data!AS814="","",IF(Raw_Data!AS814="oui",1,0))</f>
        <v/>
      </c>
      <c r="Z811" s="12" t="str">
        <f>IF(Raw_Data!V814="","",IF(Raw_Data!V814="oui",1,0))</f>
        <v/>
      </c>
      <c r="AA811" s="12" t="str">
        <f>IF(Raw_Data!W814="","",IF(Raw_Data!W814="oui",1,0))</f>
        <v/>
      </c>
      <c r="AB811" s="12" t="str">
        <f>IF(Raw_Data!Q814="","",IF(Raw_Data!Q814="oui",1,0))</f>
        <v/>
      </c>
      <c r="AC811" s="12">
        <f>Raw_Data!AF814</f>
        <v>0</v>
      </c>
      <c r="AD811" s="12" t="str">
        <f t="shared" si="113"/>
        <v/>
      </c>
      <c r="AE811" s="12" t="str">
        <f t="shared" si="114"/>
        <v/>
      </c>
      <c r="AF811" s="12" t="str">
        <f t="shared" si="115"/>
        <v/>
      </c>
      <c r="AG811" s="12">
        <f t="shared" si="116"/>
        <v>0</v>
      </c>
    </row>
    <row r="812" spans="1:33" ht="15" customHeight="1" x14ac:dyDescent="0.25">
      <c r="A812" s="12" t="str">
        <f>IF(Raw_Data!B815="","",Raw_Data!B815)</f>
        <v/>
      </c>
      <c r="B812" s="12">
        <f>IF(Raw_Data!X815&lt;&gt;"",Raw_Data!X815,Raw_Data!C815)</f>
        <v>0</v>
      </c>
      <c r="C812" s="12" t="str">
        <f>IF(Raw_Data!G815="","",Raw_Data!G815)</f>
        <v/>
      </c>
      <c r="D812" s="12" t="str">
        <f>IF(Raw_Data!H815="","",Raw_Data!H815)</f>
        <v/>
      </c>
      <c r="E812" s="12" t="str">
        <f>IF(Raw_Data!I815="","",Raw_Data!I815)</f>
        <v/>
      </c>
      <c r="F812" s="12" t="str">
        <f>IF(Raw_Data!J815="","",Raw_Data!J815)</f>
        <v/>
      </c>
      <c r="G812" s="12" t="str">
        <f>IF(Raw_Data!AH815&lt;&gt;"",Raw_Data!AH815,IF(Raw_Data!K815&lt;&gt;"",Raw_Data!K815,""))</f>
        <v/>
      </c>
      <c r="H812" s="12" t="str">
        <f>IF(Raw_Data!AI815&lt;&gt;"",Raw_Data!AI815,IF(Raw_Data!L815&lt;&gt;"",Raw_Data!L815,""))</f>
        <v/>
      </c>
      <c r="I812" s="12" t="str">
        <f t="shared" si="108"/>
        <v/>
      </c>
      <c r="J812" s="12" t="str">
        <f>IF(Raw_Data!M815="","",Raw_Data!M815)</f>
        <v/>
      </c>
      <c r="K812" s="12">
        <f>IF(Raw_Data!AJ815&lt;&gt;"",Raw_Data!AJ815,Raw_Data!N815)</f>
        <v>0</v>
      </c>
      <c r="L812" s="12">
        <f t="shared" si="109"/>
        <v>1</v>
      </c>
      <c r="M812" s="12" t="str">
        <f>IF(Raw_Data!AK815="","",Raw_Data!AK815)</f>
        <v/>
      </c>
      <c r="N812" s="12" t="str">
        <f>IF(Raw_Data!T815="","",Raw_Data!T815)</f>
        <v/>
      </c>
      <c r="O812" s="12" t="str">
        <f>IF(Raw_Data!AB815&lt;&gt;"",Raw_Data!AB815,IF(N812="tres_insatisfait",1,IF(N812="insatisfait",2,IF(N812="neutre",3,IF(N812="satisfait",4,IF(N812="tres_satisfait",5,""))))))</f>
        <v/>
      </c>
      <c r="P812" s="12">
        <f>IF(Raw_Data!AL815&lt;&gt;"",Raw_Data!AL815,Raw_Data!R815)</f>
        <v>0</v>
      </c>
      <c r="Q812" s="12">
        <f t="shared" si="110"/>
        <v>0</v>
      </c>
      <c r="R812" s="12" t="str">
        <f>IF(Raw_Data!AM815="","",Raw_Data!AM815)</f>
        <v/>
      </c>
      <c r="S812" s="12" t="str">
        <f t="shared" si="111"/>
        <v/>
      </c>
      <c r="T812" s="12" t="str">
        <f>IF(Raw_Data!AN815="","",Raw_Data!AN815)</f>
        <v/>
      </c>
      <c r="U812" s="12" t="str">
        <f t="shared" si="112"/>
        <v/>
      </c>
      <c r="V812" s="12" t="str">
        <f>IF(Raw_Data!AP815="","",IF(Raw_Data!AP815="oui",1,0))</f>
        <v/>
      </c>
      <c r="W812" s="12" t="str">
        <f>IF(Raw_Data!AQ815="","",IF(Raw_Data!AQ815="oui",1,0))</f>
        <v/>
      </c>
      <c r="X812" s="12" t="str">
        <f>IF(Raw_Data!AR815="","",IF(Raw_Data!AR815="oui",1,0))</f>
        <v/>
      </c>
      <c r="Y812" s="12" t="str">
        <f>IF(Raw_Data!AS815="","",IF(Raw_Data!AS815="oui",1,0))</f>
        <v/>
      </c>
      <c r="Z812" s="12" t="str">
        <f>IF(Raw_Data!V815="","",IF(Raw_Data!V815="oui",1,0))</f>
        <v/>
      </c>
      <c r="AA812" s="12" t="str">
        <f>IF(Raw_Data!W815="","",IF(Raw_Data!W815="oui",1,0))</f>
        <v/>
      </c>
      <c r="AB812" s="12" t="str">
        <f>IF(Raw_Data!Q815="","",IF(Raw_Data!Q815="oui",1,0))</f>
        <v/>
      </c>
      <c r="AC812" s="12">
        <f>Raw_Data!AF815</f>
        <v>0</v>
      </c>
      <c r="AD812" s="12" t="str">
        <f t="shared" si="113"/>
        <v/>
      </c>
      <c r="AE812" s="12" t="str">
        <f t="shared" si="114"/>
        <v/>
      </c>
      <c r="AF812" s="12" t="str">
        <f t="shared" si="115"/>
        <v/>
      </c>
      <c r="AG812" s="12">
        <f t="shared" si="116"/>
        <v>0</v>
      </c>
    </row>
    <row r="813" spans="1:33" ht="15" customHeight="1" x14ac:dyDescent="0.25">
      <c r="A813" s="12" t="str">
        <f>IF(Raw_Data!B816="","",Raw_Data!B816)</f>
        <v/>
      </c>
      <c r="B813" s="12">
        <f>IF(Raw_Data!X816&lt;&gt;"",Raw_Data!X816,Raw_Data!C816)</f>
        <v>0</v>
      </c>
      <c r="C813" s="12" t="str">
        <f>IF(Raw_Data!G816="","",Raw_Data!G816)</f>
        <v/>
      </c>
      <c r="D813" s="12" t="str">
        <f>IF(Raw_Data!H816="","",Raw_Data!H816)</f>
        <v/>
      </c>
      <c r="E813" s="12" t="str">
        <f>IF(Raw_Data!I816="","",Raw_Data!I816)</f>
        <v/>
      </c>
      <c r="F813" s="12" t="str">
        <f>IF(Raw_Data!J816="","",Raw_Data!J816)</f>
        <v/>
      </c>
      <c r="G813" s="12" t="str">
        <f>IF(Raw_Data!AH816&lt;&gt;"",Raw_Data!AH816,IF(Raw_Data!K816&lt;&gt;"",Raw_Data!K816,""))</f>
        <v/>
      </c>
      <c r="H813" s="12" t="str">
        <f>IF(Raw_Data!AI816&lt;&gt;"",Raw_Data!AI816,IF(Raw_Data!L816&lt;&gt;"",Raw_Data!L816,""))</f>
        <v/>
      </c>
      <c r="I813" s="12" t="str">
        <f t="shared" si="108"/>
        <v/>
      </c>
      <c r="J813" s="12" t="str">
        <f>IF(Raw_Data!M816="","",Raw_Data!M816)</f>
        <v/>
      </c>
      <c r="K813" s="12">
        <f>IF(Raw_Data!AJ816&lt;&gt;"",Raw_Data!AJ816,Raw_Data!N816)</f>
        <v>0</v>
      </c>
      <c r="L813" s="12">
        <f t="shared" si="109"/>
        <v>1</v>
      </c>
      <c r="M813" s="12" t="str">
        <f>IF(Raw_Data!AK816="","",Raw_Data!AK816)</f>
        <v/>
      </c>
      <c r="N813" s="12" t="str">
        <f>IF(Raw_Data!T816="","",Raw_Data!T816)</f>
        <v/>
      </c>
      <c r="O813" s="12" t="str">
        <f>IF(Raw_Data!AB816&lt;&gt;"",Raw_Data!AB816,IF(N813="tres_insatisfait",1,IF(N813="insatisfait",2,IF(N813="neutre",3,IF(N813="satisfait",4,IF(N813="tres_satisfait",5,""))))))</f>
        <v/>
      </c>
      <c r="P813" s="12">
        <f>IF(Raw_Data!AL816&lt;&gt;"",Raw_Data!AL816,Raw_Data!R816)</f>
        <v>0</v>
      </c>
      <c r="Q813" s="12">
        <f t="shared" si="110"/>
        <v>0</v>
      </c>
      <c r="R813" s="12" t="str">
        <f>IF(Raw_Data!AM816="","",Raw_Data!AM816)</f>
        <v/>
      </c>
      <c r="S813" s="12" t="str">
        <f t="shared" si="111"/>
        <v/>
      </c>
      <c r="T813" s="12" t="str">
        <f>IF(Raw_Data!AN816="","",Raw_Data!AN816)</f>
        <v/>
      </c>
      <c r="U813" s="12" t="str">
        <f t="shared" si="112"/>
        <v/>
      </c>
      <c r="V813" s="12" t="str">
        <f>IF(Raw_Data!AP816="","",IF(Raw_Data!AP816="oui",1,0))</f>
        <v/>
      </c>
      <c r="W813" s="12" t="str">
        <f>IF(Raw_Data!AQ816="","",IF(Raw_Data!AQ816="oui",1,0))</f>
        <v/>
      </c>
      <c r="X813" s="12" t="str">
        <f>IF(Raw_Data!AR816="","",IF(Raw_Data!AR816="oui",1,0))</f>
        <v/>
      </c>
      <c r="Y813" s="12" t="str">
        <f>IF(Raw_Data!AS816="","",IF(Raw_Data!AS816="oui",1,0))</f>
        <v/>
      </c>
      <c r="Z813" s="12" t="str">
        <f>IF(Raw_Data!V816="","",IF(Raw_Data!V816="oui",1,0))</f>
        <v/>
      </c>
      <c r="AA813" s="12" t="str">
        <f>IF(Raw_Data!W816="","",IF(Raw_Data!W816="oui",1,0))</f>
        <v/>
      </c>
      <c r="AB813" s="12" t="str">
        <f>IF(Raw_Data!Q816="","",IF(Raw_Data!Q816="oui",1,0))</f>
        <v/>
      </c>
      <c r="AC813" s="12">
        <f>Raw_Data!AF816</f>
        <v>0</v>
      </c>
      <c r="AD813" s="12" t="str">
        <f t="shared" si="113"/>
        <v/>
      </c>
      <c r="AE813" s="12" t="str">
        <f t="shared" si="114"/>
        <v/>
      </c>
      <c r="AF813" s="12" t="str">
        <f t="shared" si="115"/>
        <v/>
      </c>
      <c r="AG813" s="12">
        <f t="shared" si="116"/>
        <v>0</v>
      </c>
    </row>
    <row r="814" spans="1:33" ht="15" customHeight="1" x14ac:dyDescent="0.25">
      <c r="A814" s="12" t="str">
        <f>IF(Raw_Data!B817="","",Raw_Data!B817)</f>
        <v/>
      </c>
      <c r="B814" s="12">
        <f>IF(Raw_Data!X817&lt;&gt;"",Raw_Data!X817,Raw_Data!C817)</f>
        <v>0</v>
      </c>
      <c r="C814" s="12" t="str">
        <f>IF(Raw_Data!G817="","",Raw_Data!G817)</f>
        <v/>
      </c>
      <c r="D814" s="12" t="str">
        <f>IF(Raw_Data!H817="","",Raw_Data!H817)</f>
        <v/>
      </c>
      <c r="E814" s="12" t="str">
        <f>IF(Raw_Data!I817="","",Raw_Data!I817)</f>
        <v/>
      </c>
      <c r="F814" s="12" t="str">
        <f>IF(Raw_Data!J817="","",Raw_Data!J817)</f>
        <v/>
      </c>
      <c r="G814" s="12" t="str">
        <f>IF(Raw_Data!AH817&lt;&gt;"",Raw_Data!AH817,IF(Raw_Data!K817&lt;&gt;"",Raw_Data!K817,""))</f>
        <v/>
      </c>
      <c r="H814" s="12" t="str">
        <f>IF(Raw_Data!AI817&lt;&gt;"",Raw_Data!AI817,IF(Raw_Data!L817&lt;&gt;"",Raw_Data!L817,""))</f>
        <v/>
      </c>
      <c r="I814" s="12" t="str">
        <f t="shared" si="108"/>
        <v/>
      </c>
      <c r="J814" s="12" t="str">
        <f>IF(Raw_Data!M817="","",Raw_Data!M817)</f>
        <v/>
      </c>
      <c r="K814" s="12">
        <f>IF(Raw_Data!AJ817&lt;&gt;"",Raw_Data!AJ817,Raw_Data!N817)</f>
        <v>0</v>
      </c>
      <c r="L814" s="12">
        <f t="shared" si="109"/>
        <v>1</v>
      </c>
      <c r="M814" s="12" t="str">
        <f>IF(Raw_Data!AK817="","",Raw_Data!AK817)</f>
        <v/>
      </c>
      <c r="N814" s="12" t="str">
        <f>IF(Raw_Data!T817="","",Raw_Data!T817)</f>
        <v/>
      </c>
      <c r="O814" s="12" t="str">
        <f>IF(Raw_Data!AB817&lt;&gt;"",Raw_Data!AB817,IF(N814="tres_insatisfait",1,IF(N814="insatisfait",2,IF(N814="neutre",3,IF(N814="satisfait",4,IF(N814="tres_satisfait",5,""))))))</f>
        <v/>
      </c>
      <c r="P814" s="12">
        <f>IF(Raw_Data!AL817&lt;&gt;"",Raw_Data!AL817,Raw_Data!R817)</f>
        <v>0</v>
      </c>
      <c r="Q814" s="12">
        <f t="shared" si="110"/>
        <v>0</v>
      </c>
      <c r="R814" s="12" t="str">
        <f>IF(Raw_Data!AM817="","",Raw_Data!AM817)</f>
        <v/>
      </c>
      <c r="S814" s="12" t="str">
        <f t="shared" si="111"/>
        <v/>
      </c>
      <c r="T814" s="12" t="str">
        <f>IF(Raw_Data!AN817="","",Raw_Data!AN817)</f>
        <v/>
      </c>
      <c r="U814" s="12" t="str">
        <f t="shared" si="112"/>
        <v/>
      </c>
      <c r="V814" s="12" t="str">
        <f>IF(Raw_Data!AP817="","",IF(Raw_Data!AP817="oui",1,0))</f>
        <v/>
      </c>
      <c r="W814" s="12" t="str">
        <f>IF(Raw_Data!AQ817="","",IF(Raw_Data!AQ817="oui",1,0))</f>
        <v/>
      </c>
      <c r="X814" s="12" t="str">
        <f>IF(Raw_Data!AR817="","",IF(Raw_Data!AR817="oui",1,0))</f>
        <v/>
      </c>
      <c r="Y814" s="12" t="str">
        <f>IF(Raw_Data!AS817="","",IF(Raw_Data!AS817="oui",1,0))</f>
        <v/>
      </c>
      <c r="Z814" s="12" t="str">
        <f>IF(Raw_Data!V817="","",IF(Raw_Data!V817="oui",1,0))</f>
        <v/>
      </c>
      <c r="AA814" s="12" t="str">
        <f>IF(Raw_Data!W817="","",IF(Raw_Data!W817="oui",1,0))</f>
        <v/>
      </c>
      <c r="AB814" s="12" t="str">
        <f>IF(Raw_Data!Q817="","",IF(Raw_Data!Q817="oui",1,0))</f>
        <v/>
      </c>
      <c r="AC814" s="12">
        <f>Raw_Data!AF817</f>
        <v>0</v>
      </c>
      <c r="AD814" s="12" t="str">
        <f t="shared" si="113"/>
        <v/>
      </c>
      <c r="AE814" s="12" t="str">
        <f t="shared" si="114"/>
        <v/>
      </c>
      <c r="AF814" s="12" t="str">
        <f t="shared" si="115"/>
        <v/>
      </c>
      <c r="AG814" s="12">
        <f t="shared" si="116"/>
        <v>0</v>
      </c>
    </row>
    <row r="815" spans="1:33" ht="15" customHeight="1" x14ac:dyDescent="0.25">
      <c r="A815" s="12" t="str">
        <f>IF(Raw_Data!B818="","",Raw_Data!B818)</f>
        <v/>
      </c>
      <c r="B815" s="12">
        <f>IF(Raw_Data!X818&lt;&gt;"",Raw_Data!X818,Raw_Data!C818)</f>
        <v>0</v>
      </c>
      <c r="C815" s="12" t="str">
        <f>IF(Raw_Data!G818="","",Raw_Data!G818)</f>
        <v/>
      </c>
      <c r="D815" s="12" t="str">
        <f>IF(Raw_Data!H818="","",Raw_Data!H818)</f>
        <v/>
      </c>
      <c r="E815" s="12" t="str">
        <f>IF(Raw_Data!I818="","",Raw_Data!I818)</f>
        <v/>
      </c>
      <c r="F815" s="12" t="str">
        <f>IF(Raw_Data!J818="","",Raw_Data!J818)</f>
        <v/>
      </c>
      <c r="G815" s="12" t="str">
        <f>IF(Raw_Data!AH818&lt;&gt;"",Raw_Data!AH818,IF(Raw_Data!K818&lt;&gt;"",Raw_Data!K818,""))</f>
        <v/>
      </c>
      <c r="H815" s="12" t="str">
        <f>IF(Raw_Data!AI818&lt;&gt;"",Raw_Data!AI818,IF(Raw_Data!L818&lt;&gt;"",Raw_Data!L818,""))</f>
        <v/>
      </c>
      <c r="I815" s="12" t="str">
        <f t="shared" si="108"/>
        <v/>
      </c>
      <c r="J815" s="12" t="str">
        <f>IF(Raw_Data!M818="","",Raw_Data!M818)</f>
        <v/>
      </c>
      <c r="K815" s="12">
        <f>IF(Raw_Data!AJ818&lt;&gt;"",Raw_Data!AJ818,Raw_Data!N818)</f>
        <v>0</v>
      </c>
      <c r="L815" s="12">
        <f t="shared" si="109"/>
        <v>1</v>
      </c>
      <c r="M815" s="12" t="str">
        <f>IF(Raw_Data!AK818="","",Raw_Data!AK818)</f>
        <v/>
      </c>
      <c r="N815" s="12" t="str">
        <f>IF(Raw_Data!T818="","",Raw_Data!T818)</f>
        <v/>
      </c>
      <c r="O815" s="12" t="str">
        <f>IF(Raw_Data!AB818&lt;&gt;"",Raw_Data!AB818,IF(N815="tres_insatisfait",1,IF(N815="insatisfait",2,IF(N815="neutre",3,IF(N815="satisfait",4,IF(N815="tres_satisfait",5,""))))))</f>
        <v/>
      </c>
      <c r="P815" s="12">
        <f>IF(Raw_Data!AL818&lt;&gt;"",Raw_Data!AL818,Raw_Data!R818)</f>
        <v>0</v>
      </c>
      <c r="Q815" s="12">
        <f t="shared" si="110"/>
        <v>0</v>
      </c>
      <c r="R815" s="12" t="str">
        <f>IF(Raw_Data!AM818="","",Raw_Data!AM818)</f>
        <v/>
      </c>
      <c r="S815" s="12" t="str">
        <f t="shared" si="111"/>
        <v/>
      </c>
      <c r="T815" s="12" t="str">
        <f>IF(Raw_Data!AN818="","",Raw_Data!AN818)</f>
        <v/>
      </c>
      <c r="U815" s="12" t="str">
        <f t="shared" si="112"/>
        <v/>
      </c>
      <c r="V815" s="12" t="str">
        <f>IF(Raw_Data!AP818="","",IF(Raw_Data!AP818="oui",1,0))</f>
        <v/>
      </c>
      <c r="W815" s="12" t="str">
        <f>IF(Raw_Data!AQ818="","",IF(Raw_Data!AQ818="oui",1,0))</f>
        <v/>
      </c>
      <c r="X815" s="12" t="str">
        <f>IF(Raw_Data!AR818="","",IF(Raw_Data!AR818="oui",1,0))</f>
        <v/>
      </c>
      <c r="Y815" s="12" t="str">
        <f>IF(Raw_Data!AS818="","",IF(Raw_Data!AS818="oui",1,0))</f>
        <v/>
      </c>
      <c r="Z815" s="12" t="str">
        <f>IF(Raw_Data!V818="","",IF(Raw_Data!V818="oui",1,0))</f>
        <v/>
      </c>
      <c r="AA815" s="12" t="str">
        <f>IF(Raw_Data!W818="","",IF(Raw_Data!W818="oui",1,0))</f>
        <v/>
      </c>
      <c r="AB815" s="12" t="str">
        <f>IF(Raw_Data!Q818="","",IF(Raw_Data!Q818="oui",1,0))</f>
        <v/>
      </c>
      <c r="AC815" s="12">
        <f>Raw_Data!AF818</f>
        <v>0</v>
      </c>
      <c r="AD815" s="12" t="str">
        <f t="shared" si="113"/>
        <v/>
      </c>
      <c r="AE815" s="12" t="str">
        <f t="shared" si="114"/>
        <v/>
      </c>
      <c r="AF815" s="12" t="str">
        <f t="shared" si="115"/>
        <v/>
      </c>
      <c r="AG815" s="12">
        <f t="shared" si="116"/>
        <v>0</v>
      </c>
    </row>
    <row r="816" spans="1:33" ht="15" customHeight="1" x14ac:dyDescent="0.25">
      <c r="A816" s="12" t="str">
        <f>IF(Raw_Data!B819="","",Raw_Data!B819)</f>
        <v/>
      </c>
      <c r="B816" s="12">
        <f>IF(Raw_Data!X819&lt;&gt;"",Raw_Data!X819,Raw_Data!C819)</f>
        <v>0</v>
      </c>
      <c r="C816" s="12" t="str">
        <f>IF(Raw_Data!G819="","",Raw_Data!G819)</f>
        <v/>
      </c>
      <c r="D816" s="12" t="str">
        <f>IF(Raw_Data!H819="","",Raw_Data!H819)</f>
        <v/>
      </c>
      <c r="E816" s="12" t="str">
        <f>IF(Raw_Data!I819="","",Raw_Data!I819)</f>
        <v/>
      </c>
      <c r="F816" s="12" t="str">
        <f>IF(Raw_Data!J819="","",Raw_Data!J819)</f>
        <v/>
      </c>
      <c r="G816" s="12" t="str">
        <f>IF(Raw_Data!AH819&lt;&gt;"",Raw_Data!AH819,IF(Raw_Data!K819&lt;&gt;"",Raw_Data!K819,""))</f>
        <v/>
      </c>
      <c r="H816" s="12" t="str">
        <f>IF(Raw_Data!AI819&lt;&gt;"",Raw_Data!AI819,IF(Raw_Data!L819&lt;&gt;"",Raw_Data!L819,""))</f>
        <v/>
      </c>
      <c r="I816" s="12" t="str">
        <f t="shared" si="108"/>
        <v/>
      </c>
      <c r="J816" s="12" t="str">
        <f>IF(Raw_Data!M819="","",Raw_Data!M819)</f>
        <v/>
      </c>
      <c r="K816" s="12">
        <f>IF(Raw_Data!AJ819&lt;&gt;"",Raw_Data!AJ819,Raw_Data!N819)</f>
        <v>0</v>
      </c>
      <c r="L816" s="12">
        <f t="shared" si="109"/>
        <v>1</v>
      </c>
      <c r="M816" s="12" t="str">
        <f>IF(Raw_Data!AK819="","",Raw_Data!AK819)</f>
        <v/>
      </c>
      <c r="N816" s="12" t="str">
        <f>IF(Raw_Data!T819="","",Raw_Data!T819)</f>
        <v/>
      </c>
      <c r="O816" s="12" t="str">
        <f>IF(Raw_Data!AB819&lt;&gt;"",Raw_Data!AB819,IF(N816="tres_insatisfait",1,IF(N816="insatisfait",2,IF(N816="neutre",3,IF(N816="satisfait",4,IF(N816="tres_satisfait",5,""))))))</f>
        <v/>
      </c>
      <c r="P816" s="12">
        <f>IF(Raw_Data!AL819&lt;&gt;"",Raw_Data!AL819,Raw_Data!R819)</f>
        <v>0</v>
      </c>
      <c r="Q816" s="12">
        <f t="shared" si="110"/>
        <v>0</v>
      </c>
      <c r="R816" s="12" t="str">
        <f>IF(Raw_Data!AM819="","",Raw_Data!AM819)</f>
        <v/>
      </c>
      <c r="S816" s="12" t="str">
        <f t="shared" si="111"/>
        <v/>
      </c>
      <c r="T816" s="12" t="str">
        <f>IF(Raw_Data!AN819="","",Raw_Data!AN819)</f>
        <v/>
      </c>
      <c r="U816" s="12" t="str">
        <f t="shared" si="112"/>
        <v/>
      </c>
      <c r="V816" s="12" t="str">
        <f>IF(Raw_Data!AP819="","",IF(Raw_Data!AP819="oui",1,0))</f>
        <v/>
      </c>
      <c r="W816" s="12" t="str">
        <f>IF(Raw_Data!AQ819="","",IF(Raw_Data!AQ819="oui",1,0))</f>
        <v/>
      </c>
      <c r="X816" s="12" t="str">
        <f>IF(Raw_Data!AR819="","",IF(Raw_Data!AR819="oui",1,0))</f>
        <v/>
      </c>
      <c r="Y816" s="12" t="str">
        <f>IF(Raw_Data!AS819="","",IF(Raw_Data!AS819="oui",1,0))</f>
        <v/>
      </c>
      <c r="Z816" s="12" t="str">
        <f>IF(Raw_Data!V819="","",IF(Raw_Data!V819="oui",1,0))</f>
        <v/>
      </c>
      <c r="AA816" s="12" t="str">
        <f>IF(Raw_Data!W819="","",IF(Raw_Data!W819="oui",1,0))</f>
        <v/>
      </c>
      <c r="AB816" s="12" t="str">
        <f>IF(Raw_Data!Q819="","",IF(Raw_Data!Q819="oui",1,0))</f>
        <v/>
      </c>
      <c r="AC816" s="12">
        <f>Raw_Data!AF819</f>
        <v>0</v>
      </c>
      <c r="AD816" s="12" t="str">
        <f t="shared" si="113"/>
        <v/>
      </c>
      <c r="AE816" s="12" t="str">
        <f t="shared" si="114"/>
        <v/>
      </c>
      <c r="AF816" s="12" t="str">
        <f t="shared" si="115"/>
        <v/>
      </c>
      <c r="AG816" s="12">
        <f t="shared" si="116"/>
        <v>0</v>
      </c>
    </row>
    <row r="817" spans="1:33" ht="15" customHeight="1" x14ac:dyDescent="0.25">
      <c r="A817" s="12" t="str">
        <f>IF(Raw_Data!B820="","",Raw_Data!B820)</f>
        <v/>
      </c>
      <c r="B817" s="12">
        <f>IF(Raw_Data!X820&lt;&gt;"",Raw_Data!X820,Raw_Data!C820)</f>
        <v>0</v>
      </c>
      <c r="C817" s="12" t="str">
        <f>IF(Raw_Data!G820="","",Raw_Data!G820)</f>
        <v/>
      </c>
      <c r="D817" s="12" t="str">
        <f>IF(Raw_Data!H820="","",Raw_Data!H820)</f>
        <v/>
      </c>
      <c r="E817" s="12" t="str">
        <f>IF(Raw_Data!I820="","",Raw_Data!I820)</f>
        <v/>
      </c>
      <c r="F817" s="12" t="str">
        <f>IF(Raw_Data!J820="","",Raw_Data!J820)</f>
        <v/>
      </c>
      <c r="G817" s="12" t="str">
        <f>IF(Raw_Data!AH820&lt;&gt;"",Raw_Data!AH820,IF(Raw_Data!K820&lt;&gt;"",Raw_Data!K820,""))</f>
        <v/>
      </c>
      <c r="H817" s="12" t="str">
        <f>IF(Raw_Data!AI820&lt;&gt;"",Raw_Data!AI820,IF(Raw_Data!L820&lt;&gt;"",Raw_Data!L820,""))</f>
        <v/>
      </c>
      <c r="I817" s="12" t="str">
        <f t="shared" si="108"/>
        <v/>
      </c>
      <c r="J817" s="12" t="str">
        <f>IF(Raw_Data!M820="","",Raw_Data!M820)</f>
        <v/>
      </c>
      <c r="K817" s="12">
        <f>IF(Raw_Data!AJ820&lt;&gt;"",Raw_Data!AJ820,Raw_Data!N820)</f>
        <v>0</v>
      </c>
      <c r="L817" s="12">
        <f t="shared" si="109"/>
        <v>1</v>
      </c>
      <c r="M817" s="12" t="str">
        <f>IF(Raw_Data!AK820="","",Raw_Data!AK820)</f>
        <v/>
      </c>
      <c r="N817" s="12" t="str">
        <f>IF(Raw_Data!T820="","",Raw_Data!T820)</f>
        <v/>
      </c>
      <c r="O817" s="12" t="str">
        <f>IF(Raw_Data!AB820&lt;&gt;"",Raw_Data!AB820,IF(N817="tres_insatisfait",1,IF(N817="insatisfait",2,IF(N817="neutre",3,IF(N817="satisfait",4,IF(N817="tres_satisfait",5,""))))))</f>
        <v/>
      </c>
      <c r="P817" s="12">
        <f>IF(Raw_Data!AL820&lt;&gt;"",Raw_Data!AL820,Raw_Data!R820)</f>
        <v>0</v>
      </c>
      <c r="Q817" s="12">
        <f t="shared" si="110"/>
        <v>0</v>
      </c>
      <c r="R817" s="12" t="str">
        <f>IF(Raw_Data!AM820="","",Raw_Data!AM820)</f>
        <v/>
      </c>
      <c r="S817" s="12" t="str">
        <f t="shared" si="111"/>
        <v/>
      </c>
      <c r="T817" s="12" t="str">
        <f>IF(Raw_Data!AN820="","",Raw_Data!AN820)</f>
        <v/>
      </c>
      <c r="U817" s="12" t="str">
        <f t="shared" si="112"/>
        <v/>
      </c>
      <c r="V817" s="12" t="str">
        <f>IF(Raw_Data!AP820="","",IF(Raw_Data!AP820="oui",1,0))</f>
        <v/>
      </c>
      <c r="W817" s="12" t="str">
        <f>IF(Raw_Data!AQ820="","",IF(Raw_Data!AQ820="oui",1,0))</f>
        <v/>
      </c>
      <c r="X817" s="12" t="str">
        <f>IF(Raw_Data!AR820="","",IF(Raw_Data!AR820="oui",1,0))</f>
        <v/>
      </c>
      <c r="Y817" s="12" t="str">
        <f>IF(Raw_Data!AS820="","",IF(Raw_Data!AS820="oui",1,0))</f>
        <v/>
      </c>
      <c r="Z817" s="12" t="str">
        <f>IF(Raw_Data!V820="","",IF(Raw_Data!V820="oui",1,0))</f>
        <v/>
      </c>
      <c r="AA817" s="12" t="str">
        <f>IF(Raw_Data!W820="","",IF(Raw_Data!W820="oui",1,0))</f>
        <v/>
      </c>
      <c r="AB817" s="12" t="str">
        <f>IF(Raw_Data!Q820="","",IF(Raw_Data!Q820="oui",1,0))</f>
        <v/>
      </c>
      <c r="AC817" s="12">
        <f>Raw_Data!AF820</f>
        <v>0</v>
      </c>
      <c r="AD817" s="12" t="str">
        <f t="shared" si="113"/>
        <v/>
      </c>
      <c r="AE817" s="12" t="str">
        <f t="shared" si="114"/>
        <v/>
      </c>
      <c r="AF817" s="12" t="str">
        <f t="shared" si="115"/>
        <v/>
      </c>
      <c r="AG817" s="12">
        <f t="shared" si="116"/>
        <v>0</v>
      </c>
    </row>
    <row r="818" spans="1:33" ht="15" customHeight="1" x14ac:dyDescent="0.25">
      <c r="A818" s="12" t="str">
        <f>IF(Raw_Data!B821="","",Raw_Data!B821)</f>
        <v/>
      </c>
      <c r="B818" s="12">
        <f>IF(Raw_Data!X821&lt;&gt;"",Raw_Data!X821,Raw_Data!C821)</f>
        <v>0</v>
      </c>
      <c r="C818" s="12" t="str">
        <f>IF(Raw_Data!G821="","",Raw_Data!G821)</f>
        <v/>
      </c>
      <c r="D818" s="12" t="str">
        <f>IF(Raw_Data!H821="","",Raw_Data!H821)</f>
        <v/>
      </c>
      <c r="E818" s="12" t="str">
        <f>IF(Raw_Data!I821="","",Raw_Data!I821)</f>
        <v/>
      </c>
      <c r="F818" s="12" t="str">
        <f>IF(Raw_Data!J821="","",Raw_Data!J821)</f>
        <v/>
      </c>
      <c r="G818" s="12" t="str">
        <f>IF(Raw_Data!AH821&lt;&gt;"",Raw_Data!AH821,IF(Raw_Data!K821&lt;&gt;"",Raw_Data!K821,""))</f>
        <v/>
      </c>
      <c r="H818" s="12" t="str">
        <f>IF(Raw_Data!AI821&lt;&gt;"",Raw_Data!AI821,IF(Raw_Data!L821&lt;&gt;"",Raw_Data!L821,""))</f>
        <v/>
      </c>
      <c r="I818" s="12" t="str">
        <f t="shared" si="108"/>
        <v/>
      </c>
      <c r="J818" s="12" t="str">
        <f>IF(Raw_Data!M821="","",Raw_Data!M821)</f>
        <v/>
      </c>
      <c r="K818" s="12">
        <f>IF(Raw_Data!AJ821&lt;&gt;"",Raw_Data!AJ821,Raw_Data!N821)</f>
        <v>0</v>
      </c>
      <c r="L818" s="12">
        <f t="shared" si="109"/>
        <v>1</v>
      </c>
      <c r="M818" s="12" t="str">
        <f>IF(Raw_Data!AK821="","",Raw_Data!AK821)</f>
        <v/>
      </c>
      <c r="N818" s="12" t="str">
        <f>IF(Raw_Data!T821="","",Raw_Data!T821)</f>
        <v/>
      </c>
      <c r="O818" s="12" t="str">
        <f>IF(Raw_Data!AB821&lt;&gt;"",Raw_Data!AB821,IF(N818="tres_insatisfait",1,IF(N818="insatisfait",2,IF(N818="neutre",3,IF(N818="satisfait",4,IF(N818="tres_satisfait",5,""))))))</f>
        <v/>
      </c>
      <c r="P818" s="12">
        <f>IF(Raw_Data!AL821&lt;&gt;"",Raw_Data!AL821,Raw_Data!R821)</f>
        <v>0</v>
      </c>
      <c r="Q818" s="12">
        <f t="shared" si="110"/>
        <v>0</v>
      </c>
      <c r="R818" s="12" t="str">
        <f>IF(Raw_Data!AM821="","",Raw_Data!AM821)</f>
        <v/>
      </c>
      <c r="S818" s="12" t="str">
        <f t="shared" si="111"/>
        <v/>
      </c>
      <c r="T818" s="12" t="str">
        <f>IF(Raw_Data!AN821="","",Raw_Data!AN821)</f>
        <v/>
      </c>
      <c r="U818" s="12" t="str">
        <f t="shared" si="112"/>
        <v/>
      </c>
      <c r="V818" s="12" t="str">
        <f>IF(Raw_Data!AP821="","",IF(Raw_Data!AP821="oui",1,0))</f>
        <v/>
      </c>
      <c r="W818" s="12" t="str">
        <f>IF(Raw_Data!AQ821="","",IF(Raw_Data!AQ821="oui",1,0))</f>
        <v/>
      </c>
      <c r="X818" s="12" t="str">
        <f>IF(Raw_Data!AR821="","",IF(Raw_Data!AR821="oui",1,0))</f>
        <v/>
      </c>
      <c r="Y818" s="12" t="str">
        <f>IF(Raw_Data!AS821="","",IF(Raw_Data!AS821="oui",1,0))</f>
        <v/>
      </c>
      <c r="Z818" s="12" t="str">
        <f>IF(Raw_Data!V821="","",IF(Raw_Data!V821="oui",1,0))</f>
        <v/>
      </c>
      <c r="AA818" s="12" t="str">
        <f>IF(Raw_Data!W821="","",IF(Raw_Data!W821="oui",1,0))</f>
        <v/>
      </c>
      <c r="AB818" s="12" t="str">
        <f>IF(Raw_Data!Q821="","",IF(Raw_Data!Q821="oui",1,0))</f>
        <v/>
      </c>
      <c r="AC818" s="12">
        <f>Raw_Data!AF821</f>
        <v>0</v>
      </c>
      <c r="AD818" s="12" t="str">
        <f t="shared" si="113"/>
        <v/>
      </c>
      <c r="AE818" s="12" t="str">
        <f t="shared" si="114"/>
        <v/>
      </c>
      <c r="AF818" s="12" t="str">
        <f t="shared" si="115"/>
        <v/>
      </c>
      <c r="AG818" s="12">
        <f t="shared" si="116"/>
        <v>0</v>
      </c>
    </row>
    <row r="819" spans="1:33" ht="15" customHeight="1" x14ac:dyDescent="0.25">
      <c r="A819" s="12" t="str">
        <f>IF(Raw_Data!B822="","",Raw_Data!B822)</f>
        <v/>
      </c>
      <c r="B819" s="12">
        <f>IF(Raw_Data!X822&lt;&gt;"",Raw_Data!X822,Raw_Data!C822)</f>
        <v>0</v>
      </c>
      <c r="C819" s="12" t="str">
        <f>IF(Raw_Data!G822="","",Raw_Data!G822)</f>
        <v/>
      </c>
      <c r="D819" s="12" t="str">
        <f>IF(Raw_Data!H822="","",Raw_Data!H822)</f>
        <v/>
      </c>
      <c r="E819" s="12" t="str">
        <f>IF(Raw_Data!I822="","",Raw_Data!I822)</f>
        <v/>
      </c>
      <c r="F819" s="12" t="str">
        <f>IF(Raw_Data!J822="","",Raw_Data!J822)</f>
        <v/>
      </c>
      <c r="G819" s="12" t="str">
        <f>IF(Raw_Data!AH822&lt;&gt;"",Raw_Data!AH822,IF(Raw_Data!K822&lt;&gt;"",Raw_Data!K822,""))</f>
        <v/>
      </c>
      <c r="H819" s="12" t="str">
        <f>IF(Raw_Data!AI822&lt;&gt;"",Raw_Data!AI822,IF(Raw_Data!L822&lt;&gt;"",Raw_Data!L822,""))</f>
        <v/>
      </c>
      <c r="I819" s="12" t="str">
        <f t="shared" si="108"/>
        <v/>
      </c>
      <c r="J819" s="12" t="str">
        <f>IF(Raw_Data!M822="","",Raw_Data!M822)</f>
        <v/>
      </c>
      <c r="K819" s="12">
        <f>IF(Raw_Data!AJ822&lt;&gt;"",Raw_Data!AJ822,Raw_Data!N822)</f>
        <v>0</v>
      </c>
      <c r="L819" s="12">
        <f t="shared" si="109"/>
        <v>1</v>
      </c>
      <c r="M819" s="12" t="str">
        <f>IF(Raw_Data!AK822="","",Raw_Data!AK822)</f>
        <v/>
      </c>
      <c r="N819" s="12" t="str">
        <f>IF(Raw_Data!T822="","",Raw_Data!T822)</f>
        <v/>
      </c>
      <c r="O819" s="12" t="str">
        <f>IF(Raw_Data!AB822&lt;&gt;"",Raw_Data!AB822,IF(N819="tres_insatisfait",1,IF(N819="insatisfait",2,IF(N819="neutre",3,IF(N819="satisfait",4,IF(N819="tres_satisfait",5,""))))))</f>
        <v/>
      </c>
      <c r="P819" s="12">
        <f>IF(Raw_Data!AL822&lt;&gt;"",Raw_Data!AL822,Raw_Data!R822)</f>
        <v>0</v>
      </c>
      <c r="Q819" s="12">
        <f t="shared" si="110"/>
        <v>0</v>
      </c>
      <c r="R819" s="12" t="str">
        <f>IF(Raw_Data!AM822="","",Raw_Data!AM822)</f>
        <v/>
      </c>
      <c r="S819" s="12" t="str">
        <f t="shared" si="111"/>
        <v/>
      </c>
      <c r="T819" s="12" t="str">
        <f>IF(Raw_Data!AN822="","",Raw_Data!AN822)</f>
        <v/>
      </c>
      <c r="U819" s="12" t="str">
        <f t="shared" si="112"/>
        <v/>
      </c>
      <c r="V819" s="12" t="str">
        <f>IF(Raw_Data!AP822="","",IF(Raw_Data!AP822="oui",1,0))</f>
        <v/>
      </c>
      <c r="W819" s="12" t="str">
        <f>IF(Raw_Data!AQ822="","",IF(Raw_Data!AQ822="oui",1,0))</f>
        <v/>
      </c>
      <c r="X819" s="12" t="str">
        <f>IF(Raw_Data!AR822="","",IF(Raw_Data!AR822="oui",1,0))</f>
        <v/>
      </c>
      <c r="Y819" s="12" t="str">
        <f>IF(Raw_Data!AS822="","",IF(Raw_Data!AS822="oui",1,0))</f>
        <v/>
      </c>
      <c r="Z819" s="12" t="str">
        <f>IF(Raw_Data!V822="","",IF(Raw_Data!V822="oui",1,0))</f>
        <v/>
      </c>
      <c r="AA819" s="12" t="str">
        <f>IF(Raw_Data!W822="","",IF(Raw_Data!W822="oui",1,0))</f>
        <v/>
      </c>
      <c r="AB819" s="12" t="str">
        <f>IF(Raw_Data!Q822="","",IF(Raw_Data!Q822="oui",1,0))</f>
        <v/>
      </c>
      <c r="AC819" s="12">
        <f>Raw_Data!AF822</f>
        <v>0</v>
      </c>
      <c r="AD819" s="12" t="str">
        <f t="shared" si="113"/>
        <v/>
      </c>
      <c r="AE819" s="12" t="str">
        <f t="shared" si="114"/>
        <v/>
      </c>
      <c r="AF819" s="12" t="str">
        <f t="shared" si="115"/>
        <v/>
      </c>
      <c r="AG819" s="12">
        <f t="shared" si="116"/>
        <v>0</v>
      </c>
    </row>
    <row r="820" spans="1:33" ht="15" customHeight="1" x14ac:dyDescent="0.25">
      <c r="A820" s="12" t="str">
        <f>IF(Raw_Data!B823="","",Raw_Data!B823)</f>
        <v/>
      </c>
      <c r="B820" s="12">
        <f>IF(Raw_Data!X823&lt;&gt;"",Raw_Data!X823,Raw_Data!C823)</f>
        <v>0</v>
      </c>
      <c r="C820" s="12" t="str">
        <f>IF(Raw_Data!G823="","",Raw_Data!G823)</f>
        <v/>
      </c>
      <c r="D820" s="12" t="str">
        <f>IF(Raw_Data!H823="","",Raw_Data!H823)</f>
        <v/>
      </c>
      <c r="E820" s="12" t="str">
        <f>IF(Raw_Data!I823="","",Raw_Data!I823)</f>
        <v/>
      </c>
      <c r="F820" s="12" t="str">
        <f>IF(Raw_Data!J823="","",Raw_Data!J823)</f>
        <v/>
      </c>
      <c r="G820" s="12" t="str">
        <f>IF(Raw_Data!AH823&lt;&gt;"",Raw_Data!AH823,IF(Raw_Data!K823&lt;&gt;"",Raw_Data!K823,""))</f>
        <v/>
      </c>
      <c r="H820" s="12" t="str">
        <f>IF(Raw_Data!AI823&lt;&gt;"",Raw_Data!AI823,IF(Raw_Data!L823&lt;&gt;"",Raw_Data!L823,""))</f>
        <v/>
      </c>
      <c r="I820" s="12" t="str">
        <f t="shared" si="108"/>
        <v/>
      </c>
      <c r="J820" s="12" t="str">
        <f>IF(Raw_Data!M823="","",Raw_Data!M823)</f>
        <v/>
      </c>
      <c r="K820" s="12">
        <f>IF(Raw_Data!AJ823&lt;&gt;"",Raw_Data!AJ823,Raw_Data!N823)</f>
        <v>0</v>
      </c>
      <c r="L820" s="12">
        <f t="shared" si="109"/>
        <v>1</v>
      </c>
      <c r="M820" s="12" t="str">
        <f>IF(Raw_Data!AK823="","",Raw_Data!AK823)</f>
        <v/>
      </c>
      <c r="N820" s="12" t="str">
        <f>IF(Raw_Data!T823="","",Raw_Data!T823)</f>
        <v/>
      </c>
      <c r="O820" s="12" t="str">
        <f>IF(Raw_Data!AB823&lt;&gt;"",Raw_Data!AB823,IF(N820="tres_insatisfait",1,IF(N820="insatisfait",2,IF(N820="neutre",3,IF(N820="satisfait",4,IF(N820="tres_satisfait",5,""))))))</f>
        <v/>
      </c>
      <c r="P820" s="12">
        <f>IF(Raw_Data!AL823&lt;&gt;"",Raw_Data!AL823,Raw_Data!R823)</f>
        <v>0</v>
      </c>
      <c r="Q820" s="12">
        <f t="shared" si="110"/>
        <v>0</v>
      </c>
      <c r="R820" s="12" t="str">
        <f>IF(Raw_Data!AM823="","",Raw_Data!AM823)</f>
        <v/>
      </c>
      <c r="S820" s="12" t="str">
        <f t="shared" si="111"/>
        <v/>
      </c>
      <c r="T820" s="12" t="str">
        <f>IF(Raw_Data!AN823="","",Raw_Data!AN823)</f>
        <v/>
      </c>
      <c r="U820" s="12" t="str">
        <f t="shared" si="112"/>
        <v/>
      </c>
      <c r="V820" s="12" t="str">
        <f>IF(Raw_Data!AP823="","",IF(Raw_Data!AP823="oui",1,0))</f>
        <v/>
      </c>
      <c r="W820" s="12" t="str">
        <f>IF(Raw_Data!AQ823="","",IF(Raw_Data!AQ823="oui",1,0))</f>
        <v/>
      </c>
      <c r="X820" s="12" t="str">
        <f>IF(Raw_Data!AR823="","",IF(Raw_Data!AR823="oui",1,0))</f>
        <v/>
      </c>
      <c r="Y820" s="12" t="str">
        <f>IF(Raw_Data!AS823="","",IF(Raw_Data!AS823="oui",1,0))</f>
        <v/>
      </c>
      <c r="Z820" s="12" t="str">
        <f>IF(Raw_Data!V823="","",IF(Raw_Data!V823="oui",1,0))</f>
        <v/>
      </c>
      <c r="AA820" s="12" t="str">
        <f>IF(Raw_Data!W823="","",IF(Raw_Data!W823="oui",1,0))</f>
        <v/>
      </c>
      <c r="AB820" s="12" t="str">
        <f>IF(Raw_Data!Q823="","",IF(Raw_Data!Q823="oui",1,0))</f>
        <v/>
      </c>
      <c r="AC820" s="12">
        <f>Raw_Data!AF823</f>
        <v>0</v>
      </c>
      <c r="AD820" s="12" t="str">
        <f t="shared" si="113"/>
        <v/>
      </c>
      <c r="AE820" s="12" t="str">
        <f t="shared" si="114"/>
        <v/>
      </c>
      <c r="AF820" s="12" t="str">
        <f t="shared" si="115"/>
        <v/>
      </c>
      <c r="AG820" s="12">
        <f t="shared" si="116"/>
        <v>0</v>
      </c>
    </row>
    <row r="821" spans="1:33" ht="15" customHeight="1" x14ac:dyDescent="0.25">
      <c r="A821" s="12" t="str">
        <f>IF(Raw_Data!B824="","",Raw_Data!B824)</f>
        <v/>
      </c>
      <c r="B821" s="12">
        <f>IF(Raw_Data!X824&lt;&gt;"",Raw_Data!X824,Raw_Data!C824)</f>
        <v>0</v>
      </c>
      <c r="C821" s="12" t="str">
        <f>IF(Raw_Data!G824="","",Raw_Data!G824)</f>
        <v/>
      </c>
      <c r="D821" s="12" t="str">
        <f>IF(Raw_Data!H824="","",Raw_Data!H824)</f>
        <v/>
      </c>
      <c r="E821" s="12" t="str">
        <f>IF(Raw_Data!I824="","",Raw_Data!I824)</f>
        <v/>
      </c>
      <c r="F821" s="12" t="str">
        <f>IF(Raw_Data!J824="","",Raw_Data!J824)</f>
        <v/>
      </c>
      <c r="G821" s="12" t="str">
        <f>IF(Raw_Data!AH824&lt;&gt;"",Raw_Data!AH824,IF(Raw_Data!K824&lt;&gt;"",Raw_Data!K824,""))</f>
        <v/>
      </c>
      <c r="H821" s="12" t="str">
        <f>IF(Raw_Data!AI824&lt;&gt;"",Raw_Data!AI824,IF(Raw_Data!L824&lt;&gt;"",Raw_Data!L824,""))</f>
        <v/>
      </c>
      <c r="I821" s="12" t="str">
        <f t="shared" si="108"/>
        <v/>
      </c>
      <c r="J821" s="12" t="str">
        <f>IF(Raw_Data!M824="","",Raw_Data!M824)</f>
        <v/>
      </c>
      <c r="K821" s="12">
        <f>IF(Raw_Data!AJ824&lt;&gt;"",Raw_Data!AJ824,Raw_Data!N824)</f>
        <v>0</v>
      </c>
      <c r="L821" s="12">
        <f t="shared" si="109"/>
        <v>1</v>
      </c>
      <c r="M821" s="12" t="str">
        <f>IF(Raw_Data!AK824="","",Raw_Data!AK824)</f>
        <v/>
      </c>
      <c r="N821" s="12" t="str">
        <f>IF(Raw_Data!T824="","",Raw_Data!T824)</f>
        <v/>
      </c>
      <c r="O821" s="12" t="str">
        <f>IF(Raw_Data!AB824&lt;&gt;"",Raw_Data!AB824,IF(N821="tres_insatisfait",1,IF(N821="insatisfait",2,IF(N821="neutre",3,IF(N821="satisfait",4,IF(N821="tres_satisfait",5,""))))))</f>
        <v/>
      </c>
      <c r="P821" s="12">
        <f>IF(Raw_Data!AL824&lt;&gt;"",Raw_Data!AL824,Raw_Data!R824)</f>
        <v>0</v>
      </c>
      <c r="Q821" s="12">
        <f t="shared" si="110"/>
        <v>0</v>
      </c>
      <c r="R821" s="12" t="str">
        <f>IF(Raw_Data!AM824="","",Raw_Data!AM824)</f>
        <v/>
      </c>
      <c r="S821" s="12" t="str">
        <f t="shared" si="111"/>
        <v/>
      </c>
      <c r="T821" s="12" t="str">
        <f>IF(Raw_Data!AN824="","",Raw_Data!AN824)</f>
        <v/>
      </c>
      <c r="U821" s="12" t="str">
        <f t="shared" si="112"/>
        <v/>
      </c>
      <c r="V821" s="12" t="str">
        <f>IF(Raw_Data!AP824="","",IF(Raw_Data!AP824="oui",1,0))</f>
        <v/>
      </c>
      <c r="W821" s="12" t="str">
        <f>IF(Raw_Data!AQ824="","",IF(Raw_Data!AQ824="oui",1,0))</f>
        <v/>
      </c>
      <c r="X821" s="12" t="str">
        <f>IF(Raw_Data!AR824="","",IF(Raw_Data!AR824="oui",1,0))</f>
        <v/>
      </c>
      <c r="Y821" s="12" t="str">
        <f>IF(Raw_Data!AS824="","",IF(Raw_Data!AS824="oui",1,0))</f>
        <v/>
      </c>
      <c r="Z821" s="12" t="str">
        <f>IF(Raw_Data!V824="","",IF(Raw_Data!V824="oui",1,0))</f>
        <v/>
      </c>
      <c r="AA821" s="12" t="str">
        <f>IF(Raw_Data!W824="","",IF(Raw_Data!W824="oui",1,0))</f>
        <v/>
      </c>
      <c r="AB821" s="12" t="str">
        <f>IF(Raw_Data!Q824="","",IF(Raw_Data!Q824="oui",1,0))</f>
        <v/>
      </c>
      <c r="AC821" s="12">
        <f>Raw_Data!AF824</f>
        <v>0</v>
      </c>
      <c r="AD821" s="12" t="str">
        <f t="shared" si="113"/>
        <v/>
      </c>
      <c r="AE821" s="12" t="str">
        <f t="shared" si="114"/>
        <v/>
      </c>
      <c r="AF821" s="12" t="str">
        <f t="shared" si="115"/>
        <v/>
      </c>
      <c r="AG821" s="12">
        <f t="shared" si="116"/>
        <v>0</v>
      </c>
    </row>
    <row r="822" spans="1:33" ht="15" customHeight="1" x14ac:dyDescent="0.25">
      <c r="A822" s="12" t="str">
        <f>IF(Raw_Data!B825="","",Raw_Data!B825)</f>
        <v/>
      </c>
      <c r="B822" s="12">
        <f>IF(Raw_Data!X825&lt;&gt;"",Raw_Data!X825,Raw_Data!C825)</f>
        <v>0</v>
      </c>
      <c r="C822" s="12" t="str">
        <f>IF(Raw_Data!G825="","",Raw_Data!G825)</f>
        <v/>
      </c>
      <c r="D822" s="12" t="str">
        <f>IF(Raw_Data!H825="","",Raw_Data!H825)</f>
        <v/>
      </c>
      <c r="E822" s="12" t="str">
        <f>IF(Raw_Data!I825="","",Raw_Data!I825)</f>
        <v/>
      </c>
      <c r="F822" s="12" t="str">
        <f>IF(Raw_Data!J825="","",Raw_Data!J825)</f>
        <v/>
      </c>
      <c r="G822" s="12" t="str">
        <f>IF(Raw_Data!AH825&lt;&gt;"",Raw_Data!AH825,IF(Raw_Data!K825&lt;&gt;"",Raw_Data!K825,""))</f>
        <v/>
      </c>
      <c r="H822" s="12" t="str">
        <f>IF(Raw_Data!AI825&lt;&gt;"",Raw_Data!AI825,IF(Raw_Data!L825&lt;&gt;"",Raw_Data!L825,""))</f>
        <v/>
      </c>
      <c r="I822" s="12" t="str">
        <f t="shared" si="108"/>
        <v/>
      </c>
      <c r="J822" s="12" t="str">
        <f>IF(Raw_Data!M825="","",Raw_Data!M825)</f>
        <v/>
      </c>
      <c r="K822" s="12">
        <f>IF(Raw_Data!AJ825&lt;&gt;"",Raw_Data!AJ825,Raw_Data!N825)</f>
        <v>0</v>
      </c>
      <c r="L822" s="12">
        <f t="shared" si="109"/>
        <v>1</v>
      </c>
      <c r="M822" s="12" t="str">
        <f>IF(Raw_Data!AK825="","",Raw_Data!AK825)</f>
        <v/>
      </c>
      <c r="N822" s="12" t="str">
        <f>IF(Raw_Data!T825="","",Raw_Data!T825)</f>
        <v/>
      </c>
      <c r="O822" s="12" t="str">
        <f>IF(Raw_Data!AB825&lt;&gt;"",Raw_Data!AB825,IF(N822="tres_insatisfait",1,IF(N822="insatisfait",2,IF(N822="neutre",3,IF(N822="satisfait",4,IF(N822="tres_satisfait",5,""))))))</f>
        <v/>
      </c>
      <c r="P822" s="12">
        <f>IF(Raw_Data!AL825&lt;&gt;"",Raw_Data!AL825,Raw_Data!R825)</f>
        <v>0</v>
      </c>
      <c r="Q822" s="12">
        <f t="shared" si="110"/>
        <v>0</v>
      </c>
      <c r="R822" s="12" t="str">
        <f>IF(Raw_Data!AM825="","",Raw_Data!AM825)</f>
        <v/>
      </c>
      <c r="S822" s="12" t="str">
        <f t="shared" si="111"/>
        <v/>
      </c>
      <c r="T822" s="12" t="str">
        <f>IF(Raw_Data!AN825="","",Raw_Data!AN825)</f>
        <v/>
      </c>
      <c r="U822" s="12" t="str">
        <f t="shared" si="112"/>
        <v/>
      </c>
      <c r="V822" s="12" t="str">
        <f>IF(Raw_Data!AP825="","",IF(Raw_Data!AP825="oui",1,0))</f>
        <v/>
      </c>
      <c r="W822" s="12" t="str">
        <f>IF(Raw_Data!AQ825="","",IF(Raw_Data!AQ825="oui",1,0))</f>
        <v/>
      </c>
      <c r="X822" s="12" t="str">
        <f>IF(Raw_Data!AR825="","",IF(Raw_Data!AR825="oui",1,0))</f>
        <v/>
      </c>
      <c r="Y822" s="12" t="str">
        <f>IF(Raw_Data!AS825="","",IF(Raw_Data!AS825="oui",1,0))</f>
        <v/>
      </c>
      <c r="Z822" s="12" t="str">
        <f>IF(Raw_Data!V825="","",IF(Raw_Data!V825="oui",1,0))</f>
        <v/>
      </c>
      <c r="AA822" s="12" t="str">
        <f>IF(Raw_Data!W825="","",IF(Raw_Data!W825="oui",1,0))</f>
        <v/>
      </c>
      <c r="AB822" s="12" t="str">
        <f>IF(Raw_Data!Q825="","",IF(Raw_Data!Q825="oui",1,0))</f>
        <v/>
      </c>
      <c r="AC822" s="12">
        <f>Raw_Data!AF825</f>
        <v>0</v>
      </c>
      <c r="AD822" s="12" t="str">
        <f t="shared" si="113"/>
        <v/>
      </c>
      <c r="AE822" s="12" t="str">
        <f t="shared" si="114"/>
        <v/>
      </c>
      <c r="AF822" s="12" t="str">
        <f t="shared" si="115"/>
        <v/>
      </c>
      <c r="AG822" s="12">
        <f t="shared" si="116"/>
        <v>0</v>
      </c>
    </row>
    <row r="823" spans="1:33" ht="15" customHeight="1" x14ac:dyDescent="0.25">
      <c r="A823" s="12" t="str">
        <f>IF(Raw_Data!B826="","",Raw_Data!B826)</f>
        <v/>
      </c>
      <c r="B823" s="12">
        <f>IF(Raw_Data!X826&lt;&gt;"",Raw_Data!X826,Raw_Data!C826)</f>
        <v>0</v>
      </c>
      <c r="C823" s="12" t="str">
        <f>IF(Raw_Data!G826="","",Raw_Data!G826)</f>
        <v/>
      </c>
      <c r="D823" s="12" t="str">
        <f>IF(Raw_Data!H826="","",Raw_Data!H826)</f>
        <v/>
      </c>
      <c r="E823" s="12" t="str">
        <f>IF(Raw_Data!I826="","",Raw_Data!I826)</f>
        <v/>
      </c>
      <c r="F823" s="12" t="str">
        <f>IF(Raw_Data!J826="","",Raw_Data!J826)</f>
        <v/>
      </c>
      <c r="G823" s="12" t="str">
        <f>IF(Raw_Data!AH826&lt;&gt;"",Raw_Data!AH826,IF(Raw_Data!K826&lt;&gt;"",Raw_Data!K826,""))</f>
        <v/>
      </c>
      <c r="H823" s="12" t="str">
        <f>IF(Raw_Data!AI826&lt;&gt;"",Raw_Data!AI826,IF(Raw_Data!L826&lt;&gt;"",Raw_Data!L826,""))</f>
        <v/>
      </c>
      <c r="I823" s="12" t="str">
        <f t="shared" si="108"/>
        <v/>
      </c>
      <c r="J823" s="12" t="str">
        <f>IF(Raw_Data!M826="","",Raw_Data!M826)</f>
        <v/>
      </c>
      <c r="K823" s="12">
        <f>IF(Raw_Data!AJ826&lt;&gt;"",Raw_Data!AJ826,Raw_Data!N826)</f>
        <v>0</v>
      </c>
      <c r="L823" s="12">
        <f t="shared" si="109"/>
        <v>1</v>
      </c>
      <c r="M823" s="12" t="str">
        <f>IF(Raw_Data!AK826="","",Raw_Data!AK826)</f>
        <v/>
      </c>
      <c r="N823" s="12" t="str">
        <f>IF(Raw_Data!T826="","",Raw_Data!T826)</f>
        <v/>
      </c>
      <c r="O823" s="12" t="str">
        <f>IF(Raw_Data!AB826&lt;&gt;"",Raw_Data!AB826,IF(N823="tres_insatisfait",1,IF(N823="insatisfait",2,IF(N823="neutre",3,IF(N823="satisfait",4,IF(N823="tres_satisfait",5,""))))))</f>
        <v/>
      </c>
      <c r="P823" s="12">
        <f>IF(Raw_Data!AL826&lt;&gt;"",Raw_Data!AL826,Raw_Data!R826)</f>
        <v>0</v>
      </c>
      <c r="Q823" s="12">
        <f t="shared" si="110"/>
        <v>0</v>
      </c>
      <c r="R823" s="12" t="str">
        <f>IF(Raw_Data!AM826="","",Raw_Data!AM826)</f>
        <v/>
      </c>
      <c r="S823" s="12" t="str">
        <f t="shared" si="111"/>
        <v/>
      </c>
      <c r="T823" s="12" t="str">
        <f>IF(Raw_Data!AN826="","",Raw_Data!AN826)</f>
        <v/>
      </c>
      <c r="U823" s="12" t="str">
        <f t="shared" si="112"/>
        <v/>
      </c>
      <c r="V823" s="12" t="str">
        <f>IF(Raw_Data!AP826="","",IF(Raw_Data!AP826="oui",1,0))</f>
        <v/>
      </c>
      <c r="W823" s="12" t="str">
        <f>IF(Raw_Data!AQ826="","",IF(Raw_Data!AQ826="oui",1,0))</f>
        <v/>
      </c>
      <c r="X823" s="12" t="str">
        <f>IF(Raw_Data!AR826="","",IF(Raw_Data!AR826="oui",1,0))</f>
        <v/>
      </c>
      <c r="Y823" s="12" t="str">
        <f>IF(Raw_Data!AS826="","",IF(Raw_Data!AS826="oui",1,0))</f>
        <v/>
      </c>
      <c r="Z823" s="12" t="str">
        <f>IF(Raw_Data!V826="","",IF(Raw_Data!V826="oui",1,0))</f>
        <v/>
      </c>
      <c r="AA823" s="12" t="str">
        <f>IF(Raw_Data!W826="","",IF(Raw_Data!W826="oui",1,0))</f>
        <v/>
      </c>
      <c r="AB823" s="12" t="str">
        <f>IF(Raw_Data!Q826="","",IF(Raw_Data!Q826="oui",1,0))</f>
        <v/>
      </c>
      <c r="AC823" s="12">
        <f>Raw_Data!AF826</f>
        <v>0</v>
      </c>
      <c r="AD823" s="12" t="str">
        <f t="shared" si="113"/>
        <v/>
      </c>
      <c r="AE823" s="12" t="str">
        <f t="shared" si="114"/>
        <v/>
      </c>
      <c r="AF823" s="12" t="str">
        <f t="shared" si="115"/>
        <v/>
      </c>
      <c r="AG823" s="12">
        <f t="shared" si="116"/>
        <v>0</v>
      </c>
    </row>
    <row r="824" spans="1:33" ht="15" customHeight="1" x14ac:dyDescent="0.25">
      <c r="A824" s="12" t="str">
        <f>IF(Raw_Data!B827="","",Raw_Data!B827)</f>
        <v/>
      </c>
      <c r="B824" s="12">
        <f>IF(Raw_Data!X827&lt;&gt;"",Raw_Data!X827,Raw_Data!C827)</f>
        <v>0</v>
      </c>
      <c r="C824" s="12" t="str">
        <f>IF(Raw_Data!G827="","",Raw_Data!G827)</f>
        <v/>
      </c>
      <c r="D824" s="12" t="str">
        <f>IF(Raw_Data!H827="","",Raw_Data!H827)</f>
        <v/>
      </c>
      <c r="E824" s="12" t="str">
        <f>IF(Raw_Data!I827="","",Raw_Data!I827)</f>
        <v/>
      </c>
      <c r="F824" s="12" t="str">
        <f>IF(Raw_Data!J827="","",Raw_Data!J827)</f>
        <v/>
      </c>
      <c r="G824" s="12" t="str">
        <f>IF(Raw_Data!AH827&lt;&gt;"",Raw_Data!AH827,IF(Raw_Data!K827&lt;&gt;"",Raw_Data!K827,""))</f>
        <v/>
      </c>
      <c r="H824" s="12" t="str">
        <f>IF(Raw_Data!AI827&lt;&gt;"",Raw_Data!AI827,IF(Raw_Data!L827&lt;&gt;"",Raw_Data!L827,""))</f>
        <v/>
      </c>
      <c r="I824" s="12" t="str">
        <f t="shared" si="108"/>
        <v/>
      </c>
      <c r="J824" s="12" t="str">
        <f>IF(Raw_Data!M827="","",Raw_Data!M827)</f>
        <v/>
      </c>
      <c r="K824" s="12">
        <f>IF(Raw_Data!AJ827&lt;&gt;"",Raw_Data!AJ827,Raw_Data!N827)</f>
        <v>0</v>
      </c>
      <c r="L824" s="12">
        <f t="shared" si="109"/>
        <v>1</v>
      </c>
      <c r="M824" s="12" t="str">
        <f>IF(Raw_Data!AK827="","",Raw_Data!AK827)</f>
        <v/>
      </c>
      <c r="N824" s="12" t="str">
        <f>IF(Raw_Data!T827="","",Raw_Data!T827)</f>
        <v/>
      </c>
      <c r="O824" s="12" t="str">
        <f>IF(Raw_Data!AB827&lt;&gt;"",Raw_Data!AB827,IF(N824="tres_insatisfait",1,IF(N824="insatisfait",2,IF(N824="neutre",3,IF(N824="satisfait",4,IF(N824="tres_satisfait",5,""))))))</f>
        <v/>
      </c>
      <c r="P824" s="12">
        <f>IF(Raw_Data!AL827&lt;&gt;"",Raw_Data!AL827,Raw_Data!R827)</f>
        <v>0</v>
      </c>
      <c r="Q824" s="12">
        <f t="shared" si="110"/>
        <v>0</v>
      </c>
      <c r="R824" s="12" t="str">
        <f>IF(Raw_Data!AM827="","",Raw_Data!AM827)</f>
        <v/>
      </c>
      <c r="S824" s="12" t="str">
        <f t="shared" si="111"/>
        <v/>
      </c>
      <c r="T824" s="12" t="str">
        <f>IF(Raw_Data!AN827="","",Raw_Data!AN827)</f>
        <v/>
      </c>
      <c r="U824" s="12" t="str">
        <f t="shared" si="112"/>
        <v/>
      </c>
      <c r="V824" s="12" t="str">
        <f>IF(Raw_Data!AP827="","",IF(Raw_Data!AP827="oui",1,0))</f>
        <v/>
      </c>
      <c r="W824" s="12" t="str">
        <f>IF(Raw_Data!AQ827="","",IF(Raw_Data!AQ827="oui",1,0))</f>
        <v/>
      </c>
      <c r="X824" s="12" t="str">
        <f>IF(Raw_Data!AR827="","",IF(Raw_Data!AR827="oui",1,0))</f>
        <v/>
      </c>
      <c r="Y824" s="12" t="str">
        <f>IF(Raw_Data!AS827="","",IF(Raw_Data!AS827="oui",1,0))</f>
        <v/>
      </c>
      <c r="Z824" s="12" t="str">
        <f>IF(Raw_Data!V827="","",IF(Raw_Data!V827="oui",1,0))</f>
        <v/>
      </c>
      <c r="AA824" s="12" t="str">
        <f>IF(Raw_Data!W827="","",IF(Raw_Data!W827="oui",1,0))</f>
        <v/>
      </c>
      <c r="AB824" s="12" t="str">
        <f>IF(Raw_Data!Q827="","",IF(Raw_Data!Q827="oui",1,0))</f>
        <v/>
      </c>
      <c r="AC824" s="12">
        <f>Raw_Data!AF827</f>
        <v>0</v>
      </c>
      <c r="AD824" s="12" t="str">
        <f t="shared" si="113"/>
        <v/>
      </c>
      <c r="AE824" s="12" t="str">
        <f t="shared" si="114"/>
        <v/>
      </c>
      <c r="AF824" s="12" t="str">
        <f t="shared" si="115"/>
        <v/>
      </c>
      <c r="AG824" s="12">
        <f t="shared" si="116"/>
        <v>0</v>
      </c>
    </row>
    <row r="825" spans="1:33" ht="15" customHeight="1" x14ac:dyDescent="0.25">
      <c r="A825" s="12" t="str">
        <f>IF(Raw_Data!B828="","",Raw_Data!B828)</f>
        <v/>
      </c>
      <c r="B825" s="12">
        <f>IF(Raw_Data!X828&lt;&gt;"",Raw_Data!X828,Raw_Data!C828)</f>
        <v>0</v>
      </c>
      <c r="C825" s="12" t="str">
        <f>IF(Raw_Data!G828="","",Raw_Data!G828)</f>
        <v/>
      </c>
      <c r="D825" s="12" t="str">
        <f>IF(Raw_Data!H828="","",Raw_Data!H828)</f>
        <v/>
      </c>
      <c r="E825" s="12" t="str">
        <f>IF(Raw_Data!I828="","",Raw_Data!I828)</f>
        <v/>
      </c>
      <c r="F825" s="12" t="str">
        <f>IF(Raw_Data!J828="","",Raw_Data!J828)</f>
        <v/>
      </c>
      <c r="G825" s="12" t="str">
        <f>IF(Raw_Data!AH828&lt;&gt;"",Raw_Data!AH828,IF(Raw_Data!K828&lt;&gt;"",Raw_Data!K828,""))</f>
        <v/>
      </c>
      <c r="H825" s="12" t="str">
        <f>IF(Raw_Data!AI828&lt;&gt;"",Raw_Data!AI828,IF(Raw_Data!L828&lt;&gt;"",Raw_Data!L828,""))</f>
        <v/>
      </c>
      <c r="I825" s="12" t="str">
        <f t="shared" si="108"/>
        <v/>
      </c>
      <c r="J825" s="12" t="str">
        <f>IF(Raw_Data!M828="","",Raw_Data!M828)</f>
        <v/>
      </c>
      <c r="K825" s="12">
        <f>IF(Raw_Data!AJ828&lt;&gt;"",Raw_Data!AJ828,Raw_Data!N828)</f>
        <v>0</v>
      </c>
      <c r="L825" s="12">
        <f t="shared" si="109"/>
        <v>1</v>
      </c>
      <c r="M825" s="12" t="str">
        <f>IF(Raw_Data!AK828="","",Raw_Data!AK828)</f>
        <v/>
      </c>
      <c r="N825" s="12" t="str">
        <f>IF(Raw_Data!T828="","",Raw_Data!T828)</f>
        <v/>
      </c>
      <c r="O825" s="12" t="str">
        <f>IF(Raw_Data!AB828&lt;&gt;"",Raw_Data!AB828,IF(N825="tres_insatisfait",1,IF(N825="insatisfait",2,IF(N825="neutre",3,IF(N825="satisfait",4,IF(N825="tres_satisfait",5,""))))))</f>
        <v/>
      </c>
      <c r="P825" s="12">
        <f>IF(Raw_Data!AL828&lt;&gt;"",Raw_Data!AL828,Raw_Data!R828)</f>
        <v>0</v>
      </c>
      <c r="Q825" s="12">
        <f t="shared" si="110"/>
        <v>0</v>
      </c>
      <c r="R825" s="12" t="str">
        <f>IF(Raw_Data!AM828="","",Raw_Data!AM828)</f>
        <v/>
      </c>
      <c r="S825" s="12" t="str">
        <f t="shared" si="111"/>
        <v/>
      </c>
      <c r="T825" s="12" t="str">
        <f>IF(Raw_Data!AN828="","",Raw_Data!AN828)</f>
        <v/>
      </c>
      <c r="U825" s="12" t="str">
        <f t="shared" si="112"/>
        <v/>
      </c>
      <c r="V825" s="12" t="str">
        <f>IF(Raw_Data!AP828="","",IF(Raw_Data!AP828="oui",1,0))</f>
        <v/>
      </c>
      <c r="W825" s="12" t="str">
        <f>IF(Raw_Data!AQ828="","",IF(Raw_Data!AQ828="oui",1,0))</f>
        <v/>
      </c>
      <c r="X825" s="12" t="str">
        <f>IF(Raw_Data!AR828="","",IF(Raw_Data!AR828="oui",1,0))</f>
        <v/>
      </c>
      <c r="Y825" s="12" t="str">
        <f>IF(Raw_Data!AS828="","",IF(Raw_Data!AS828="oui",1,0))</f>
        <v/>
      </c>
      <c r="Z825" s="12" t="str">
        <f>IF(Raw_Data!V828="","",IF(Raw_Data!V828="oui",1,0))</f>
        <v/>
      </c>
      <c r="AA825" s="12" t="str">
        <f>IF(Raw_Data!W828="","",IF(Raw_Data!W828="oui",1,0))</f>
        <v/>
      </c>
      <c r="AB825" s="12" t="str">
        <f>IF(Raw_Data!Q828="","",IF(Raw_Data!Q828="oui",1,0))</f>
        <v/>
      </c>
      <c r="AC825" s="12">
        <f>Raw_Data!AF828</f>
        <v>0</v>
      </c>
      <c r="AD825" s="12" t="str">
        <f t="shared" si="113"/>
        <v/>
      </c>
      <c r="AE825" s="12" t="str">
        <f t="shared" si="114"/>
        <v/>
      </c>
      <c r="AF825" s="12" t="str">
        <f t="shared" si="115"/>
        <v/>
      </c>
      <c r="AG825" s="12">
        <f t="shared" si="116"/>
        <v>0</v>
      </c>
    </row>
    <row r="826" spans="1:33" ht="15" customHeight="1" x14ac:dyDescent="0.25">
      <c r="A826" s="12" t="str">
        <f>IF(Raw_Data!B829="","",Raw_Data!B829)</f>
        <v/>
      </c>
      <c r="B826" s="12">
        <f>IF(Raw_Data!X829&lt;&gt;"",Raw_Data!X829,Raw_Data!C829)</f>
        <v>0</v>
      </c>
      <c r="C826" s="12" t="str">
        <f>IF(Raw_Data!G829="","",Raw_Data!G829)</f>
        <v/>
      </c>
      <c r="D826" s="12" t="str">
        <f>IF(Raw_Data!H829="","",Raw_Data!H829)</f>
        <v/>
      </c>
      <c r="E826" s="12" t="str">
        <f>IF(Raw_Data!I829="","",Raw_Data!I829)</f>
        <v/>
      </c>
      <c r="F826" s="12" t="str">
        <f>IF(Raw_Data!J829="","",Raw_Data!J829)</f>
        <v/>
      </c>
      <c r="G826" s="12" t="str">
        <f>IF(Raw_Data!AH829&lt;&gt;"",Raw_Data!AH829,IF(Raw_Data!K829&lt;&gt;"",Raw_Data!K829,""))</f>
        <v/>
      </c>
      <c r="H826" s="12" t="str">
        <f>IF(Raw_Data!AI829&lt;&gt;"",Raw_Data!AI829,IF(Raw_Data!L829&lt;&gt;"",Raw_Data!L829,""))</f>
        <v/>
      </c>
      <c r="I826" s="12" t="str">
        <f t="shared" si="108"/>
        <v/>
      </c>
      <c r="J826" s="12" t="str">
        <f>IF(Raw_Data!M829="","",Raw_Data!M829)</f>
        <v/>
      </c>
      <c r="K826" s="12">
        <f>IF(Raw_Data!AJ829&lt;&gt;"",Raw_Data!AJ829,Raw_Data!N829)</f>
        <v>0</v>
      </c>
      <c r="L826" s="12">
        <f t="shared" si="109"/>
        <v>1</v>
      </c>
      <c r="M826" s="12" t="str">
        <f>IF(Raw_Data!AK829="","",Raw_Data!AK829)</f>
        <v/>
      </c>
      <c r="N826" s="12" t="str">
        <f>IF(Raw_Data!T829="","",Raw_Data!T829)</f>
        <v/>
      </c>
      <c r="O826" s="12" t="str">
        <f>IF(Raw_Data!AB829&lt;&gt;"",Raw_Data!AB829,IF(N826="tres_insatisfait",1,IF(N826="insatisfait",2,IF(N826="neutre",3,IF(N826="satisfait",4,IF(N826="tres_satisfait",5,""))))))</f>
        <v/>
      </c>
      <c r="P826" s="12">
        <f>IF(Raw_Data!AL829&lt;&gt;"",Raw_Data!AL829,Raw_Data!R829)</f>
        <v>0</v>
      </c>
      <c r="Q826" s="12">
        <f t="shared" si="110"/>
        <v>0</v>
      </c>
      <c r="R826" s="12" t="str">
        <f>IF(Raw_Data!AM829="","",Raw_Data!AM829)</f>
        <v/>
      </c>
      <c r="S826" s="12" t="str">
        <f t="shared" si="111"/>
        <v/>
      </c>
      <c r="T826" s="12" t="str">
        <f>IF(Raw_Data!AN829="","",Raw_Data!AN829)</f>
        <v/>
      </c>
      <c r="U826" s="12" t="str">
        <f t="shared" si="112"/>
        <v/>
      </c>
      <c r="V826" s="12" t="str">
        <f>IF(Raw_Data!AP829="","",IF(Raw_Data!AP829="oui",1,0))</f>
        <v/>
      </c>
      <c r="W826" s="12" t="str">
        <f>IF(Raw_Data!AQ829="","",IF(Raw_Data!AQ829="oui",1,0))</f>
        <v/>
      </c>
      <c r="X826" s="12" t="str">
        <f>IF(Raw_Data!AR829="","",IF(Raw_Data!AR829="oui",1,0))</f>
        <v/>
      </c>
      <c r="Y826" s="12" t="str">
        <f>IF(Raw_Data!AS829="","",IF(Raw_Data!AS829="oui",1,0))</f>
        <v/>
      </c>
      <c r="Z826" s="12" t="str">
        <f>IF(Raw_Data!V829="","",IF(Raw_Data!V829="oui",1,0))</f>
        <v/>
      </c>
      <c r="AA826" s="12" t="str">
        <f>IF(Raw_Data!W829="","",IF(Raw_Data!W829="oui",1,0))</f>
        <v/>
      </c>
      <c r="AB826" s="12" t="str">
        <f>IF(Raw_Data!Q829="","",IF(Raw_Data!Q829="oui",1,0))</f>
        <v/>
      </c>
      <c r="AC826" s="12">
        <f>Raw_Data!AF829</f>
        <v>0</v>
      </c>
      <c r="AD826" s="12" t="str">
        <f t="shared" si="113"/>
        <v/>
      </c>
      <c r="AE826" s="12" t="str">
        <f t="shared" si="114"/>
        <v/>
      </c>
      <c r="AF826" s="12" t="str">
        <f t="shared" si="115"/>
        <v/>
      </c>
      <c r="AG826" s="12">
        <f t="shared" si="116"/>
        <v>0</v>
      </c>
    </row>
    <row r="827" spans="1:33" ht="15" customHeight="1" x14ac:dyDescent="0.25">
      <c r="A827" s="12" t="str">
        <f>IF(Raw_Data!B830="","",Raw_Data!B830)</f>
        <v/>
      </c>
      <c r="B827" s="12">
        <f>IF(Raw_Data!X830&lt;&gt;"",Raw_Data!X830,Raw_Data!C830)</f>
        <v>0</v>
      </c>
      <c r="C827" s="12" t="str">
        <f>IF(Raw_Data!G830="","",Raw_Data!G830)</f>
        <v/>
      </c>
      <c r="D827" s="12" t="str">
        <f>IF(Raw_Data!H830="","",Raw_Data!H830)</f>
        <v/>
      </c>
      <c r="E827" s="12" t="str">
        <f>IF(Raw_Data!I830="","",Raw_Data!I830)</f>
        <v/>
      </c>
      <c r="F827" s="12" t="str">
        <f>IF(Raw_Data!J830="","",Raw_Data!J830)</f>
        <v/>
      </c>
      <c r="G827" s="12" t="str">
        <f>IF(Raw_Data!AH830&lt;&gt;"",Raw_Data!AH830,IF(Raw_Data!K830&lt;&gt;"",Raw_Data!K830,""))</f>
        <v/>
      </c>
      <c r="H827" s="12" t="str">
        <f>IF(Raw_Data!AI830&lt;&gt;"",Raw_Data!AI830,IF(Raw_Data!L830&lt;&gt;"",Raw_Data!L830,""))</f>
        <v/>
      </c>
      <c r="I827" s="12" t="str">
        <f t="shared" si="108"/>
        <v/>
      </c>
      <c r="J827" s="12" t="str">
        <f>IF(Raw_Data!M830="","",Raw_Data!M830)</f>
        <v/>
      </c>
      <c r="K827" s="12">
        <f>IF(Raw_Data!AJ830&lt;&gt;"",Raw_Data!AJ830,Raw_Data!N830)</f>
        <v>0</v>
      </c>
      <c r="L827" s="12">
        <f t="shared" si="109"/>
        <v>1</v>
      </c>
      <c r="M827" s="12" t="str">
        <f>IF(Raw_Data!AK830="","",Raw_Data!AK830)</f>
        <v/>
      </c>
      <c r="N827" s="12" t="str">
        <f>IF(Raw_Data!T830="","",Raw_Data!T830)</f>
        <v/>
      </c>
      <c r="O827" s="12" t="str">
        <f>IF(Raw_Data!AB830&lt;&gt;"",Raw_Data!AB830,IF(N827="tres_insatisfait",1,IF(N827="insatisfait",2,IF(N827="neutre",3,IF(N827="satisfait",4,IF(N827="tres_satisfait",5,""))))))</f>
        <v/>
      </c>
      <c r="P827" s="12">
        <f>IF(Raw_Data!AL830&lt;&gt;"",Raw_Data!AL830,Raw_Data!R830)</f>
        <v>0</v>
      </c>
      <c r="Q827" s="12">
        <f t="shared" si="110"/>
        <v>0</v>
      </c>
      <c r="R827" s="12" t="str">
        <f>IF(Raw_Data!AM830="","",Raw_Data!AM830)</f>
        <v/>
      </c>
      <c r="S827" s="12" t="str">
        <f t="shared" si="111"/>
        <v/>
      </c>
      <c r="T827" s="12" t="str">
        <f>IF(Raw_Data!AN830="","",Raw_Data!AN830)</f>
        <v/>
      </c>
      <c r="U827" s="12" t="str">
        <f t="shared" si="112"/>
        <v/>
      </c>
      <c r="V827" s="12" t="str">
        <f>IF(Raw_Data!AP830="","",IF(Raw_Data!AP830="oui",1,0))</f>
        <v/>
      </c>
      <c r="W827" s="12" t="str">
        <f>IF(Raw_Data!AQ830="","",IF(Raw_Data!AQ830="oui",1,0))</f>
        <v/>
      </c>
      <c r="X827" s="12" t="str">
        <f>IF(Raw_Data!AR830="","",IF(Raw_Data!AR830="oui",1,0))</f>
        <v/>
      </c>
      <c r="Y827" s="12" t="str">
        <f>IF(Raw_Data!AS830="","",IF(Raw_Data!AS830="oui",1,0))</f>
        <v/>
      </c>
      <c r="Z827" s="12" t="str">
        <f>IF(Raw_Data!V830="","",IF(Raw_Data!V830="oui",1,0))</f>
        <v/>
      </c>
      <c r="AA827" s="12" t="str">
        <f>IF(Raw_Data!W830="","",IF(Raw_Data!W830="oui",1,0))</f>
        <v/>
      </c>
      <c r="AB827" s="12" t="str">
        <f>IF(Raw_Data!Q830="","",IF(Raw_Data!Q830="oui",1,0))</f>
        <v/>
      </c>
      <c r="AC827" s="12">
        <f>Raw_Data!AF830</f>
        <v>0</v>
      </c>
      <c r="AD827" s="12" t="str">
        <f t="shared" si="113"/>
        <v/>
      </c>
      <c r="AE827" s="12" t="str">
        <f t="shared" si="114"/>
        <v/>
      </c>
      <c r="AF827" s="12" t="str">
        <f t="shared" si="115"/>
        <v/>
      </c>
      <c r="AG827" s="12">
        <f t="shared" si="116"/>
        <v>0</v>
      </c>
    </row>
    <row r="828" spans="1:33" ht="15" customHeight="1" x14ac:dyDescent="0.25">
      <c r="A828" s="12" t="str">
        <f>IF(Raw_Data!B831="","",Raw_Data!B831)</f>
        <v/>
      </c>
      <c r="B828" s="12">
        <f>IF(Raw_Data!X831&lt;&gt;"",Raw_Data!X831,Raw_Data!C831)</f>
        <v>0</v>
      </c>
      <c r="C828" s="12" t="str">
        <f>IF(Raw_Data!G831="","",Raw_Data!G831)</f>
        <v/>
      </c>
      <c r="D828" s="12" t="str">
        <f>IF(Raw_Data!H831="","",Raw_Data!H831)</f>
        <v/>
      </c>
      <c r="E828" s="12" t="str">
        <f>IF(Raw_Data!I831="","",Raw_Data!I831)</f>
        <v/>
      </c>
      <c r="F828" s="12" t="str">
        <f>IF(Raw_Data!J831="","",Raw_Data!J831)</f>
        <v/>
      </c>
      <c r="G828" s="12" t="str">
        <f>IF(Raw_Data!AH831&lt;&gt;"",Raw_Data!AH831,IF(Raw_Data!K831&lt;&gt;"",Raw_Data!K831,""))</f>
        <v/>
      </c>
      <c r="H828" s="12" t="str">
        <f>IF(Raw_Data!AI831&lt;&gt;"",Raw_Data!AI831,IF(Raw_Data!L831&lt;&gt;"",Raw_Data!L831,""))</f>
        <v/>
      </c>
      <c r="I828" s="12" t="str">
        <f t="shared" si="108"/>
        <v/>
      </c>
      <c r="J828" s="12" t="str">
        <f>IF(Raw_Data!M831="","",Raw_Data!M831)</f>
        <v/>
      </c>
      <c r="K828" s="12">
        <f>IF(Raw_Data!AJ831&lt;&gt;"",Raw_Data!AJ831,Raw_Data!N831)</f>
        <v>0</v>
      </c>
      <c r="L828" s="12">
        <f t="shared" si="109"/>
        <v>1</v>
      </c>
      <c r="M828" s="12" t="str">
        <f>IF(Raw_Data!AK831="","",Raw_Data!AK831)</f>
        <v/>
      </c>
      <c r="N828" s="12" t="str">
        <f>IF(Raw_Data!T831="","",Raw_Data!T831)</f>
        <v/>
      </c>
      <c r="O828" s="12" t="str">
        <f>IF(Raw_Data!AB831&lt;&gt;"",Raw_Data!AB831,IF(N828="tres_insatisfait",1,IF(N828="insatisfait",2,IF(N828="neutre",3,IF(N828="satisfait",4,IF(N828="tres_satisfait",5,""))))))</f>
        <v/>
      </c>
      <c r="P828" s="12">
        <f>IF(Raw_Data!AL831&lt;&gt;"",Raw_Data!AL831,Raw_Data!R831)</f>
        <v>0</v>
      </c>
      <c r="Q828" s="12">
        <f t="shared" si="110"/>
        <v>0</v>
      </c>
      <c r="R828" s="12" t="str">
        <f>IF(Raw_Data!AM831="","",Raw_Data!AM831)</f>
        <v/>
      </c>
      <c r="S828" s="12" t="str">
        <f t="shared" si="111"/>
        <v/>
      </c>
      <c r="T828" s="12" t="str">
        <f>IF(Raw_Data!AN831="","",Raw_Data!AN831)</f>
        <v/>
      </c>
      <c r="U828" s="12" t="str">
        <f t="shared" si="112"/>
        <v/>
      </c>
      <c r="V828" s="12" t="str">
        <f>IF(Raw_Data!AP831="","",IF(Raw_Data!AP831="oui",1,0))</f>
        <v/>
      </c>
      <c r="W828" s="12" t="str">
        <f>IF(Raw_Data!AQ831="","",IF(Raw_Data!AQ831="oui",1,0))</f>
        <v/>
      </c>
      <c r="X828" s="12" t="str">
        <f>IF(Raw_Data!AR831="","",IF(Raw_Data!AR831="oui",1,0))</f>
        <v/>
      </c>
      <c r="Y828" s="12" t="str">
        <f>IF(Raw_Data!AS831="","",IF(Raw_Data!AS831="oui",1,0))</f>
        <v/>
      </c>
      <c r="Z828" s="12" t="str">
        <f>IF(Raw_Data!V831="","",IF(Raw_Data!V831="oui",1,0))</f>
        <v/>
      </c>
      <c r="AA828" s="12" t="str">
        <f>IF(Raw_Data!W831="","",IF(Raw_Data!W831="oui",1,0))</f>
        <v/>
      </c>
      <c r="AB828" s="12" t="str">
        <f>IF(Raw_Data!Q831="","",IF(Raw_Data!Q831="oui",1,0))</f>
        <v/>
      </c>
      <c r="AC828" s="12">
        <f>Raw_Data!AF831</f>
        <v>0</v>
      </c>
      <c r="AD828" s="12" t="str">
        <f t="shared" si="113"/>
        <v/>
      </c>
      <c r="AE828" s="12" t="str">
        <f t="shared" si="114"/>
        <v/>
      </c>
      <c r="AF828" s="12" t="str">
        <f t="shared" si="115"/>
        <v/>
      </c>
      <c r="AG828" s="12">
        <f t="shared" si="116"/>
        <v>0</v>
      </c>
    </row>
    <row r="829" spans="1:33" ht="15" customHeight="1" x14ac:dyDescent="0.25">
      <c r="A829" s="12" t="str">
        <f>IF(Raw_Data!B832="","",Raw_Data!B832)</f>
        <v/>
      </c>
      <c r="B829" s="12">
        <f>IF(Raw_Data!X832&lt;&gt;"",Raw_Data!X832,Raw_Data!C832)</f>
        <v>0</v>
      </c>
      <c r="C829" s="12" t="str">
        <f>IF(Raw_Data!G832="","",Raw_Data!G832)</f>
        <v/>
      </c>
      <c r="D829" s="12" t="str">
        <f>IF(Raw_Data!H832="","",Raw_Data!H832)</f>
        <v/>
      </c>
      <c r="E829" s="12" t="str">
        <f>IF(Raw_Data!I832="","",Raw_Data!I832)</f>
        <v/>
      </c>
      <c r="F829" s="12" t="str">
        <f>IF(Raw_Data!J832="","",Raw_Data!J832)</f>
        <v/>
      </c>
      <c r="G829" s="12" t="str">
        <f>IF(Raw_Data!AH832&lt;&gt;"",Raw_Data!AH832,IF(Raw_Data!K832&lt;&gt;"",Raw_Data!K832,""))</f>
        <v/>
      </c>
      <c r="H829" s="12" t="str">
        <f>IF(Raw_Data!AI832&lt;&gt;"",Raw_Data!AI832,IF(Raw_Data!L832&lt;&gt;"",Raw_Data!L832,""))</f>
        <v/>
      </c>
      <c r="I829" s="12" t="str">
        <f t="shared" si="108"/>
        <v/>
      </c>
      <c r="J829" s="12" t="str">
        <f>IF(Raw_Data!M832="","",Raw_Data!M832)</f>
        <v/>
      </c>
      <c r="K829" s="12">
        <f>IF(Raw_Data!AJ832&lt;&gt;"",Raw_Data!AJ832,Raw_Data!N832)</f>
        <v>0</v>
      </c>
      <c r="L829" s="12">
        <f t="shared" si="109"/>
        <v>1</v>
      </c>
      <c r="M829" s="12" t="str">
        <f>IF(Raw_Data!AK832="","",Raw_Data!AK832)</f>
        <v/>
      </c>
      <c r="N829" s="12" t="str">
        <f>IF(Raw_Data!T832="","",Raw_Data!T832)</f>
        <v/>
      </c>
      <c r="O829" s="12" t="str">
        <f>IF(Raw_Data!AB832&lt;&gt;"",Raw_Data!AB832,IF(N829="tres_insatisfait",1,IF(N829="insatisfait",2,IF(N829="neutre",3,IF(N829="satisfait",4,IF(N829="tres_satisfait",5,""))))))</f>
        <v/>
      </c>
      <c r="P829" s="12">
        <f>IF(Raw_Data!AL832&lt;&gt;"",Raw_Data!AL832,Raw_Data!R832)</f>
        <v>0</v>
      </c>
      <c r="Q829" s="12">
        <f t="shared" si="110"/>
        <v>0</v>
      </c>
      <c r="R829" s="12" t="str">
        <f>IF(Raw_Data!AM832="","",Raw_Data!AM832)</f>
        <v/>
      </c>
      <c r="S829" s="12" t="str">
        <f t="shared" si="111"/>
        <v/>
      </c>
      <c r="T829" s="12" t="str">
        <f>IF(Raw_Data!AN832="","",Raw_Data!AN832)</f>
        <v/>
      </c>
      <c r="U829" s="12" t="str">
        <f t="shared" si="112"/>
        <v/>
      </c>
      <c r="V829" s="12" t="str">
        <f>IF(Raw_Data!AP832="","",IF(Raw_Data!AP832="oui",1,0))</f>
        <v/>
      </c>
      <c r="W829" s="12" t="str">
        <f>IF(Raw_Data!AQ832="","",IF(Raw_Data!AQ832="oui",1,0))</f>
        <v/>
      </c>
      <c r="X829" s="12" t="str">
        <f>IF(Raw_Data!AR832="","",IF(Raw_Data!AR832="oui",1,0))</f>
        <v/>
      </c>
      <c r="Y829" s="12" t="str">
        <f>IF(Raw_Data!AS832="","",IF(Raw_Data!AS832="oui",1,0))</f>
        <v/>
      </c>
      <c r="Z829" s="12" t="str">
        <f>IF(Raw_Data!V832="","",IF(Raw_Data!V832="oui",1,0))</f>
        <v/>
      </c>
      <c r="AA829" s="12" t="str">
        <f>IF(Raw_Data!W832="","",IF(Raw_Data!W832="oui",1,0))</f>
        <v/>
      </c>
      <c r="AB829" s="12" t="str">
        <f>IF(Raw_Data!Q832="","",IF(Raw_Data!Q832="oui",1,0))</f>
        <v/>
      </c>
      <c r="AC829" s="12">
        <f>Raw_Data!AF832</f>
        <v>0</v>
      </c>
      <c r="AD829" s="12" t="str">
        <f t="shared" si="113"/>
        <v/>
      </c>
      <c r="AE829" s="12" t="str">
        <f t="shared" si="114"/>
        <v/>
      </c>
      <c r="AF829" s="12" t="str">
        <f t="shared" si="115"/>
        <v/>
      </c>
      <c r="AG829" s="12">
        <f t="shared" si="116"/>
        <v>0</v>
      </c>
    </row>
    <row r="830" spans="1:33" ht="15" customHeight="1" x14ac:dyDescent="0.25">
      <c r="A830" s="12" t="str">
        <f>IF(Raw_Data!B833="","",Raw_Data!B833)</f>
        <v/>
      </c>
      <c r="B830" s="12">
        <f>IF(Raw_Data!X833&lt;&gt;"",Raw_Data!X833,Raw_Data!C833)</f>
        <v>0</v>
      </c>
      <c r="C830" s="12" t="str">
        <f>IF(Raw_Data!G833="","",Raw_Data!G833)</f>
        <v/>
      </c>
      <c r="D830" s="12" t="str">
        <f>IF(Raw_Data!H833="","",Raw_Data!H833)</f>
        <v/>
      </c>
      <c r="E830" s="12" t="str">
        <f>IF(Raw_Data!I833="","",Raw_Data!I833)</f>
        <v/>
      </c>
      <c r="F830" s="12" t="str">
        <f>IF(Raw_Data!J833="","",Raw_Data!J833)</f>
        <v/>
      </c>
      <c r="G830" s="12" t="str">
        <f>IF(Raw_Data!AH833&lt;&gt;"",Raw_Data!AH833,IF(Raw_Data!K833&lt;&gt;"",Raw_Data!K833,""))</f>
        <v/>
      </c>
      <c r="H830" s="12" t="str">
        <f>IF(Raw_Data!AI833&lt;&gt;"",Raw_Data!AI833,IF(Raw_Data!L833&lt;&gt;"",Raw_Data!L833,""))</f>
        <v/>
      </c>
      <c r="I830" s="12" t="str">
        <f t="shared" si="108"/>
        <v/>
      </c>
      <c r="J830" s="12" t="str">
        <f>IF(Raw_Data!M833="","",Raw_Data!M833)</f>
        <v/>
      </c>
      <c r="K830" s="12">
        <f>IF(Raw_Data!AJ833&lt;&gt;"",Raw_Data!AJ833,Raw_Data!N833)</f>
        <v>0</v>
      </c>
      <c r="L830" s="12">
        <f t="shared" si="109"/>
        <v>1</v>
      </c>
      <c r="M830" s="12" t="str">
        <f>IF(Raw_Data!AK833="","",Raw_Data!AK833)</f>
        <v/>
      </c>
      <c r="N830" s="12" t="str">
        <f>IF(Raw_Data!T833="","",Raw_Data!T833)</f>
        <v/>
      </c>
      <c r="O830" s="12" t="str">
        <f>IF(Raw_Data!AB833&lt;&gt;"",Raw_Data!AB833,IF(N830="tres_insatisfait",1,IF(N830="insatisfait",2,IF(N830="neutre",3,IF(N830="satisfait",4,IF(N830="tres_satisfait",5,""))))))</f>
        <v/>
      </c>
      <c r="P830" s="12">
        <f>IF(Raw_Data!AL833&lt;&gt;"",Raw_Data!AL833,Raw_Data!R833)</f>
        <v>0</v>
      </c>
      <c r="Q830" s="12">
        <f t="shared" si="110"/>
        <v>0</v>
      </c>
      <c r="R830" s="12" t="str">
        <f>IF(Raw_Data!AM833="","",Raw_Data!AM833)</f>
        <v/>
      </c>
      <c r="S830" s="12" t="str">
        <f t="shared" si="111"/>
        <v/>
      </c>
      <c r="T830" s="12" t="str">
        <f>IF(Raw_Data!AN833="","",Raw_Data!AN833)</f>
        <v/>
      </c>
      <c r="U830" s="12" t="str">
        <f t="shared" si="112"/>
        <v/>
      </c>
      <c r="V830" s="12" t="str">
        <f>IF(Raw_Data!AP833="","",IF(Raw_Data!AP833="oui",1,0))</f>
        <v/>
      </c>
      <c r="W830" s="12" t="str">
        <f>IF(Raw_Data!AQ833="","",IF(Raw_Data!AQ833="oui",1,0))</f>
        <v/>
      </c>
      <c r="X830" s="12" t="str">
        <f>IF(Raw_Data!AR833="","",IF(Raw_Data!AR833="oui",1,0))</f>
        <v/>
      </c>
      <c r="Y830" s="12" t="str">
        <f>IF(Raw_Data!AS833="","",IF(Raw_Data!AS833="oui",1,0))</f>
        <v/>
      </c>
      <c r="Z830" s="12" t="str">
        <f>IF(Raw_Data!V833="","",IF(Raw_Data!V833="oui",1,0))</f>
        <v/>
      </c>
      <c r="AA830" s="12" t="str">
        <f>IF(Raw_Data!W833="","",IF(Raw_Data!W833="oui",1,0))</f>
        <v/>
      </c>
      <c r="AB830" s="12" t="str">
        <f>IF(Raw_Data!Q833="","",IF(Raw_Data!Q833="oui",1,0))</f>
        <v/>
      </c>
      <c r="AC830" s="12">
        <f>Raw_Data!AF833</f>
        <v>0</v>
      </c>
      <c r="AD830" s="12" t="str">
        <f t="shared" si="113"/>
        <v/>
      </c>
      <c r="AE830" s="12" t="str">
        <f t="shared" si="114"/>
        <v/>
      </c>
      <c r="AF830" s="12" t="str">
        <f t="shared" si="115"/>
        <v/>
      </c>
      <c r="AG830" s="12">
        <f t="shared" si="116"/>
        <v>0</v>
      </c>
    </row>
    <row r="831" spans="1:33" ht="15" customHeight="1" x14ac:dyDescent="0.25">
      <c r="A831" s="12" t="str">
        <f>IF(Raw_Data!B834="","",Raw_Data!B834)</f>
        <v/>
      </c>
      <c r="B831" s="12">
        <f>IF(Raw_Data!X834&lt;&gt;"",Raw_Data!X834,Raw_Data!C834)</f>
        <v>0</v>
      </c>
      <c r="C831" s="12" t="str">
        <f>IF(Raw_Data!G834="","",Raw_Data!G834)</f>
        <v/>
      </c>
      <c r="D831" s="12" t="str">
        <f>IF(Raw_Data!H834="","",Raw_Data!H834)</f>
        <v/>
      </c>
      <c r="E831" s="12" t="str">
        <f>IF(Raw_Data!I834="","",Raw_Data!I834)</f>
        <v/>
      </c>
      <c r="F831" s="12" t="str">
        <f>IF(Raw_Data!J834="","",Raw_Data!J834)</f>
        <v/>
      </c>
      <c r="G831" s="12" t="str">
        <f>IF(Raw_Data!AH834&lt;&gt;"",Raw_Data!AH834,IF(Raw_Data!K834&lt;&gt;"",Raw_Data!K834,""))</f>
        <v/>
      </c>
      <c r="H831" s="12" t="str">
        <f>IF(Raw_Data!AI834&lt;&gt;"",Raw_Data!AI834,IF(Raw_Data!L834&lt;&gt;"",Raw_Data!L834,""))</f>
        <v/>
      </c>
      <c r="I831" s="12" t="str">
        <f t="shared" si="108"/>
        <v/>
      </c>
      <c r="J831" s="12" t="str">
        <f>IF(Raw_Data!M834="","",Raw_Data!M834)</f>
        <v/>
      </c>
      <c r="K831" s="12">
        <f>IF(Raw_Data!AJ834&lt;&gt;"",Raw_Data!AJ834,Raw_Data!N834)</f>
        <v>0</v>
      </c>
      <c r="L831" s="12">
        <f t="shared" si="109"/>
        <v>1</v>
      </c>
      <c r="M831" s="12" t="str">
        <f>IF(Raw_Data!AK834="","",Raw_Data!AK834)</f>
        <v/>
      </c>
      <c r="N831" s="12" t="str">
        <f>IF(Raw_Data!T834="","",Raw_Data!T834)</f>
        <v/>
      </c>
      <c r="O831" s="12" t="str">
        <f>IF(Raw_Data!AB834&lt;&gt;"",Raw_Data!AB834,IF(N831="tres_insatisfait",1,IF(N831="insatisfait",2,IF(N831="neutre",3,IF(N831="satisfait",4,IF(N831="tres_satisfait",5,""))))))</f>
        <v/>
      </c>
      <c r="P831" s="12">
        <f>IF(Raw_Data!AL834&lt;&gt;"",Raw_Data!AL834,Raw_Data!R834)</f>
        <v>0</v>
      </c>
      <c r="Q831" s="12">
        <f t="shared" si="110"/>
        <v>0</v>
      </c>
      <c r="R831" s="12" t="str">
        <f>IF(Raw_Data!AM834="","",Raw_Data!AM834)</f>
        <v/>
      </c>
      <c r="S831" s="12" t="str">
        <f t="shared" si="111"/>
        <v/>
      </c>
      <c r="T831" s="12" t="str">
        <f>IF(Raw_Data!AN834="","",Raw_Data!AN834)</f>
        <v/>
      </c>
      <c r="U831" s="12" t="str">
        <f t="shared" si="112"/>
        <v/>
      </c>
      <c r="V831" s="12" t="str">
        <f>IF(Raw_Data!AP834="","",IF(Raw_Data!AP834="oui",1,0))</f>
        <v/>
      </c>
      <c r="W831" s="12" t="str">
        <f>IF(Raw_Data!AQ834="","",IF(Raw_Data!AQ834="oui",1,0))</f>
        <v/>
      </c>
      <c r="X831" s="12" t="str">
        <f>IF(Raw_Data!AR834="","",IF(Raw_Data!AR834="oui",1,0))</f>
        <v/>
      </c>
      <c r="Y831" s="12" t="str">
        <f>IF(Raw_Data!AS834="","",IF(Raw_Data!AS834="oui",1,0))</f>
        <v/>
      </c>
      <c r="Z831" s="12" t="str">
        <f>IF(Raw_Data!V834="","",IF(Raw_Data!V834="oui",1,0))</f>
        <v/>
      </c>
      <c r="AA831" s="12" t="str">
        <f>IF(Raw_Data!W834="","",IF(Raw_Data!W834="oui",1,0))</f>
        <v/>
      </c>
      <c r="AB831" s="12" t="str">
        <f>IF(Raw_Data!Q834="","",IF(Raw_Data!Q834="oui",1,0))</f>
        <v/>
      </c>
      <c r="AC831" s="12">
        <f>Raw_Data!AF834</f>
        <v>0</v>
      </c>
      <c r="AD831" s="12" t="str">
        <f t="shared" si="113"/>
        <v/>
      </c>
      <c r="AE831" s="12" t="str">
        <f t="shared" si="114"/>
        <v/>
      </c>
      <c r="AF831" s="12" t="str">
        <f t="shared" si="115"/>
        <v/>
      </c>
      <c r="AG831" s="12">
        <f t="shared" si="116"/>
        <v>0</v>
      </c>
    </row>
    <row r="832" spans="1:33" ht="15" customHeight="1" x14ac:dyDescent="0.25">
      <c r="A832" s="12" t="str">
        <f>IF(Raw_Data!B835="","",Raw_Data!B835)</f>
        <v/>
      </c>
      <c r="B832" s="12">
        <f>IF(Raw_Data!X835&lt;&gt;"",Raw_Data!X835,Raw_Data!C835)</f>
        <v>0</v>
      </c>
      <c r="C832" s="12" t="str">
        <f>IF(Raw_Data!G835="","",Raw_Data!G835)</f>
        <v/>
      </c>
      <c r="D832" s="12" t="str">
        <f>IF(Raw_Data!H835="","",Raw_Data!H835)</f>
        <v/>
      </c>
      <c r="E832" s="12" t="str">
        <f>IF(Raw_Data!I835="","",Raw_Data!I835)</f>
        <v/>
      </c>
      <c r="F832" s="12" t="str">
        <f>IF(Raw_Data!J835="","",Raw_Data!J835)</f>
        <v/>
      </c>
      <c r="G832" s="12" t="str">
        <f>IF(Raw_Data!AH835&lt;&gt;"",Raw_Data!AH835,IF(Raw_Data!K835&lt;&gt;"",Raw_Data!K835,""))</f>
        <v/>
      </c>
      <c r="H832" s="12" t="str">
        <f>IF(Raw_Data!AI835&lt;&gt;"",Raw_Data!AI835,IF(Raw_Data!L835&lt;&gt;"",Raw_Data!L835,""))</f>
        <v/>
      </c>
      <c r="I832" s="12" t="str">
        <f t="shared" si="108"/>
        <v/>
      </c>
      <c r="J832" s="12" t="str">
        <f>IF(Raw_Data!M835="","",Raw_Data!M835)</f>
        <v/>
      </c>
      <c r="K832" s="12">
        <f>IF(Raw_Data!AJ835&lt;&gt;"",Raw_Data!AJ835,Raw_Data!N835)</f>
        <v>0</v>
      </c>
      <c r="L832" s="12">
        <f t="shared" si="109"/>
        <v>1</v>
      </c>
      <c r="M832" s="12" t="str">
        <f>IF(Raw_Data!AK835="","",Raw_Data!AK835)</f>
        <v/>
      </c>
      <c r="N832" s="12" t="str">
        <f>IF(Raw_Data!T835="","",Raw_Data!T835)</f>
        <v/>
      </c>
      <c r="O832" s="12" t="str">
        <f>IF(Raw_Data!AB835&lt;&gt;"",Raw_Data!AB835,IF(N832="tres_insatisfait",1,IF(N832="insatisfait",2,IF(N832="neutre",3,IF(N832="satisfait",4,IF(N832="tres_satisfait",5,""))))))</f>
        <v/>
      </c>
      <c r="P832" s="12">
        <f>IF(Raw_Data!AL835&lt;&gt;"",Raw_Data!AL835,Raw_Data!R835)</f>
        <v>0</v>
      </c>
      <c r="Q832" s="12">
        <f t="shared" si="110"/>
        <v>0</v>
      </c>
      <c r="R832" s="12" t="str">
        <f>IF(Raw_Data!AM835="","",Raw_Data!AM835)</f>
        <v/>
      </c>
      <c r="S832" s="12" t="str">
        <f t="shared" si="111"/>
        <v/>
      </c>
      <c r="T832" s="12" t="str">
        <f>IF(Raw_Data!AN835="","",Raw_Data!AN835)</f>
        <v/>
      </c>
      <c r="U832" s="12" t="str">
        <f t="shared" si="112"/>
        <v/>
      </c>
      <c r="V832" s="12" t="str">
        <f>IF(Raw_Data!AP835="","",IF(Raw_Data!AP835="oui",1,0))</f>
        <v/>
      </c>
      <c r="W832" s="12" t="str">
        <f>IF(Raw_Data!AQ835="","",IF(Raw_Data!AQ835="oui",1,0))</f>
        <v/>
      </c>
      <c r="X832" s="12" t="str">
        <f>IF(Raw_Data!AR835="","",IF(Raw_Data!AR835="oui",1,0))</f>
        <v/>
      </c>
      <c r="Y832" s="12" t="str">
        <f>IF(Raw_Data!AS835="","",IF(Raw_Data!AS835="oui",1,0))</f>
        <v/>
      </c>
      <c r="Z832" s="12" t="str">
        <f>IF(Raw_Data!V835="","",IF(Raw_Data!V835="oui",1,0))</f>
        <v/>
      </c>
      <c r="AA832" s="12" t="str">
        <f>IF(Raw_Data!W835="","",IF(Raw_Data!W835="oui",1,0))</f>
        <v/>
      </c>
      <c r="AB832" s="12" t="str">
        <f>IF(Raw_Data!Q835="","",IF(Raw_Data!Q835="oui",1,0))</f>
        <v/>
      </c>
      <c r="AC832" s="12">
        <f>Raw_Data!AF835</f>
        <v>0</v>
      </c>
      <c r="AD832" s="12" t="str">
        <f t="shared" si="113"/>
        <v/>
      </c>
      <c r="AE832" s="12" t="str">
        <f t="shared" si="114"/>
        <v/>
      </c>
      <c r="AF832" s="12" t="str">
        <f t="shared" si="115"/>
        <v/>
      </c>
      <c r="AG832" s="12">
        <f t="shared" si="116"/>
        <v>0</v>
      </c>
    </row>
    <row r="833" spans="1:33" ht="15" customHeight="1" x14ac:dyDescent="0.25">
      <c r="A833" s="12" t="str">
        <f>IF(Raw_Data!B836="","",Raw_Data!B836)</f>
        <v/>
      </c>
      <c r="B833" s="12">
        <f>IF(Raw_Data!X836&lt;&gt;"",Raw_Data!X836,Raw_Data!C836)</f>
        <v>0</v>
      </c>
      <c r="C833" s="12" t="str">
        <f>IF(Raw_Data!G836="","",Raw_Data!G836)</f>
        <v/>
      </c>
      <c r="D833" s="12" t="str">
        <f>IF(Raw_Data!H836="","",Raw_Data!H836)</f>
        <v/>
      </c>
      <c r="E833" s="12" t="str">
        <f>IF(Raw_Data!I836="","",Raw_Data!I836)</f>
        <v/>
      </c>
      <c r="F833" s="12" t="str">
        <f>IF(Raw_Data!J836="","",Raw_Data!J836)</f>
        <v/>
      </c>
      <c r="G833" s="12" t="str">
        <f>IF(Raw_Data!AH836&lt;&gt;"",Raw_Data!AH836,IF(Raw_Data!K836&lt;&gt;"",Raw_Data!K836,""))</f>
        <v/>
      </c>
      <c r="H833" s="12" t="str">
        <f>IF(Raw_Data!AI836&lt;&gt;"",Raw_Data!AI836,IF(Raw_Data!L836&lt;&gt;"",Raw_Data!L836,""))</f>
        <v/>
      </c>
      <c r="I833" s="12" t="str">
        <f t="shared" si="108"/>
        <v/>
      </c>
      <c r="J833" s="12" t="str">
        <f>IF(Raw_Data!M836="","",Raw_Data!M836)</f>
        <v/>
      </c>
      <c r="K833" s="12">
        <f>IF(Raw_Data!AJ836&lt;&gt;"",Raw_Data!AJ836,Raw_Data!N836)</f>
        <v>0</v>
      </c>
      <c r="L833" s="12">
        <f t="shared" si="109"/>
        <v>1</v>
      </c>
      <c r="M833" s="12" t="str">
        <f>IF(Raw_Data!AK836="","",Raw_Data!AK836)</f>
        <v/>
      </c>
      <c r="N833" s="12" t="str">
        <f>IF(Raw_Data!T836="","",Raw_Data!T836)</f>
        <v/>
      </c>
      <c r="O833" s="12" t="str">
        <f>IF(Raw_Data!AB836&lt;&gt;"",Raw_Data!AB836,IF(N833="tres_insatisfait",1,IF(N833="insatisfait",2,IF(N833="neutre",3,IF(N833="satisfait",4,IF(N833="tres_satisfait",5,""))))))</f>
        <v/>
      </c>
      <c r="P833" s="12">
        <f>IF(Raw_Data!AL836&lt;&gt;"",Raw_Data!AL836,Raw_Data!R836)</f>
        <v>0</v>
      </c>
      <c r="Q833" s="12">
        <f t="shared" si="110"/>
        <v>0</v>
      </c>
      <c r="R833" s="12" t="str">
        <f>IF(Raw_Data!AM836="","",Raw_Data!AM836)</f>
        <v/>
      </c>
      <c r="S833" s="12" t="str">
        <f t="shared" si="111"/>
        <v/>
      </c>
      <c r="T833" s="12" t="str">
        <f>IF(Raw_Data!AN836="","",Raw_Data!AN836)</f>
        <v/>
      </c>
      <c r="U833" s="12" t="str">
        <f t="shared" si="112"/>
        <v/>
      </c>
      <c r="V833" s="12" t="str">
        <f>IF(Raw_Data!AP836="","",IF(Raw_Data!AP836="oui",1,0))</f>
        <v/>
      </c>
      <c r="W833" s="12" t="str">
        <f>IF(Raw_Data!AQ836="","",IF(Raw_Data!AQ836="oui",1,0))</f>
        <v/>
      </c>
      <c r="X833" s="12" t="str">
        <f>IF(Raw_Data!AR836="","",IF(Raw_Data!AR836="oui",1,0))</f>
        <v/>
      </c>
      <c r="Y833" s="12" t="str">
        <f>IF(Raw_Data!AS836="","",IF(Raw_Data!AS836="oui",1,0))</f>
        <v/>
      </c>
      <c r="Z833" s="12" t="str">
        <f>IF(Raw_Data!V836="","",IF(Raw_Data!V836="oui",1,0))</f>
        <v/>
      </c>
      <c r="AA833" s="12" t="str">
        <f>IF(Raw_Data!W836="","",IF(Raw_Data!W836="oui",1,0))</f>
        <v/>
      </c>
      <c r="AB833" s="12" t="str">
        <f>IF(Raw_Data!Q836="","",IF(Raw_Data!Q836="oui",1,0))</f>
        <v/>
      </c>
      <c r="AC833" s="12">
        <f>Raw_Data!AF836</f>
        <v>0</v>
      </c>
      <c r="AD833" s="12" t="str">
        <f t="shared" si="113"/>
        <v/>
      </c>
      <c r="AE833" s="12" t="str">
        <f t="shared" si="114"/>
        <v/>
      </c>
      <c r="AF833" s="12" t="str">
        <f t="shared" si="115"/>
        <v/>
      </c>
      <c r="AG833" s="12">
        <f t="shared" si="116"/>
        <v>0</v>
      </c>
    </row>
    <row r="834" spans="1:33" ht="15" customHeight="1" x14ac:dyDescent="0.25">
      <c r="A834" s="12" t="str">
        <f>IF(Raw_Data!B837="","",Raw_Data!B837)</f>
        <v/>
      </c>
      <c r="B834" s="12">
        <f>IF(Raw_Data!X837&lt;&gt;"",Raw_Data!X837,Raw_Data!C837)</f>
        <v>0</v>
      </c>
      <c r="C834" s="12" t="str">
        <f>IF(Raw_Data!G837="","",Raw_Data!G837)</f>
        <v/>
      </c>
      <c r="D834" s="12" t="str">
        <f>IF(Raw_Data!H837="","",Raw_Data!H837)</f>
        <v/>
      </c>
      <c r="E834" s="12" t="str">
        <f>IF(Raw_Data!I837="","",Raw_Data!I837)</f>
        <v/>
      </c>
      <c r="F834" s="12" t="str">
        <f>IF(Raw_Data!J837="","",Raw_Data!J837)</f>
        <v/>
      </c>
      <c r="G834" s="12" t="str">
        <f>IF(Raw_Data!AH837&lt;&gt;"",Raw_Data!AH837,IF(Raw_Data!K837&lt;&gt;"",Raw_Data!K837,""))</f>
        <v/>
      </c>
      <c r="H834" s="12" t="str">
        <f>IF(Raw_Data!AI837&lt;&gt;"",Raw_Data!AI837,IF(Raw_Data!L837&lt;&gt;"",Raw_Data!L837,""))</f>
        <v/>
      </c>
      <c r="I834" s="12" t="str">
        <f t="shared" ref="I834:I897" si="117">IF(H834="","",IF(H834&lt;18,"&lt;18 ans",IF(H834&lt;60,"18-59 ans","60 ans et +")))</f>
        <v/>
      </c>
      <c r="J834" s="12" t="str">
        <f>IF(Raw_Data!M837="","",Raw_Data!M837)</f>
        <v/>
      </c>
      <c r="K834" s="12">
        <f>IF(Raw_Data!AJ837&lt;&gt;"",Raw_Data!AJ837,Raw_Data!N837)</f>
        <v>0</v>
      </c>
      <c r="L834" s="12">
        <f t="shared" ref="L834:L897" si="118">IF(K834="",0,1)</f>
        <v>1</v>
      </c>
      <c r="M834" s="12" t="str">
        <f>IF(Raw_Data!AK837="","",Raw_Data!AK837)</f>
        <v/>
      </c>
      <c r="N834" s="12" t="str">
        <f>IF(Raw_Data!T837="","",Raw_Data!T837)</f>
        <v/>
      </c>
      <c r="O834" s="12" t="str">
        <f>IF(Raw_Data!AB837&lt;&gt;"",Raw_Data!AB837,IF(N834="tres_insatisfait",1,IF(N834="insatisfait",2,IF(N834="neutre",3,IF(N834="satisfait",4,IF(N834="tres_satisfait",5,""))))))</f>
        <v/>
      </c>
      <c r="P834" s="12">
        <f>IF(Raw_Data!AL837&lt;&gt;"",Raw_Data!AL837,Raw_Data!R837)</f>
        <v>0</v>
      </c>
      <c r="Q834" s="12">
        <f t="shared" ref="Q834:Q897" si="119">IF(P834="","",IF(P834="oui",1,0))</f>
        <v>0</v>
      </c>
      <c r="R834" s="12" t="str">
        <f>IF(Raw_Data!AM837="","",Raw_Data!AM837)</f>
        <v/>
      </c>
      <c r="S834" s="12" t="str">
        <f t="shared" ref="S834:S897" si="120">IF(R834="","",IF(R834="oui",1,0))</f>
        <v/>
      </c>
      <c r="T834" s="12" t="str">
        <f>IF(Raw_Data!AN837="","",Raw_Data!AN837)</f>
        <v/>
      </c>
      <c r="U834" s="12" t="str">
        <f t="shared" ref="U834:U897" si="121">IF(T834="","",IF(T834="oui",1,0))</f>
        <v/>
      </c>
      <c r="V834" s="12" t="str">
        <f>IF(Raw_Data!AP837="","",IF(Raw_Data!AP837="oui",1,0))</f>
        <v/>
      </c>
      <c r="W834" s="12" t="str">
        <f>IF(Raw_Data!AQ837="","",IF(Raw_Data!AQ837="oui",1,0))</f>
        <v/>
      </c>
      <c r="X834" s="12" t="str">
        <f>IF(Raw_Data!AR837="","",IF(Raw_Data!AR837="oui",1,0))</f>
        <v/>
      </c>
      <c r="Y834" s="12" t="str">
        <f>IF(Raw_Data!AS837="","",IF(Raw_Data!AS837="oui",1,0))</f>
        <v/>
      </c>
      <c r="Z834" s="12" t="str">
        <f>IF(Raw_Data!V837="","",IF(Raw_Data!V837="oui",1,0))</f>
        <v/>
      </c>
      <c r="AA834" s="12" t="str">
        <f>IF(Raw_Data!W837="","",IF(Raw_Data!W837="oui",1,0))</f>
        <v/>
      </c>
      <c r="AB834" s="12" t="str">
        <f>IF(Raw_Data!Q837="","",IF(Raw_Data!Q837="oui",1,0))</f>
        <v/>
      </c>
      <c r="AC834" s="12">
        <f>Raw_Data!AF837</f>
        <v>0</v>
      </c>
      <c r="AD834" s="12" t="str">
        <f t="shared" ref="AD834:AD897" si="122">IF(A834="","",F834&amp;"|"&amp;E834&amp;"|"&amp;TEXT(B834,"YYYY-MM-DD"))</f>
        <v/>
      </c>
      <c r="AE834" s="12" t="str">
        <f t="shared" ref="AE834:AE897" si="123">IF(AD834="","",IF(COUNTIF($AD$2:$AD$1000,AD834)&gt;1,1,0))</f>
        <v/>
      </c>
      <c r="AF834" s="12" t="str">
        <f t="shared" ref="AF834:AF897" si="124">IF(A834="","",IF(OR(C834="",D834="",G834="",H834="",N834=""),1,0))</f>
        <v/>
      </c>
      <c r="AG834" s="12">
        <f t="shared" ref="AG834:AG897" si="125">IF(A834="",0,1)</f>
        <v>0</v>
      </c>
    </row>
    <row r="835" spans="1:33" ht="15" customHeight="1" x14ac:dyDescent="0.25">
      <c r="A835" s="12" t="str">
        <f>IF(Raw_Data!B838="","",Raw_Data!B838)</f>
        <v/>
      </c>
      <c r="B835" s="12">
        <f>IF(Raw_Data!X838&lt;&gt;"",Raw_Data!X838,Raw_Data!C838)</f>
        <v>0</v>
      </c>
      <c r="C835" s="12" t="str">
        <f>IF(Raw_Data!G838="","",Raw_Data!G838)</f>
        <v/>
      </c>
      <c r="D835" s="12" t="str">
        <f>IF(Raw_Data!H838="","",Raw_Data!H838)</f>
        <v/>
      </c>
      <c r="E835" s="12" t="str">
        <f>IF(Raw_Data!I838="","",Raw_Data!I838)</f>
        <v/>
      </c>
      <c r="F835" s="12" t="str">
        <f>IF(Raw_Data!J838="","",Raw_Data!J838)</f>
        <v/>
      </c>
      <c r="G835" s="12" t="str">
        <f>IF(Raw_Data!AH838&lt;&gt;"",Raw_Data!AH838,IF(Raw_Data!K838&lt;&gt;"",Raw_Data!K838,""))</f>
        <v/>
      </c>
      <c r="H835" s="12" t="str">
        <f>IF(Raw_Data!AI838&lt;&gt;"",Raw_Data!AI838,IF(Raw_Data!L838&lt;&gt;"",Raw_Data!L838,""))</f>
        <v/>
      </c>
      <c r="I835" s="12" t="str">
        <f t="shared" si="117"/>
        <v/>
      </c>
      <c r="J835" s="12" t="str">
        <f>IF(Raw_Data!M838="","",Raw_Data!M838)</f>
        <v/>
      </c>
      <c r="K835" s="12">
        <f>IF(Raw_Data!AJ838&lt;&gt;"",Raw_Data!AJ838,Raw_Data!N838)</f>
        <v>0</v>
      </c>
      <c r="L835" s="12">
        <f t="shared" si="118"/>
        <v>1</v>
      </c>
      <c r="M835" s="12" t="str">
        <f>IF(Raw_Data!AK838="","",Raw_Data!AK838)</f>
        <v/>
      </c>
      <c r="N835" s="12" t="str">
        <f>IF(Raw_Data!T838="","",Raw_Data!T838)</f>
        <v/>
      </c>
      <c r="O835" s="12" t="str">
        <f>IF(Raw_Data!AB838&lt;&gt;"",Raw_Data!AB838,IF(N835="tres_insatisfait",1,IF(N835="insatisfait",2,IF(N835="neutre",3,IF(N835="satisfait",4,IF(N835="tres_satisfait",5,""))))))</f>
        <v/>
      </c>
      <c r="P835" s="12">
        <f>IF(Raw_Data!AL838&lt;&gt;"",Raw_Data!AL838,Raw_Data!R838)</f>
        <v>0</v>
      </c>
      <c r="Q835" s="12">
        <f t="shared" si="119"/>
        <v>0</v>
      </c>
      <c r="R835" s="12" t="str">
        <f>IF(Raw_Data!AM838="","",Raw_Data!AM838)</f>
        <v/>
      </c>
      <c r="S835" s="12" t="str">
        <f t="shared" si="120"/>
        <v/>
      </c>
      <c r="T835" s="12" t="str">
        <f>IF(Raw_Data!AN838="","",Raw_Data!AN838)</f>
        <v/>
      </c>
      <c r="U835" s="12" t="str">
        <f t="shared" si="121"/>
        <v/>
      </c>
      <c r="V835" s="12" t="str">
        <f>IF(Raw_Data!AP838="","",IF(Raw_Data!AP838="oui",1,0))</f>
        <v/>
      </c>
      <c r="W835" s="12" t="str">
        <f>IF(Raw_Data!AQ838="","",IF(Raw_Data!AQ838="oui",1,0))</f>
        <v/>
      </c>
      <c r="X835" s="12" t="str">
        <f>IF(Raw_Data!AR838="","",IF(Raw_Data!AR838="oui",1,0))</f>
        <v/>
      </c>
      <c r="Y835" s="12" t="str">
        <f>IF(Raw_Data!AS838="","",IF(Raw_Data!AS838="oui",1,0))</f>
        <v/>
      </c>
      <c r="Z835" s="12" t="str">
        <f>IF(Raw_Data!V838="","",IF(Raw_Data!V838="oui",1,0))</f>
        <v/>
      </c>
      <c r="AA835" s="12" t="str">
        <f>IF(Raw_Data!W838="","",IF(Raw_Data!W838="oui",1,0))</f>
        <v/>
      </c>
      <c r="AB835" s="12" t="str">
        <f>IF(Raw_Data!Q838="","",IF(Raw_Data!Q838="oui",1,0))</f>
        <v/>
      </c>
      <c r="AC835" s="12">
        <f>Raw_Data!AF838</f>
        <v>0</v>
      </c>
      <c r="AD835" s="12" t="str">
        <f t="shared" si="122"/>
        <v/>
      </c>
      <c r="AE835" s="12" t="str">
        <f t="shared" si="123"/>
        <v/>
      </c>
      <c r="AF835" s="12" t="str">
        <f t="shared" si="124"/>
        <v/>
      </c>
      <c r="AG835" s="12">
        <f t="shared" si="125"/>
        <v>0</v>
      </c>
    </row>
    <row r="836" spans="1:33" ht="15" customHeight="1" x14ac:dyDescent="0.25">
      <c r="A836" s="12" t="str">
        <f>IF(Raw_Data!B839="","",Raw_Data!B839)</f>
        <v/>
      </c>
      <c r="B836" s="12">
        <f>IF(Raw_Data!X839&lt;&gt;"",Raw_Data!X839,Raw_Data!C839)</f>
        <v>0</v>
      </c>
      <c r="C836" s="12" t="str">
        <f>IF(Raw_Data!G839="","",Raw_Data!G839)</f>
        <v/>
      </c>
      <c r="D836" s="12" t="str">
        <f>IF(Raw_Data!H839="","",Raw_Data!H839)</f>
        <v/>
      </c>
      <c r="E836" s="12" t="str">
        <f>IF(Raw_Data!I839="","",Raw_Data!I839)</f>
        <v/>
      </c>
      <c r="F836" s="12" t="str">
        <f>IF(Raw_Data!J839="","",Raw_Data!J839)</f>
        <v/>
      </c>
      <c r="G836" s="12" t="str">
        <f>IF(Raw_Data!AH839&lt;&gt;"",Raw_Data!AH839,IF(Raw_Data!K839&lt;&gt;"",Raw_Data!K839,""))</f>
        <v/>
      </c>
      <c r="H836" s="12" t="str">
        <f>IF(Raw_Data!AI839&lt;&gt;"",Raw_Data!AI839,IF(Raw_Data!L839&lt;&gt;"",Raw_Data!L839,""))</f>
        <v/>
      </c>
      <c r="I836" s="12" t="str">
        <f t="shared" si="117"/>
        <v/>
      </c>
      <c r="J836" s="12" t="str">
        <f>IF(Raw_Data!M839="","",Raw_Data!M839)</f>
        <v/>
      </c>
      <c r="K836" s="12">
        <f>IF(Raw_Data!AJ839&lt;&gt;"",Raw_Data!AJ839,Raw_Data!N839)</f>
        <v>0</v>
      </c>
      <c r="L836" s="12">
        <f t="shared" si="118"/>
        <v>1</v>
      </c>
      <c r="M836" s="12" t="str">
        <f>IF(Raw_Data!AK839="","",Raw_Data!AK839)</f>
        <v/>
      </c>
      <c r="N836" s="12" t="str">
        <f>IF(Raw_Data!T839="","",Raw_Data!T839)</f>
        <v/>
      </c>
      <c r="O836" s="12" t="str">
        <f>IF(Raw_Data!AB839&lt;&gt;"",Raw_Data!AB839,IF(N836="tres_insatisfait",1,IF(N836="insatisfait",2,IF(N836="neutre",3,IF(N836="satisfait",4,IF(N836="tres_satisfait",5,""))))))</f>
        <v/>
      </c>
      <c r="P836" s="12">
        <f>IF(Raw_Data!AL839&lt;&gt;"",Raw_Data!AL839,Raw_Data!R839)</f>
        <v>0</v>
      </c>
      <c r="Q836" s="12">
        <f t="shared" si="119"/>
        <v>0</v>
      </c>
      <c r="R836" s="12" t="str">
        <f>IF(Raw_Data!AM839="","",Raw_Data!AM839)</f>
        <v/>
      </c>
      <c r="S836" s="12" t="str">
        <f t="shared" si="120"/>
        <v/>
      </c>
      <c r="T836" s="12" t="str">
        <f>IF(Raw_Data!AN839="","",Raw_Data!AN839)</f>
        <v/>
      </c>
      <c r="U836" s="12" t="str">
        <f t="shared" si="121"/>
        <v/>
      </c>
      <c r="V836" s="12" t="str">
        <f>IF(Raw_Data!AP839="","",IF(Raw_Data!AP839="oui",1,0))</f>
        <v/>
      </c>
      <c r="W836" s="12" t="str">
        <f>IF(Raw_Data!AQ839="","",IF(Raw_Data!AQ839="oui",1,0))</f>
        <v/>
      </c>
      <c r="X836" s="12" t="str">
        <f>IF(Raw_Data!AR839="","",IF(Raw_Data!AR839="oui",1,0))</f>
        <v/>
      </c>
      <c r="Y836" s="12" t="str">
        <f>IF(Raw_Data!AS839="","",IF(Raw_Data!AS839="oui",1,0))</f>
        <v/>
      </c>
      <c r="Z836" s="12" t="str">
        <f>IF(Raw_Data!V839="","",IF(Raw_Data!V839="oui",1,0))</f>
        <v/>
      </c>
      <c r="AA836" s="12" t="str">
        <f>IF(Raw_Data!W839="","",IF(Raw_Data!W839="oui",1,0))</f>
        <v/>
      </c>
      <c r="AB836" s="12" t="str">
        <f>IF(Raw_Data!Q839="","",IF(Raw_Data!Q839="oui",1,0))</f>
        <v/>
      </c>
      <c r="AC836" s="12">
        <f>Raw_Data!AF839</f>
        <v>0</v>
      </c>
      <c r="AD836" s="12" t="str">
        <f t="shared" si="122"/>
        <v/>
      </c>
      <c r="AE836" s="12" t="str">
        <f t="shared" si="123"/>
        <v/>
      </c>
      <c r="AF836" s="12" t="str">
        <f t="shared" si="124"/>
        <v/>
      </c>
      <c r="AG836" s="12">
        <f t="shared" si="125"/>
        <v>0</v>
      </c>
    </row>
    <row r="837" spans="1:33" ht="15" customHeight="1" x14ac:dyDescent="0.25">
      <c r="A837" s="12" t="str">
        <f>IF(Raw_Data!B840="","",Raw_Data!B840)</f>
        <v/>
      </c>
      <c r="B837" s="12">
        <f>IF(Raw_Data!X840&lt;&gt;"",Raw_Data!X840,Raw_Data!C840)</f>
        <v>0</v>
      </c>
      <c r="C837" s="12" t="str">
        <f>IF(Raw_Data!G840="","",Raw_Data!G840)</f>
        <v/>
      </c>
      <c r="D837" s="12" t="str">
        <f>IF(Raw_Data!H840="","",Raw_Data!H840)</f>
        <v/>
      </c>
      <c r="E837" s="12" t="str">
        <f>IF(Raw_Data!I840="","",Raw_Data!I840)</f>
        <v/>
      </c>
      <c r="F837" s="12" t="str">
        <f>IF(Raw_Data!J840="","",Raw_Data!J840)</f>
        <v/>
      </c>
      <c r="G837" s="12" t="str">
        <f>IF(Raw_Data!AH840&lt;&gt;"",Raw_Data!AH840,IF(Raw_Data!K840&lt;&gt;"",Raw_Data!K840,""))</f>
        <v/>
      </c>
      <c r="H837" s="12" t="str">
        <f>IF(Raw_Data!AI840&lt;&gt;"",Raw_Data!AI840,IF(Raw_Data!L840&lt;&gt;"",Raw_Data!L840,""))</f>
        <v/>
      </c>
      <c r="I837" s="12" t="str">
        <f t="shared" si="117"/>
        <v/>
      </c>
      <c r="J837" s="12" t="str">
        <f>IF(Raw_Data!M840="","",Raw_Data!M840)</f>
        <v/>
      </c>
      <c r="K837" s="12">
        <f>IF(Raw_Data!AJ840&lt;&gt;"",Raw_Data!AJ840,Raw_Data!N840)</f>
        <v>0</v>
      </c>
      <c r="L837" s="12">
        <f t="shared" si="118"/>
        <v>1</v>
      </c>
      <c r="M837" s="12" t="str">
        <f>IF(Raw_Data!AK840="","",Raw_Data!AK840)</f>
        <v/>
      </c>
      <c r="N837" s="12" t="str">
        <f>IF(Raw_Data!T840="","",Raw_Data!T840)</f>
        <v/>
      </c>
      <c r="O837" s="12" t="str">
        <f>IF(Raw_Data!AB840&lt;&gt;"",Raw_Data!AB840,IF(N837="tres_insatisfait",1,IF(N837="insatisfait",2,IF(N837="neutre",3,IF(N837="satisfait",4,IF(N837="tres_satisfait",5,""))))))</f>
        <v/>
      </c>
      <c r="P837" s="12">
        <f>IF(Raw_Data!AL840&lt;&gt;"",Raw_Data!AL840,Raw_Data!R840)</f>
        <v>0</v>
      </c>
      <c r="Q837" s="12">
        <f t="shared" si="119"/>
        <v>0</v>
      </c>
      <c r="R837" s="12" t="str">
        <f>IF(Raw_Data!AM840="","",Raw_Data!AM840)</f>
        <v/>
      </c>
      <c r="S837" s="12" t="str">
        <f t="shared" si="120"/>
        <v/>
      </c>
      <c r="T837" s="12" t="str">
        <f>IF(Raw_Data!AN840="","",Raw_Data!AN840)</f>
        <v/>
      </c>
      <c r="U837" s="12" t="str">
        <f t="shared" si="121"/>
        <v/>
      </c>
      <c r="V837" s="12" t="str">
        <f>IF(Raw_Data!AP840="","",IF(Raw_Data!AP840="oui",1,0))</f>
        <v/>
      </c>
      <c r="W837" s="12" t="str">
        <f>IF(Raw_Data!AQ840="","",IF(Raw_Data!AQ840="oui",1,0))</f>
        <v/>
      </c>
      <c r="X837" s="12" t="str">
        <f>IF(Raw_Data!AR840="","",IF(Raw_Data!AR840="oui",1,0))</f>
        <v/>
      </c>
      <c r="Y837" s="12" t="str">
        <f>IF(Raw_Data!AS840="","",IF(Raw_Data!AS840="oui",1,0))</f>
        <v/>
      </c>
      <c r="Z837" s="12" t="str">
        <f>IF(Raw_Data!V840="","",IF(Raw_Data!V840="oui",1,0))</f>
        <v/>
      </c>
      <c r="AA837" s="12" t="str">
        <f>IF(Raw_Data!W840="","",IF(Raw_Data!W840="oui",1,0))</f>
        <v/>
      </c>
      <c r="AB837" s="12" t="str">
        <f>IF(Raw_Data!Q840="","",IF(Raw_Data!Q840="oui",1,0))</f>
        <v/>
      </c>
      <c r="AC837" s="12">
        <f>Raw_Data!AF840</f>
        <v>0</v>
      </c>
      <c r="AD837" s="12" t="str">
        <f t="shared" si="122"/>
        <v/>
      </c>
      <c r="AE837" s="12" t="str">
        <f t="shared" si="123"/>
        <v/>
      </c>
      <c r="AF837" s="12" t="str">
        <f t="shared" si="124"/>
        <v/>
      </c>
      <c r="AG837" s="12">
        <f t="shared" si="125"/>
        <v>0</v>
      </c>
    </row>
    <row r="838" spans="1:33" ht="15" customHeight="1" x14ac:dyDescent="0.25">
      <c r="A838" s="12" t="str">
        <f>IF(Raw_Data!B841="","",Raw_Data!B841)</f>
        <v/>
      </c>
      <c r="B838" s="12">
        <f>IF(Raw_Data!X841&lt;&gt;"",Raw_Data!X841,Raw_Data!C841)</f>
        <v>0</v>
      </c>
      <c r="C838" s="12" t="str">
        <f>IF(Raw_Data!G841="","",Raw_Data!G841)</f>
        <v/>
      </c>
      <c r="D838" s="12" t="str">
        <f>IF(Raw_Data!H841="","",Raw_Data!H841)</f>
        <v/>
      </c>
      <c r="E838" s="12" t="str">
        <f>IF(Raw_Data!I841="","",Raw_Data!I841)</f>
        <v/>
      </c>
      <c r="F838" s="12" t="str">
        <f>IF(Raw_Data!J841="","",Raw_Data!J841)</f>
        <v/>
      </c>
      <c r="G838" s="12" t="str">
        <f>IF(Raw_Data!AH841&lt;&gt;"",Raw_Data!AH841,IF(Raw_Data!K841&lt;&gt;"",Raw_Data!K841,""))</f>
        <v/>
      </c>
      <c r="H838" s="12" t="str">
        <f>IF(Raw_Data!AI841&lt;&gt;"",Raw_Data!AI841,IF(Raw_Data!L841&lt;&gt;"",Raw_Data!L841,""))</f>
        <v/>
      </c>
      <c r="I838" s="12" t="str">
        <f t="shared" si="117"/>
        <v/>
      </c>
      <c r="J838" s="12" t="str">
        <f>IF(Raw_Data!M841="","",Raw_Data!M841)</f>
        <v/>
      </c>
      <c r="K838" s="12">
        <f>IF(Raw_Data!AJ841&lt;&gt;"",Raw_Data!AJ841,Raw_Data!N841)</f>
        <v>0</v>
      </c>
      <c r="L838" s="12">
        <f t="shared" si="118"/>
        <v>1</v>
      </c>
      <c r="M838" s="12" t="str">
        <f>IF(Raw_Data!AK841="","",Raw_Data!AK841)</f>
        <v/>
      </c>
      <c r="N838" s="12" t="str">
        <f>IF(Raw_Data!T841="","",Raw_Data!T841)</f>
        <v/>
      </c>
      <c r="O838" s="12" t="str">
        <f>IF(Raw_Data!AB841&lt;&gt;"",Raw_Data!AB841,IF(N838="tres_insatisfait",1,IF(N838="insatisfait",2,IF(N838="neutre",3,IF(N838="satisfait",4,IF(N838="tres_satisfait",5,""))))))</f>
        <v/>
      </c>
      <c r="P838" s="12">
        <f>IF(Raw_Data!AL841&lt;&gt;"",Raw_Data!AL841,Raw_Data!R841)</f>
        <v>0</v>
      </c>
      <c r="Q838" s="12">
        <f t="shared" si="119"/>
        <v>0</v>
      </c>
      <c r="R838" s="12" t="str">
        <f>IF(Raw_Data!AM841="","",Raw_Data!AM841)</f>
        <v/>
      </c>
      <c r="S838" s="12" t="str">
        <f t="shared" si="120"/>
        <v/>
      </c>
      <c r="T838" s="12" t="str">
        <f>IF(Raw_Data!AN841="","",Raw_Data!AN841)</f>
        <v/>
      </c>
      <c r="U838" s="12" t="str">
        <f t="shared" si="121"/>
        <v/>
      </c>
      <c r="V838" s="12" t="str">
        <f>IF(Raw_Data!AP841="","",IF(Raw_Data!AP841="oui",1,0))</f>
        <v/>
      </c>
      <c r="W838" s="12" t="str">
        <f>IF(Raw_Data!AQ841="","",IF(Raw_Data!AQ841="oui",1,0))</f>
        <v/>
      </c>
      <c r="X838" s="12" t="str">
        <f>IF(Raw_Data!AR841="","",IF(Raw_Data!AR841="oui",1,0))</f>
        <v/>
      </c>
      <c r="Y838" s="12" t="str">
        <f>IF(Raw_Data!AS841="","",IF(Raw_Data!AS841="oui",1,0))</f>
        <v/>
      </c>
      <c r="Z838" s="12" t="str">
        <f>IF(Raw_Data!V841="","",IF(Raw_Data!V841="oui",1,0))</f>
        <v/>
      </c>
      <c r="AA838" s="12" t="str">
        <f>IF(Raw_Data!W841="","",IF(Raw_Data!W841="oui",1,0))</f>
        <v/>
      </c>
      <c r="AB838" s="12" t="str">
        <f>IF(Raw_Data!Q841="","",IF(Raw_Data!Q841="oui",1,0))</f>
        <v/>
      </c>
      <c r="AC838" s="12">
        <f>Raw_Data!AF841</f>
        <v>0</v>
      </c>
      <c r="AD838" s="12" t="str">
        <f t="shared" si="122"/>
        <v/>
      </c>
      <c r="AE838" s="12" t="str">
        <f t="shared" si="123"/>
        <v/>
      </c>
      <c r="AF838" s="12" t="str">
        <f t="shared" si="124"/>
        <v/>
      </c>
      <c r="AG838" s="12">
        <f t="shared" si="125"/>
        <v>0</v>
      </c>
    </row>
    <row r="839" spans="1:33" ht="15" customHeight="1" x14ac:dyDescent="0.25">
      <c r="A839" s="12" t="str">
        <f>IF(Raw_Data!B842="","",Raw_Data!B842)</f>
        <v/>
      </c>
      <c r="B839" s="12">
        <f>IF(Raw_Data!X842&lt;&gt;"",Raw_Data!X842,Raw_Data!C842)</f>
        <v>0</v>
      </c>
      <c r="C839" s="12" t="str">
        <f>IF(Raw_Data!G842="","",Raw_Data!G842)</f>
        <v/>
      </c>
      <c r="D839" s="12" t="str">
        <f>IF(Raw_Data!H842="","",Raw_Data!H842)</f>
        <v/>
      </c>
      <c r="E839" s="12" t="str">
        <f>IF(Raw_Data!I842="","",Raw_Data!I842)</f>
        <v/>
      </c>
      <c r="F839" s="12" t="str">
        <f>IF(Raw_Data!J842="","",Raw_Data!J842)</f>
        <v/>
      </c>
      <c r="G839" s="12" t="str">
        <f>IF(Raw_Data!AH842&lt;&gt;"",Raw_Data!AH842,IF(Raw_Data!K842&lt;&gt;"",Raw_Data!K842,""))</f>
        <v/>
      </c>
      <c r="H839" s="12" t="str">
        <f>IF(Raw_Data!AI842&lt;&gt;"",Raw_Data!AI842,IF(Raw_Data!L842&lt;&gt;"",Raw_Data!L842,""))</f>
        <v/>
      </c>
      <c r="I839" s="12" t="str">
        <f t="shared" si="117"/>
        <v/>
      </c>
      <c r="J839" s="12" t="str">
        <f>IF(Raw_Data!M842="","",Raw_Data!M842)</f>
        <v/>
      </c>
      <c r="K839" s="12">
        <f>IF(Raw_Data!AJ842&lt;&gt;"",Raw_Data!AJ842,Raw_Data!N842)</f>
        <v>0</v>
      </c>
      <c r="L839" s="12">
        <f t="shared" si="118"/>
        <v>1</v>
      </c>
      <c r="M839" s="12" t="str">
        <f>IF(Raw_Data!AK842="","",Raw_Data!AK842)</f>
        <v/>
      </c>
      <c r="N839" s="12" t="str">
        <f>IF(Raw_Data!T842="","",Raw_Data!T842)</f>
        <v/>
      </c>
      <c r="O839" s="12" t="str">
        <f>IF(Raw_Data!AB842&lt;&gt;"",Raw_Data!AB842,IF(N839="tres_insatisfait",1,IF(N839="insatisfait",2,IF(N839="neutre",3,IF(N839="satisfait",4,IF(N839="tres_satisfait",5,""))))))</f>
        <v/>
      </c>
      <c r="P839" s="12">
        <f>IF(Raw_Data!AL842&lt;&gt;"",Raw_Data!AL842,Raw_Data!R842)</f>
        <v>0</v>
      </c>
      <c r="Q839" s="12">
        <f t="shared" si="119"/>
        <v>0</v>
      </c>
      <c r="R839" s="12" t="str">
        <f>IF(Raw_Data!AM842="","",Raw_Data!AM842)</f>
        <v/>
      </c>
      <c r="S839" s="12" t="str">
        <f t="shared" si="120"/>
        <v/>
      </c>
      <c r="T839" s="12" t="str">
        <f>IF(Raw_Data!AN842="","",Raw_Data!AN842)</f>
        <v/>
      </c>
      <c r="U839" s="12" t="str">
        <f t="shared" si="121"/>
        <v/>
      </c>
      <c r="V839" s="12" t="str">
        <f>IF(Raw_Data!AP842="","",IF(Raw_Data!AP842="oui",1,0))</f>
        <v/>
      </c>
      <c r="W839" s="12" t="str">
        <f>IF(Raw_Data!AQ842="","",IF(Raw_Data!AQ842="oui",1,0))</f>
        <v/>
      </c>
      <c r="X839" s="12" t="str">
        <f>IF(Raw_Data!AR842="","",IF(Raw_Data!AR842="oui",1,0))</f>
        <v/>
      </c>
      <c r="Y839" s="12" t="str">
        <f>IF(Raw_Data!AS842="","",IF(Raw_Data!AS842="oui",1,0))</f>
        <v/>
      </c>
      <c r="Z839" s="12" t="str">
        <f>IF(Raw_Data!V842="","",IF(Raw_Data!V842="oui",1,0))</f>
        <v/>
      </c>
      <c r="AA839" s="12" t="str">
        <f>IF(Raw_Data!W842="","",IF(Raw_Data!W842="oui",1,0))</f>
        <v/>
      </c>
      <c r="AB839" s="12" t="str">
        <f>IF(Raw_Data!Q842="","",IF(Raw_Data!Q842="oui",1,0))</f>
        <v/>
      </c>
      <c r="AC839" s="12">
        <f>Raw_Data!AF842</f>
        <v>0</v>
      </c>
      <c r="AD839" s="12" t="str">
        <f t="shared" si="122"/>
        <v/>
      </c>
      <c r="AE839" s="12" t="str">
        <f t="shared" si="123"/>
        <v/>
      </c>
      <c r="AF839" s="12" t="str">
        <f t="shared" si="124"/>
        <v/>
      </c>
      <c r="AG839" s="12">
        <f t="shared" si="125"/>
        <v>0</v>
      </c>
    </row>
    <row r="840" spans="1:33" ht="15" customHeight="1" x14ac:dyDescent="0.25">
      <c r="A840" s="12" t="str">
        <f>IF(Raw_Data!B843="","",Raw_Data!B843)</f>
        <v/>
      </c>
      <c r="B840" s="12">
        <f>IF(Raw_Data!X843&lt;&gt;"",Raw_Data!X843,Raw_Data!C843)</f>
        <v>0</v>
      </c>
      <c r="C840" s="12" t="str">
        <f>IF(Raw_Data!G843="","",Raw_Data!G843)</f>
        <v/>
      </c>
      <c r="D840" s="12" t="str">
        <f>IF(Raw_Data!H843="","",Raw_Data!H843)</f>
        <v/>
      </c>
      <c r="E840" s="12" t="str">
        <f>IF(Raw_Data!I843="","",Raw_Data!I843)</f>
        <v/>
      </c>
      <c r="F840" s="12" t="str">
        <f>IF(Raw_Data!J843="","",Raw_Data!J843)</f>
        <v/>
      </c>
      <c r="G840" s="12" t="str">
        <f>IF(Raw_Data!AH843&lt;&gt;"",Raw_Data!AH843,IF(Raw_Data!K843&lt;&gt;"",Raw_Data!K843,""))</f>
        <v/>
      </c>
      <c r="H840" s="12" t="str">
        <f>IF(Raw_Data!AI843&lt;&gt;"",Raw_Data!AI843,IF(Raw_Data!L843&lt;&gt;"",Raw_Data!L843,""))</f>
        <v/>
      </c>
      <c r="I840" s="12" t="str">
        <f t="shared" si="117"/>
        <v/>
      </c>
      <c r="J840" s="12" t="str">
        <f>IF(Raw_Data!M843="","",Raw_Data!M843)</f>
        <v/>
      </c>
      <c r="K840" s="12">
        <f>IF(Raw_Data!AJ843&lt;&gt;"",Raw_Data!AJ843,Raw_Data!N843)</f>
        <v>0</v>
      </c>
      <c r="L840" s="12">
        <f t="shared" si="118"/>
        <v>1</v>
      </c>
      <c r="M840" s="12" t="str">
        <f>IF(Raw_Data!AK843="","",Raw_Data!AK843)</f>
        <v/>
      </c>
      <c r="N840" s="12" t="str">
        <f>IF(Raw_Data!T843="","",Raw_Data!T843)</f>
        <v/>
      </c>
      <c r="O840" s="12" t="str">
        <f>IF(Raw_Data!AB843&lt;&gt;"",Raw_Data!AB843,IF(N840="tres_insatisfait",1,IF(N840="insatisfait",2,IF(N840="neutre",3,IF(N840="satisfait",4,IF(N840="tres_satisfait",5,""))))))</f>
        <v/>
      </c>
      <c r="P840" s="12">
        <f>IF(Raw_Data!AL843&lt;&gt;"",Raw_Data!AL843,Raw_Data!R843)</f>
        <v>0</v>
      </c>
      <c r="Q840" s="12">
        <f t="shared" si="119"/>
        <v>0</v>
      </c>
      <c r="R840" s="12" t="str">
        <f>IF(Raw_Data!AM843="","",Raw_Data!AM843)</f>
        <v/>
      </c>
      <c r="S840" s="12" t="str">
        <f t="shared" si="120"/>
        <v/>
      </c>
      <c r="T840" s="12" t="str">
        <f>IF(Raw_Data!AN843="","",Raw_Data!AN843)</f>
        <v/>
      </c>
      <c r="U840" s="12" t="str">
        <f t="shared" si="121"/>
        <v/>
      </c>
      <c r="V840" s="12" t="str">
        <f>IF(Raw_Data!AP843="","",IF(Raw_Data!AP843="oui",1,0))</f>
        <v/>
      </c>
      <c r="W840" s="12" t="str">
        <f>IF(Raw_Data!AQ843="","",IF(Raw_Data!AQ843="oui",1,0))</f>
        <v/>
      </c>
      <c r="X840" s="12" t="str">
        <f>IF(Raw_Data!AR843="","",IF(Raw_Data!AR843="oui",1,0))</f>
        <v/>
      </c>
      <c r="Y840" s="12" t="str">
        <f>IF(Raw_Data!AS843="","",IF(Raw_Data!AS843="oui",1,0))</f>
        <v/>
      </c>
      <c r="Z840" s="12" t="str">
        <f>IF(Raw_Data!V843="","",IF(Raw_Data!V843="oui",1,0))</f>
        <v/>
      </c>
      <c r="AA840" s="12" t="str">
        <f>IF(Raw_Data!W843="","",IF(Raw_Data!W843="oui",1,0))</f>
        <v/>
      </c>
      <c r="AB840" s="12" t="str">
        <f>IF(Raw_Data!Q843="","",IF(Raw_Data!Q843="oui",1,0))</f>
        <v/>
      </c>
      <c r="AC840" s="12">
        <f>Raw_Data!AF843</f>
        <v>0</v>
      </c>
      <c r="AD840" s="12" t="str">
        <f t="shared" si="122"/>
        <v/>
      </c>
      <c r="AE840" s="12" t="str">
        <f t="shared" si="123"/>
        <v/>
      </c>
      <c r="AF840" s="12" t="str">
        <f t="shared" si="124"/>
        <v/>
      </c>
      <c r="AG840" s="12">
        <f t="shared" si="125"/>
        <v>0</v>
      </c>
    </row>
    <row r="841" spans="1:33" ht="15" customHeight="1" x14ac:dyDescent="0.25">
      <c r="A841" s="12" t="str">
        <f>IF(Raw_Data!B844="","",Raw_Data!B844)</f>
        <v/>
      </c>
      <c r="B841" s="12">
        <f>IF(Raw_Data!X844&lt;&gt;"",Raw_Data!X844,Raw_Data!C844)</f>
        <v>0</v>
      </c>
      <c r="C841" s="12" t="str">
        <f>IF(Raw_Data!G844="","",Raw_Data!G844)</f>
        <v/>
      </c>
      <c r="D841" s="12" t="str">
        <f>IF(Raw_Data!H844="","",Raw_Data!H844)</f>
        <v/>
      </c>
      <c r="E841" s="12" t="str">
        <f>IF(Raw_Data!I844="","",Raw_Data!I844)</f>
        <v/>
      </c>
      <c r="F841" s="12" t="str">
        <f>IF(Raw_Data!J844="","",Raw_Data!J844)</f>
        <v/>
      </c>
      <c r="G841" s="12" t="str">
        <f>IF(Raw_Data!AH844&lt;&gt;"",Raw_Data!AH844,IF(Raw_Data!K844&lt;&gt;"",Raw_Data!K844,""))</f>
        <v/>
      </c>
      <c r="H841" s="12" t="str">
        <f>IF(Raw_Data!AI844&lt;&gt;"",Raw_Data!AI844,IF(Raw_Data!L844&lt;&gt;"",Raw_Data!L844,""))</f>
        <v/>
      </c>
      <c r="I841" s="12" t="str">
        <f t="shared" si="117"/>
        <v/>
      </c>
      <c r="J841" s="12" t="str">
        <f>IF(Raw_Data!M844="","",Raw_Data!M844)</f>
        <v/>
      </c>
      <c r="K841" s="12">
        <f>IF(Raw_Data!AJ844&lt;&gt;"",Raw_Data!AJ844,Raw_Data!N844)</f>
        <v>0</v>
      </c>
      <c r="L841" s="12">
        <f t="shared" si="118"/>
        <v>1</v>
      </c>
      <c r="M841" s="12" t="str">
        <f>IF(Raw_Data!AK844="","",Raw_Data!AK844)</f>
        <v/>
      </c>
      <c r="N841" s="12" t="str">
        <f>IF(Raw_Data!T844="","",Raw_Data!T844)</f>
        <v/>
      </c>
      <c r="O841" s="12" t="str">
        <f>IF(Raw_Data!AB844&lt;&gt;"",Raw_Data!AB844,IF(N841="tres_insatisfait",1,IF(N841="insatisfait",2,IF(N841="neutre",3,IF(N841="satisfait",4,IF(N841="tres_satisfait",5,""))))))</f>
        <v/>
      </c>
      <c r="P841" s="12">
        <f>IF(Raw_Data!AL844&lt;&gt;"",Raw_Data!AL844,Raw_Data!R844)</f>
        <v>0</v>
      </c>
      <c r="Q841" s="12">
        <f t="shared" si="119"/>
        <v>0</v>
      </c>
      <c r="R841" s="12" t="str">
        <f>IF(Raw_Data!AM844="","",Raw_Data!AM844)</f>
        <v/>
      </c>
      <c r="S841" s="12" t="str">
        <f t="shared" si="120"/>
        <v/>
      </c>
      <c r="T841" s="12" t="str">
        <f>IF(Raw_Data!AN844="","",Raw_Data!AN844)</f>
        <v/>
      </c>
      <c r="U841" s="12" t="str">
        <f t="shared" si="121"/>
        <v/>
      </c>
      <c r="V841" s="12" t="str">
        <f>IF(Raw_Data!AP844="","",IF(Raw_Data!AP844="oui",1,0))</f>
        <v/>
      </c>
      <c r="W841" s="12" t="str">
        <f>IF(Raw_Data!AQ844="","",IF(Raw_Data!AQ844="oui",1,0))</f>
        <v/>
      </c>
      <c r="X841" s="12" t="str">
        <f>IF(Raw_Data!AR844="","",IF(Raw_Data!AR844="oui",1,0))</f>
        <v/>
      </c>
      <c r="Y841" s="12" t="str">
        <f>IF(Raw_Data!AS844="","",IF(Raw_Data!AS844="oui",1,0))</f>
        <v/>
      </c>
      <c r="Z841" s="12" t="str">
        <f>IF(Raw_Data!V844="","",IF(Raw_Data!V844="oui",1,0))</f>
        <v/>
      </c>
      <c r="AA841" s="12" t="str">
        <f>IF(Raw_Data!W844="","",IF(Raw_Data!W844="oui",1,0))</f>
        <v/>
      </c>
      <c r="AB841" s="12" t="str">
        <f>IF(Raw_Data!Q844="","",IF(Raw_Data!Q844="oui",1,0))</f>
        <v/>
      </c>
      <c r="AC841" s="12">
        <f>Raw_Data!AF844</f>
        <v>0</v>
      </c>
      <c r="AD841" s="12" t="str">
        <f t="shared" si="122"/>
        <v/>
      </c>
      <c r="AE841" s="12" t="str">
        <f t="shared" si="123"/>
        <v/>
      </c>
      <c r="AF841" s="12" t="str">
        <f t="shared" si="124"/>
        <v/>
      </c>
      <c r="AG841" s="12">
        <f t="shared" si="125"/>
        <v>0</v>
      </c>
    </row>
    <row r="842" spans="1:33" ht="15" customHeight="1" x14ac:dyDescent="0.25">
      <c r="A842" s="12" t="str">
        <f>IF(Raw_Data!B845="","",Raw_Data!B845)</f>
        <v/>
      </c>
      <c r="B842" s="12">
        <f>IF(Raw_Data!X845&lt;&gt;"",Raw_Data!X845,Raw_Data!C845)</f>
        <v>0</v>
      </c>
      <c r="C842" s="12" t="str">
        <f>IF(Raw_Data!G845="","",Raw_Data!G845)</f>
        <v/>
      </c>
      <c r="D842" s="12" t="str">
        <f>IF(Raw_Data!H845="","",Raw_Data!H845)</f>
        <v/>
      </c>
      <c r="E842" s="12" t="str">
        <f>IF(Raw_Data!I845="","",Raw_Data!I845)</f>
        <v/>
      </c>
      <c r="F842" s="12" t="str">
        <f>IF(Raw_Data!J845="","",Raw_Data!J845)</f>
        <v/>
      </c>
      <c r="G842" s="12" t="str">
        <f>IF(Raw_Data!AH845&lt;&gt;"",Raw_Data!AH845,IF(Raw_Data!K845&lt;&gt;"",Raw_Data!K845,""))</f>
        <v/>
      </c>
      <c r="H842" s="12" t="str">
        <f>IF(Raw_Data!AI845&lt;&gt;"",Raw_Data!AI845,IF(Raw_Data!L845&lt;&gt;"",Raw_Data!L845,""))</f>
        <v/>
      </c>
      <c r="I842" s="12" t="str">
        <f t="shared" si="117"/>
        <v/>
      </c>
      <c r="J842" s="12" t="str">
        <f>IF(Raw_Data!M845="","",Raw_Data!M845)</f>
        <v/>
      </c>
      <c r="K842" s="12">
        <f>IF(Raw_Data!AJ845&lt;&gt;"",Raw_Data!AJ845,Raw_Data!N845)</f>
        <v>0</v>
      </c>
      <c r="L842" s="12">
        <f t="shared" si="118"/>
        <v>1</v>
      </c>
      <c r="M842" s="12" t="str">
        <f>IF(Raw_Data!AK845="","",Raw_Data!AK845)</f>
        <v/>
      </c>
      <c r="N842" s="12" t="str">
        <f>IF(Raw_Data!T845="","",Raw_Data!T845)</f>
        <v/>
      </c>
      <c r="O842" s="12" t="str">
        <f>IF(Raw_Data!AB845&lt;&gt;"",Raw_Data!AB845,IF(N842="tres_insatisfait",1,IF(N842="insatisfait",2,IF(N842="neutre",3,IF(N842="satisfait",4,IF(N842="tres_satisfait",5,""))))))</f>
        <v/>
      </c>
      <c r="P842" s="12">
        <f>IF(Raw_Data!AL845&lt;&gt;"",Raw_Data!AL845,Raw_Data!R845)</f>
        <v>0</v>
      </c>
      <c r="Q842" s="12">
        <f t="shared" si="119"/>
        <v>0</v>
      </c>
      <c r="R842" s="12" t="str">
        <f>IF(Raw_Data!AM845="","",Raw_Data!AM845)</f>
        <v/>
      </c>
      <c r="S842" s="12" t="str">
        <f t="shared" si="120"/>
        <v/>
      </c>
      <c r="T842" s="12" t="str">
        <f>IF(Raw_Data!AN845="","",Raw_Data!AN845)</f>
        <v/>
      </c>
      <c r="U842" s="12" t="str">
        <f t="shared" si="121"/>
        <v/>
      </c>
      <c r="V842" s="12" t="str">
        <f>IF(Raw_Data!AP845="","",IF(Raw_Data!AP845="oui",1,0))</f>
        <v/>
      </c>
      <c r="W842" s="12" t="str">
        <f>IF(Raw_Data!AQ845="","",IF(Raw_Data!AQ845="oui",1,0))</f>
        <v/>
      </c>
      <c r="X842" s="12" t="str">
        <f>IF(Raw_Data!AR845="","",IF(Raw_Data!AR845="oui",1,0))</f>
        <v/>
      </c>
      <c r="Y842" s="12" t="str">
        <f>IF(Raw_Data!AS845="","",IF(Raw_Data!AS845="oui",1,0))</f>
        <v/>
      </c>
      <c r="Z842" s="12" t="str">
        <f>IF(Raw_Data!V845="","",IF(Raw_Data!V845="oui",1,0))</f>
        <v/>
      </c>
      <c r="AA842" s="12" t="str">
        <f>IF(Raw_Data!W845="","",IF(Raw_Data!W845="oui",1,0))</f>
        <v/>
      </c>
      <c r="AB842" s="12" t="str">
        <f>IF(Raw_Data!Q845="","",IF(Raw_Data!Q845="oui",1,0))</f>
        <v/>
      </c>
      <c r="AC842" s="12">
        <f>Raw_Data!AF845</f>
        <v>0</v>
      </c>
      <c r="AD842" s="12" t="str">
        <f t="shared" si="122"/>
        <v/>
      </c>
      <c r="AE842" s="12" t="str">
        <f t="shared" si="123"/>
        <v/>
      </c>
      <c r="AF842" s="12" t="str">
        <f t="shared" si="124"/>
        <v/>
      </c>
      <c r="AG842" s="12">
        <f t="shared" si="125"/>
        <v>0</v>
      </c>
    </row>
    <row r="843" spans="1:33" ht="15" customHeight="1" x14ac:dyDescent="0.25">
      <c r="A843" s="12" t="str">
        <f>IF(Raw_Data!B846="","",Raw_Data!B846)</f>
        <v/>
      </c>
      <c r="B843" s="12">
        <f>IF(Raw_Data!X846&lt;&gt;"",Raw_Data!X846,Raw_Data!C846)</f>
        <v>0</v>
      </c>
      <c r="C843" s="12" t="str">
        <f>IF(Raw_Data!G846="","",Raw_Data!G846)</f>
        <v/>
      </c>
      <c r="D843" s="12" t="str">
        <f>IF(Raw_Data!H846="","",Raw_Data!H846)</f>
        <v/>
      </c>
      <c r="E843" s="12" t="str">
        <f>IF(Raw_Data!I846="","",Raw_Data!I846)</f>
        <v/>
      </c>
      <c r="F843" s="12" t="str">
        <f>IF(Raw_Data!J846="","",Raw_Data!J846)</f>
        <v/>
      </c>
      <c r="G843" s="12" t="str">
        <f>IF(Raw_Data!AH846&lt;&gt;"",Raw_Data!AH846,IF(Raw_Data!K846&lt;&gt;"",Raw_Data!K846,""))</f>
        <v/>
      </c>
      <c r="H843" s="12" t="str">
        <f>IF(Raw_Data!AI846&lt;&gt;"",Raw_Data!AI846,IF(Raw_Data!L846&lt;&gt;"",Raw_Data!L846,""))</f>
        <v/>
      </c>
      <c r="I843" s="12" t="str">
        <f t="shared" si="117"/>
        <v/>
      </c>
      <c r="J843" s="12" t="str">
        <f>IF(Raw_Data!M846="","",Raw_Data!M846)</f>
        <v/>
      </c>
      <c r="K843" s="12">
        <f>IF(Raw_Data!AJ846&lt;&gt;"",Raw_Data!AJ846,Raw_Data!N846)</f>
        <v>0</v>
      </c>
      <c r="L843" s="12">
        <f t="shared" si="118"/>
        <v>1</v>
      </c>
      <c r="M843" s="12" t="str">
        <f>IF(Raw_Data!AK846="","",Raw_Data!AK846)</f>
        <v/>
      </c>
      <c r="N843" s="12" t="str">
        <f>IF(Raw_Data!T846="","",Raw_Data!T846)</f>
        <v/>
      </c>
      <c r="O843" s="12" t="str">
        <f>IF(Raw_Data!AB846&lt;&gt;"",Raw_Data!AB846,IF(N843="tres_insatisfait",1,IF(N843="insatisfait",2,IF(N843="neutre",3,IF(N843="satisfait",4,IF(N843="tres_satisfait",5,""))))))</f>
        <v/>
      </c>
      <c r="P843" s="12">
        <f>IF(Raw_Data!AL846&lt;&gt;"",Raw_Data!AL846,Raw_Data!R846)</f>
        <v>0</v>
      </c>
      <c r="Q843" s="12">
        <f t="shared" si="119"/>
        <v>0</v>
      </c>
      <c r="R843" s="12" t="str">
        <f>IF(Raw_Data!AM846="","",Raw_Data!AM846)</f>
        <v/>
      </c>
      <c r="S843" s="12" t="str">
        <f t="shared" si="120"/>
        <v/>
      </c>
      <c r="T843" s="12" t="str">
        <f>IF(Raw_Data!AN846="","",Raw_Data!AN846)</f>
        <v/>
      </c>
      <c r="U843" s="12" t="str">
        <f t="shared" si="121"/>
        <v/>
      </c>
      <c r="V843" s="12" t="str">
        <f>IF(Raw_Data!AP846="","",IF(Raw_Data!AP846="oui",1,0))</f>
        <v/>
      </c>
      <c r="W843" s="12" t="str">
        <f>IF(Raw_Data!AQ846="","",IF(Raw_Data!AQ846="oui",1,0))</f>
        <v/>
      </c>
      <c r="X843" s="12" t="str">
        <f>IF(Raw_Data!AR846="","",IF(Raw_Data!AR846="oui",1,0))</f>
        <v/>
      </c>
      <c r="Y843" s="12" t="str">
        <f>IF(Raw_Data!AS846="","",IF(Raw_Data!AS846="oui",1,0))</f>
        <v/>
      </c>
      <c r="Z843" s="12" t="str">
        <f>IF(Raw_Data!V846="","",IF(Raw_Data!V846="oui",1,0))</f>
        <v/>
      </c>
      <c r="AA843" s="12" t="str">
        <f>IF(Raw_Data!W846="","",IF(Raw_Data!W846="oui",1,0))</f>
        <v/>
      </c>
      <c r="AB843" s="12" t="str">
        <f>IF(Raw_Data!Q846="","",IF(Raw_Data!Q846="oui",1,0))</f>
        <v/>
      </c>
      <c r="AC843" s="12">
        <f>Raw_Data!AF846</f>
        <v>0</v>
      </c>
      <c r="AD843" s="12" t="str">
        <f t="shared" si="122"/>
        <v/>
      </c>
      <c r="AE843" s="12" t="str">
        <f t="shared" si="123"/>
        <v/>
      </c>
      <c r="AF843" s="12" t="str">
        <f t="shared" si="124"/>
        <v/>
      </c>
      <c r="AG843" s="12">
        <f t="shared" si="125"/>
        <v>0</v>
      </c>
    </row>
    <row r="844" spans="1:33" ht="15" customHeight="1" x14ac:dyDescent="0.25">
      <c r="A844" s="12" t="str">
        <f>IF(Raw_Data!B847="","",Raw_Data!B847)</f>
        <v/>
      </c>
      <c r="B844" s="12">
        <f>IF(Raw_Data!X847&lt;&gt;"",Raw_Data!X847,Raw_Data!C847)</f>
        <v>0</v>
      </c>
      <c r="C844" s="12" t="str">
        <f>IF(Raw_Data!G847="","",Raw_Data!G847)</f>
        <v/>
      </c>
      <c r="D844" s="12" t="str">
        <f>IF(Raw_Data!H847="","",Raw_Data!H847)</f>
        <v/>
      </c>
      <c r="E844" s="12" t="str">
        <f>IF(Raw_Data!I847="","",Raw_Data!I847)</f>
        <v/>
      </c>
      <c r="F844" s="12" t="str">
        <f>IF(Raw_Data!J847="","",Raw_Data!J847)</f>
        <v/>
      </c>
      <c r="G844" s="12" t="str">
        <f>IF(Raw_Data!AH847&lt;&gt;"",Raw_Data!AH847,IF(Raw_Data!K847&lt;&gt;"",Raw_Data!K847,""))</f>
        <v/>
      </c>
      <c r="H844" s="12" t="str">
        <f>IF(Raw_Data!AI847&lt;&gt;"",Raw_Data!AI847,IF(Raw_Data!L847&lt;&gt;"",Raw_Data!L847,""))</f>
        <v/>
      </c>
      <c r="I844" s="12" t="str">
        <f t="shared" si="117"/>
        <v/>
      </c>
      <c r="J844" s="12" t="str">
        <f>IF(Raw_Data!M847="","",Raw_Data!M847)</f>
        <v/>
      </c>
      <c r="K844" s="12">
        <f>IF(Raw_Data!AJ847&lt;&gt;"",Raw_Data!AJ847,Raw_Data!N847)</f>
        <v>0</v>
      </c>
      <c r="L844" s="12">
        <f t="shared" si="118"/>
        <v>1</v>
      </c>
      <c r="M844" s="12" t="str">
        <f>IF(Raw_Data!AK847="","",Raw_Data!AK847)</f>
        <v/>
      </c>
      <c r="N844" s="12" t="str">
        <f>IF(Raw_Data!T847="","",Raw_Data!T847)</f>
        <v/>
      </c>
      <c r="O844" s="12" t="str">
        <f>IF(Raw_Data!AB847&lt;&gt;"",Raw_Data!AB847,IF(N844="tres_insatisfait",1,IF(N844="insatisfait",2,IF(N844="neutre",3,IF(N844="satisfait",4,IF(N844="tres_satisfait",5,""))))))</f>
        <v/>
      </c>
      <c r="P844" s="12">
        <f>IF(Raw_Data!AL847&lt;&gt;"",Raw_Data!AL847,Raw_Data!R847)</f>
        <v>0</v>
      </c>
      <c r="Q844" s="12">
        <f t="shared" si="119"/>
        <v>0</v>
      </c>
      <c r="R844" s="12" t="str">
        <f>IF(Raw_Data!AM847="","",Raw_Data!AM847)</f>
        <v/>
      </c>
      <c r="S844" s="12" t="str">
        <f t="shared" si="120"/>
        <v/>
      </c>
      <c r="T844" s="12" t="str">
        <f>IF(Raw_Data!AN847="","",Raw_Data!AN847)</f>
        <v/>
      </c>
      <c r="U844" s="12" t="str">
        <f t="shared" si="121"/>
        <v/>
      </c>
      <c r="V844" s="12" t="str">
        <f>IF(Raw_Data!AP847="","",IF(Raw_Data!AP847="oui",1,0))</f>
        <v/>
      </c>
      <c r="W844" s="12" t="str">
        <f>IF(Raw_Data!AQ847="","",IF(Raw_Data!AQ847="oui",1,0))</f>
        <v/>
      </c>
      <c r="X844" s="12" t="str">
        <f>IF(Raw_Data!AR847="","",IF(Raw_Data!AR847="oui",1,0))</f>
        <v/>
      </c>
      <c r="Y844" s="12" t="str">
        <f>IF(Raw_Data!AS847="","",IF(Raw_Data!AS847="oui",1,0))</f>
        <v/>
      </c>
      <c r="Z844" s="12" t="str">
        <f>IF(Raw_Data!V847="","",IF(Raw_Data!V847="oui",1,0))</f>
        <v/>
      </c>
      <c r="AA844" s="12" t="str">
        <f>IF(Raw_Data!W847="","",IF(Raw_Data!W847="oui",1,0))</f>
        <v/>
      </c>
      <c r="AB844" s="12" t="str">
        <f>IF(Raw_Data!Q847="","",IF(Raw_Data!Q847="oui",1,0))</f>
        <v/>
      </c>
      <c r="AC844" s="12">
        <f>Raw_Data!AF847</f>
        <v>0</v>
      </c>
      <c r="AD844" s="12" t="str">
        <f t="shared" si="122"/>
        <v/>
      </c>
      <c r="AE844" s="12" t="str">
        <f t="shared" si="123"/>
        <v/>
      </c>
      <c r="AF844" s="12" t="str">
        <f t="shared" si="124"/>
        <v/>
      </c>
      <c r="AG844" s="12">
        <f t="shared" si="125"/>
        <v>0</v>
      </c>
    </row>
    <row r="845" spans="1:33" ht="15" customHeight="1" x14ac:dyDescent="0.25">
      <c r="A845" s="12" t="str">
        <f>IF(Raw_Data!B848="","",Raw_Data!B848)</f>
        <v/>
      </c>
      <c r="B845" s="12">
        <f>IF(Raw_Data!X848&lt;&gt;"",Raw_Data!X848,Raw_Data!C848)</f>
        <v>0</v>
      </c>
      <c r="C845" s="12" t="str">
        <f>IF(Raw_Data!G848="","",Raw_Data!G848)</f>
        <v/>
      </c>
      <c r="D845" s="12" t="str">
        <f>IF(Raw_Data!H848="","",Raw_Data!H848)</f>
        <v/>
      </c>
      <c r="E845" s="12" t="str">
        <f>IF(Raw_Data!I848="","",Raw_Data!I848)</f>
        <v/>
      </c>
      <c r="F845" s="12" t="str">
        <f>IF(Raw_Data!J848="","",Raw_Data!J848)</f>
        <v/>
      </c>
      <c r="G845" s="12" t="str">
        <f>IF(Raw_Data!AH848&lt;&gt;"",Raw_Data!AH848,IF(Raw_Data!K848&lt;&gt;"",Raw_Data!K848,""))</f>
        <v/>
      </c>
      <c r="H845" s="12" t="str">
        <f>IF(Raw_Data!AI848&lt;&gt;"",Raw_Data!AI848,IF(Raw_Data!L848&lt;&gt;"",Raw_Data!L848,""))</f>
        <v/>
      </c>
      <c r="I845" s="12" t="str">
        <f t="shared" si="117"/>
        <v/>
      </c>
      <c r="J845" s="12" t="str">
        <f>IF(Raw_Data!M848="","",Raw_Data!M848)</f>
        <v/>
      </c>
      <c r="K845" s="12">
        <f>IF(Raw_Data!AJ848&lt;&gt;"",Raw_Data!AJ848,Raw_Data!N848)</f>
        <v>0</v>
      </c>
      <c r="L845" s="12">
        <f t="shared" si="118"/>
        <v>1</v>
      </c>
      <c r="M845" s="12" t="str">
        <f>IF(Raw_Data!AK848="","",Raw_Data!AK848)</f>
        <v/>
      </c>
      <c r="N845" s="12" t="str">
        <f>IF(Raw_Data!T848="","",Raw_Data!T848)</f>
        <v/>
      </c>
      <c r="O845" s="12" t="str">
        <f>IF(Raw_Data!AB848&lt;&gt;"",Raw_Data!AB848,IF(N845="tres_insatisfait",1,IF(N845="insatisfait",2,IF(N845="neutre",3,IF(N845="satisfait",4,IF(N845="tres_satisfait",5,""))))))</f>
        <v/>
      </c>
      <c r="P845" s="12">
        <f>IF(Raw_Data!AL848&lt;&gt;"",Raw_Data!AL848,Raw_Data!R848)</f>
        <v>0</v>
      </c>
      <c r="Q845" s="12">
        <f t="shared" si="119"/>
        <v>0</v>
      </c>
      <c r="R845" s="12" t="str">
        <f>IF(Raw_Data!AM848="","",Raw_Data!AM848)</f>
        <v/>
      </c>
      <c r="S845" s="12" t="str">
        <f t="shared" si="120"/>
        <v/>
      </c>
      <c r="T845" s="12" t="str">
        <f>IF(Raw_Data!AN848="","",Raw_Data!AN848)</f>
        <v/>
      </c>
      <c r="U845" s="12" t="str">
        <f t="shared" si="121"/>
        <v/>
      </c>
      <c r="V845" s="12" t="str">
        <f>IF(Raw_Data!AP848="","",IF(Raw_Data!AP848="oui",1,0))</f>
        <v/>
      </c>
      <c r="W845" s="12" t="str">
        <f>IF(Raw_Data!AQ848="","",IF(Raw_Data!AQ848="oui",1,0))</f>
        <v/>
      </c>
      <c r="X845" s="12" t="str">
        <f>IF(Raw_Data!AR848="","",IF(Raw_Data!AR848="oui",1,0))</f>
        <v/>
      </c>
      <c r="Y845" s="12" t="str">
        <f>IF(Raw_Data!AS848="","",IF(Raw_Data!AS848="oui",1,0))</f>
        <v/>
      </c>
      <c r="Z845" s="12" t="str">
        <f>IF(Raw_Data!V848="","",IF(Raw_Data!V848="oui",1,0))</f>
        <v/>
      </c>
      <c r="AA845" s="12" t="str">
        <f>IF(Raw_Data!W848="","",IF(Raw_Data!W848="oui",1,0))</f>
        <v/>
      </c>
      <c r="AB845" s="12" t="str">
        <f>IF(Raw_Data!Q848="","",IF(Raw_Data!Q848="oui",1,0))</f>
        <v/>
      </c>
      <c r="AC845" s="12">
        <f>Raw_Data!AF848</f>
        <v>0</v>
      </c>
      <c r="AD845" s="12" t="str">
        <f t="shared" si="122"/>
        <v/>
      </c>
      <c r="AE845" s="12" t="str">
        <f t="shared" si="123"/>
        <v/>
      </c>
      <c r="AF845" s="12" t="str">
        <f t="shared" si="124"/>
        <v/>
      </c>
      <c r="AG845" s="12">
        <f t="shared" si="125"/>
        <v>0</v>
      </c>
    </row>
    <row r="846" spans="1:33" ht="15" customHeight="1" x14ac:dyDescent="0.25">
      <c r="A846" s="12" t="str">
        <f>IF(Raw_Data!B849="","",Raw_Data!B849)</f>
        <v/>
      </c>
      <c r="B846" s="12">
        <f>IF(Raw_Data!X849&lt;&gt;"",Raw_Data!X849,Raw_Data!C849)</f>
        <v>0</v>
      </c>
      <c r="C846" s="12" t="str">
        <f>IF(Raw_Data!G849="","",Raw_Data!G849)</f>
        <v/>
      </c>
      <c r="D846" s="12" t="str">
        <f>IF(Raw_Data!H849="","",Raw_Data!H849)</f>
        <v/>
      </c>
      <c r="E846" s="12" t="str">
        <f>IF(Raw_Data!I849="","",Raw_Data!I849)</f>
        <v/>
      </c>
      <c r="F846" s="12" t="str">
        <f>IF(Raw_Data!J849="","",Raw_Data!J849)</f>
        <v/>
      </c>
      <c r="G846" s="12" t="str">
        <f>IF(Raw_Data!AH849&lt;&gt;"",Raw_Data!AH849,IF(Raw_Data!K849&lt;&gt;"",Raw_Data!K849,""))</f>
        <v/>
      </c>
      <c r="H846" s="12" t="str">
        <f>IF(Raw_Data!AI849&lt;&gt;"",Raw_Data!AI849,IF(Raw_Data!L849&lt;&gt;"",Raw_Data!L849,""))</f>
        <v/>
      </c>
      <c r="I846" s="12" t="str">
        <f t="shared" si="117"/>
        <v/>
      </c>
      <c r="J846" s="12" t="str">
        <f>IF(Raw_Data!M849="","",Raw_Data!M849)</f>
        <v/>
      </c>
      <c r="K846" s="12">
        <f>IF(Raw_Data!AJ849&lt;&gt;"",Raw_Data!AJ849,Raw_Data!N849)</f>
        <v>0</v>
      </c>
      <c r="L846" s="12">
        <f t="shared" si="118"/>
        <v>1</v>
      </c>
      <c r="M846" s="12" t="str">
        <f>IF(Raw_Data!AK849="","",Raw_Data!AK849)</f>
        <v/>
      </c>
      <c r="N846" s="12" t="str">
        <f>IF(Raw_Data!T849="","",Raw_Data!T849)</f>
        <v/>
      </c>
      <c r="O846" s="12" t="str">
        <f>IF(Raw_Data!AB849&lt;&gt;"",Raw_Data!AB849,IF(N846="tres_insatisfait",1,IF(N846="insatisfait",2,IF(N846="neutre",3,IF(N846="satisfait",4,IF(N846="tres_satisfait",5,""))))))</f>
        <v/>
      </c>
      <c r="P846" s="12">
        <f>IF(Raw_Data!AL849&lt;&gt;"",Raw_Data!AL849,Raw_Data!R849)</f>
        <v>0</v>
      </c>
      <c r="Q846" s="12">
        <f t="shared" si="119"/>
        <v>0</v>
      </c>
      <c r="R846" s="12" t="str">
        <f>IF(Raw_Data!AM849="","",Raw_Data!AM849)</f>
        <v/>
      </c>
      <c r="S846" s="12" t="str">
        <f t="shared" si="120"/>
        <v/>
      </c>
      <c r="T846" s="12" t="str">
        <f>IF(Raw_Data!AN849="","",Raw_Data!AN849)</f>
        <v/>
      </c>
      <c r="U846" s="12" t="str">
        <f t="shared" si="121"/>
        <v/>
      </c>
      <c r="V846" s="12" t="str">
        <f>IF(Raw_Data!AP849="","",IF(Raw_Data!AP849="oui",1,0))</f>
        <v/>
      </c>
      <c r="W846" s="12" t="str">
        <f>IF(Raw_Data!AQ849="","",IF(Raw_Data!AQ849="oui",1,0))</f>
        <v/>
      </c>
      <c r="X846" s="12" t="str">
        <f>IF(Raw_Data!AR849="","",IF(Raw_Data!AR849="oui",1,0))</f>
        <v/>
      </c>
      <c r="Y846" s="12" t="str">
        <f>IF(Raw_Data!AS849="","",IF(Raw_Data!AS849="oui",1,0))</f>
        <v/>
      </c>
      <c r="Z846" s="12" t="str">
        <f>IF(Raw_Data!V849="","",IF(Raw_Data!V849="oui",1,0))</f>
        <v/>
      </c>
      <c r="AA846" s="12" t="str">
        <f>IF(Raw_Data!W849="","",IF(Raw_Data!W849="oui",1,0))</f>
        <v/>
      </c>
      <c r="AB846" s="12" t="str">
        <f>IF(Raw_Data!Q849="","",IF(Raw_Data!Q849="oui",1,0))</f>
        <v/>
      </c>
      <c r="AC846" s="12">
        <f>Raw_Data!AF849</f>
        <v>0</v>
      </c>
      <c r="AD846" s="12" t="str">
        <f t="shared" si="122"/>
        <v/>
      </c>
      <c r="AE846" s="12" t="str">
        <f t="shared" si="123"/>
        <v/>
      </c>
      <c r="AF846" s="12" t="str">
        <f t="shared" si="124"/>
        <v/>
      </c>
      <c r="AG846" s="12">
        <f t="shared" si="125"/>
        <v>0</v>
      </c>
    </row>
    <row r="847" spans="1:33" ht="15" customHeight="1" x14ac:dyDescent="0.25">
      <c r="A847" s="12" t="str">
        <f>IF(Raw_Data!B850="","",Raw_Data!B850)</f>
        <v/>
      </c>
      <c r="B847" s="12">
        <f>IF(Raw_Data!X850&lt;&gt;"",Raw_Data!X850,Raw_Data!C850)</f>
        <v>0</v>
      </c>
      <c r="C847" s="12" t="str">
        <f>IF(Raw_Data!G850="","",Raw_Data!G850)</f>
        <v/>
      </c>
      <c r="D847" s="12" t="str">
        <f>IF(Raw_Data!H850="","",Raw_Data!H850)</f>
        <v/>
      </c>
      <c r="E847" s="12" t="str">
        <f>IF(Raw_Data!I850="","",Raw_Data!I850)</f>
        <v/>
      </c>
      <c r="F847" s="12" t="str">
        <f>IF(Raw_Data!J850="","",Raw_Data!J850)</f>
        <v/>
      </c>
      <c r="G847" s="12" t="str">
        <f>IF(Raw_Data!AH850&lt;&gt;"",Raw_Data!AH850,IF(Raw_Data!K850&lt;&gt;"",Raw_Data!K850,""))</f>
        <v/>
      </c>
      <c r="H847" s="12" t="str">
        <f>IF(Raw_Data!AI850&lt;&gt;"",Raw_Data!AI850,IF(Raw_Data!L850&lt;&gt;"",Raw_Data!L850,""))</f>
        <v/>
      </c>
      <c r="I847" s="12" t="str">
        <f t="shared" si="117"/>
        <v/>
      </c>
      <c r="J847" s="12" t="str">
        <f>IF(Raw_Data!M850="","",Raw_Data!M850)</f>
        <v/>
      </c>
      <c r="K847" s="12">
        <f>IF(Raw_Data!AJ850&lt;&gt;"",Raw_Data!AJ850,Raw_Data!N850)</f>
        <v>0</v>
      </c>
      <c r="L847" s="12">
        <f t="shared" si="118"/>
        <v>1</v>
      </c>
      <c r="M847" s="12" t="str">
        <f>IF(Raw_Data!AK850="","",Raw_Data!AK850)</f>
        <v/>
      </c>
      <c r="N847" s="12" t="str">
        <f>IF(Raw_Data!T850="","",Raw_Data!T850)</f>
        <v/>
      </c>
      <c r="O847" s="12" t="str">
        <f>IF(Raw_Data!AB850&lt;&gt;"",Raw_Data!AB850,IF(N847="tres_insatisfait",1,IF(N847="insatisfait",2,IF(N847="neutre",3,IF(N847="satisfait",4,IF(N847="tres_satisfait",5,""))))))</f>
        <v/>
      </c>
      <c r="P847" s="12">
        <f>IF(Raw_Data!AL850&lt;&gt;"",Raw_Data!AL850,Raw_Data!R850)</f>
        <v>0</v>
      </c>
      <c r="Q847" s="12">
        <f t="shared" si="119"/>
        <v>0</v>
      </c>
      <c r="R847" s="12" t="str">
        <f>IF(Raw_Data!AM850="","",Raw_Data!AM850)</f>
        <v/>
      </c>
      <c r="S847" s="12" t="str">
        <f t="shared" si="120"/>
        <v/>
      </c>
      <c r="T847" s="12" t="str">
        <f>IF(Raw_Data!AN850="","",Raw_Data!AN850)</f>
        <v/>
      </c>
      <c r="U847" s="12" t="str">
        <f t="shared" si="121"/>
        <v/>
      </c>
      <c r="V847" s="12" t="str">
        <f>IF(Raw_Data!AP850="","",IF(Raw_Data!AP850="oui",1,0))</f>
        <v/>
      </c>
      <c r="W847" s="12" t="str">
        <f>IF(Raw_Data!AQ850="","",IF(Raw_Data!AQ850="oui",1,0))</f>
        <v/>
      </c>
      <c r="X847" s="12" t="str">
        <f>IF(Raw_Data!AR850="","",IF(Raw_Data!AR850="oui",1,0))</f>
        <v/>
      </c>
      <c r="Y847" s="12" t="str">
        <f>IF(Raw_Data!AS850="","",IF(Raw_Data!AS850="oui",1,0))</f>
        <v/>
      </c>
      <c r="Z847" s="12" t="str">
        <f>IF(Raw_Data!V850="","",IF(Raw_Data!V850="oui",1,0))</f>
        <v/>
      </c>
      <c r="AA847" s="12" t="str">
        <f>IF(Raw_Data!W850="","",IF(Raw_Data!W850="oui",1,0))</f>
        <v/>
      </c>
      <c r="AB847" s="12" t="str">
        <f>IF(Raw_Data!Q850="","",IF(Raw_Data!Q850="oui",1,0))</f>
        <v/>
      </c>
      <c r="AC847" s="12">
        <f>Raw_Data!AF850</f>
        <v>0</v>
      </c>
      <c r="AD847" s="12" t="str">
        <f t="shared" si="122"/>
        <v/>
      </c>
      <c r="AE847" s="12" t="str">
        <f t="shared" si="123"/>
        <v/>
      </c>
      <c r="AF847" s="12" t="str">
        <f t="shared" si="124"/>
        <v/>
      </c>
      <c r="AG847" s="12">
        <f t="shared" si="125"/>
        <v>0</v>
      </c>
    </row>
    <row r="848" spans="1:33" ht="15" customHeight="1" x14ac:dyDescent="0.25">
      <c r="A848" s="12" t="str">
        <f>IF(Raw_Data!B851="","",Raw_Data!B851)</f>
        <v/>
      </c>
      <c r="B848" s="12">
        <f>IF(Raw_Data!X851&lt;&gt;"",Raw_Data!X851,Raw_Data!C851)</f>
        <v>0</v>
      </c>
      <c r="C848" s="12" t="str">
        <f>IF(Raw_Data!G851="","",Raw_Data!G851)</f>
        <v/>
      </c>
      <c r="D848" s="12" t="str">
        <f>IF(Raw_Data!H851="","",Raw_Data!H851)</f>
        <v/>
      </c>
      <c r="E848" s="12" t="str">
        <f>IF(Raw_Data!I851="","",Raw_Data!I851)</f>
        <v/>
      </c>
      <c r="F848" s="12" t="str">
        <f>IF(Raw_Data!J851="","",Raw_Data!J851)</f>
        <v/>
      </c>
      <c r="G848" s="12" t="str">
        <f>IF(Raw_Data!AH851&lt;&gt;"",Raw_Data!AH851,IF(Raw_Data!K851&lt;&gt;"",Raw_Data!K851,""))</f>
        <v/>
      </c>
      <c r="H848" s="12" t="str">
        <f>IF(Raw_Data!AI851&lt;&gt;"",Raw_Data!AI851,IF(Raw_Data!L851&lt;&gt;"",Raw_Data!L851,""))</f>
        <v/>
      </c>
      <c r="I848" s="12" t="str">
        <f t="shared" si="117"/>
        <v/>
      </c>
      <c r="J848" s="12" t="str">
        <f>IF(Raw_Data!M851="","",Raw_Data!M851)</f>
        <v/>
      </c>
      <c r="K848" s="12">
        <f>IF(Raw_Data!AJ851&lt;&gt;"",Raw_Data!AJ851,Raw_Data!N851)</f>
        <v>0</v>
      </c>
      <c r="L848" s="12">
        <f t="shared" si="118"/>
        <v>1</v>
      </c>
      <c r="M848" s="12" t="str">
        <f>IF(Raw_Data!AK851="","",Raw_Data!AK851)</f>
        <v/>
      </c>
      <c r="N848" s="12" t="str">
        <f>IF(Raw_Data!T851="","",Raw_Data!T851)</f>
        <v/>
      </c>
      <c r="O848" s="12" t="str">
        <f>IF(Raw_Data!AB851&lt;&gt;"",Raw_Data!AB851,IF(N848="tres_insatisfait",1,IF(N848="insatisfait",2,IF(N848="neutre",3,IF(N848="satisfait",4,IF(N848="tres_satisfait",5,""))))))</f>
        <v/>
      </c>
      <c r="P848" s="12">
        <f>IF(Raw_Data!AL851&lt;&gt;"",Raw_Data!AL851,Raw_Data!R851)</f>
        <v>0</v>
      </c>
      <c r="Q848" s="12">
        <f t="shared" si="119"/>
        <v>0</v>
      </c>
      <c r="R848" s="12" t="str">
        <f>IF(Raw_Data!AM851="","",Raw_Data!AM851)</f>
        <v/>
      </c>
      <c r="S848" s="12" t="str">
        <f t="shared" si="120"/>
        <v/>
      </c>
      <c r="T848" s="12" t="str">
        <f>IF(Raw_Data!AN851="","",Raw_Data!AN851)</f>
        <v/>
      </c>
      <c r="U848" s="12" t="str">
        <f t="shared" si="121"/>
        <v/>
      </c>
      <c r="V848" s="12" t="str">
        <f>IF(Raw_Data!AP851="","",IF(Raw_Data!AP851="oui",1,0))</f>
        <v/>
      </c>
      <c r="W848" s="12" t="str">
        <f>IF(Raw_Data!AQ851="","",IF(Raw_Data!AQ851="oui",1,0))</f>
        <v/>
      </c>
      <c r="X848" s="12" t="str">
        <f>IF(Raw_Data!AR851="","",IF(Raw_Data!AR851="oui",1,0))</f>
        <v/>
      </c>
      <c r="Y848" s="12" t="str">
        <f>IF(Raw_Data!AS851="","",IF(Raw_Data!AS851="oui",1,0))</f>
        <v/>
      </c>
      <c r="Z848" s="12" t="str">
        <f>IF(Raw_Data!V851="","",IF(Raw_Data!V851="oui",1,0))</f>
        <v/>
      </c>
      <c r="AA848" s="12" t="str">
        <f>IF(Raw_Data!W851="","",IF(Raw_Data!W851="oui",1,0))</f>
        <v/>
      </c>
      <c r="AB848" s="12" t="str">
        <f>IF(Raw_Data!Q851="","",IF(Raw_Data!Q851="oui",1,0))</f>
        <v/>
      </c>
      <c r="AC848" s="12">
        <f>Raw_Data!AF851</f>
        <v>0</v>
      </c>
      <c r="AD848" s="12" t="str">
        <f t="shared" si="122"/>
        <v/>
      </c>
      <c r="AE848" s="12" t="str">
        <f t="shared" si="123"/>
        <v/>
      </c>
      <c r="AF848" s="12" t="str">
        <f t="shared" si="124"/>
        <v/>
      </c>
      <c r="AG848" s="12">
        <f t="shared" si="125"/>
        <v>0</v>
      </c>
    </row>
    <row r="849" spans="1:33" ht="15" customHeight="1" x14ac:dyDescent="0.25">
      <c r="A849" s="12" t="str">
        <f>IF(Raw_Data!B852="","",Raw_Data!B852)</f>
        <v/>
      </c>
      <c r="B849" s="12">
        <f>IF(Raw_Data!X852&lt;&gt;"",Raw_Data!X852,Raw_Data!C852)</f>
        <v>0</v>
      </c>
      <c r="C849" s="12" t="str">
        <f>IF(Raw_Data!G852="","",Raw_Data!G852)</f>
        <v/>
      </c>
      <c r="D849" s="12" t="str">
        <f>IF(Raw_Data!H852="","",Raw_Data!H852)</f>
        <v/>
      </c>
      <c r="E849" s="12" t="str">
        <f>IF(Raw_Data!I852="","",Raw_Data!I852)</f>
        <v/>
      </c>
      <c r="F849" s="12" t="str">
        <f>IF(Raw_Data!J852="","",Raw_Data!J852)</f>
        <v/>
      </c>
      <c r="G849" s="12" t="str">
        <f>IF(Raw_Data!AH852&lt;&gt;"",Raw_Data!AH852,IF(Raw_Data!K852&lt;&gt;"",Raw_Data!K852,""))</f>
        <v/>
      </c>
      <c r="H849" s="12" t="str">
        <f>IF(Raw_Data!AI852&lt;&gt;"",Raw_Data!AI852,IF(Raw_Data!L852&lt;&gt;"",Raw_Data!L852,""))</f>
        <v/>
      </c>
      <c r="I849" s="12" t="str">
        <f t="shared" si="117"/>
        <v/>
      </c>
      <c r="J849" s="12" t="str">
        <f>IF(Raw_Data!M852="","",Raw_Data!M852)</f>
        <v/>
      </c>
      <c r="K849" s="12">
        <f>IF(Raw_Data!AJ852&lt;&gt;"",Raw_Data!AJ852,Raw_Data!N852)</f>
        <v>0</v>
      </c>
      <c r="L849" s="12">
        <f t="shared" si="118"/>
        <v>1</v>
      </c>
      <c r="M849" s="12" t="str">
        <f>IF(Raw_Data!AK852="","",Raw_Data!AK852)</f>
        <v/>
      </c>
      <c r="N849" s="12" t="str">
        <f>IF(Raw_Data!T852="","",Raw_Data!T852)</f>
        <v/>
      </c>
      <c r="O849" s="12" t="str">
        <f>IF(Raw_Data!AB852&lt;&gt;"",Raw_Data!AB852,IF(N849="tres_insatisfait",1,IF(N849="insatisfait",2,IF(N849="neutre",3,IF(N849="satisfait",4,IF(N849="tres_satisfait",5,""))))))</f>
        <v/>
      </c>
      <c r="P849" s="12">
        <f>IF(Raw_Data!AL852&lt;&gt;"",Raw_Data!AL852,Raw_Data!R852)</f>
        <v>0</v>
      </c>
      <c r="Q849" s="12">
        <f t="shared" si="119"/>
        <v>0</v>
      </c>
      <c r="R849" s="12" t="str">
        <f>IF(Raw_Data!AM852="","",Raw_Data!AM852)</f>
        <v/>
      </c>
      <c r="S849" s="12" t="str">
        <f t="shared" si="120"/>
        <v/>
      </c>
      <c r="T849" s="12" t="str">
        <f>IF(Raw_Data!AN852="","",Raw_Data!AN852)</f>
        <v/>
      </c>
      <c r="U849" s="12" t="str">
        <f t="shared" si="121"/>
        <v/>
      </c>
      <c r="V849" s="12" t="str">
        <f>IF(Raw_Data!AP852="","",IF(Raw_Data!AP852="oui",1,0))</f>
        <v/>
      </c>
      <c r="W849" s="12" t="str">
        <f>IF(Raw_Data!AQ852="","",IF(Raw_Data!AQ852="oui",1,0))</f>
        <v/>
      </c>
      <c r="X849" s="12" t="str">
        <f>IF(Raw_Data!AR852="","",IF(Raw_Data!AR852="oui",1,0))</f>
        <v/>
      </c>
      <c r="Y849" s="12" t="str">
        <f>IF(Raw_Data!AS852="","",IF(Raw_Data!AS852="oui",1,0))</f>
        <v/>
      </c>
      <c r="Z849" s="12" t="str">
        <f>IF(Raw_Data!V852="","",IF(Raw_Data!V852="oui",1,0))</f>
        <v/>
      </c>
      <c r="AA849" s="12" t="str">
        <f>IF(Raw_Data!W852="","",IF(Raw_Data!W852="oui",1,0))</f>
        <v/>
      </c>
      <c r="AB849" s="12" t="str">
        <f>IF(Raw_Data!Q852="","",IF(Raw_Data!Q852="oui",1,0))</f>
        <v/>
      </c>
      <c r="AC849" s="12">
        <f>Raw_Data!AF852</f>
        <v>0</v>
      </c>
      <c r="AD849" s="12" t="str">
        <f t="shared" si="122"/>
        <v/>
      </c>
      <c r="AE849" s="12" t="str">
        <f t="shared" si="123"/>
        <v/>
      </c>
      <c r="AF849" s="12" t="str">
        <f t="shared" si="124"/>
        <v/>
      </c>
      <c r="AG849" s="12">
        <f t="shared" si="125"/>
        <v>0</v>
      </c>
    </row>
    <row r="850" spans="1:33" ht="15" customHeight="1" x14ac:dyDescent="0.25">
      <c r="A850" s="12" t="str">
        <f>IF(Raw_Data!B853="","",Raw_Data!B853)</f>
        <v/>
      </c>
      <c r="B850" s="12">
        <f>IF(Raw_Data!X853&lt;&gt;"",Raw_Data!X853,Raw_Data!C853)</f>
        <v>0</v>
      </c>
      <c r="C850" s="12" t="str">
        <f>IF(Raw_Data!G853="","",Raw_Data!G853)</f>
        <v/>
      </c>
      <c r="D850" s="12" t="str">
        <f>IF(Raw_Data!H853="","",Raw_Data!H853)</f>
        <v/>
      </c>
      <c r="E850" s="12" t="str">
        <f>IF(Raw_Data!I853="","",Raw_Data!I853)</f>
        <v/>
      </c>
      <c r="F850" s="12" t="str">
        <f>IF(Raw_Data!J853="","",Raw_Data!J853)</f>
        <v/>
      </c>
      <c r="G850" s="12" t="str">
        <f>IF(Raw_Data!AH853&lt;&gt;"",Raw_Data!AH853,IF(Raw_Data!K853&lt;&gt;"",Raw_Data!K853,""))</f>
        <v/>
      </c>
      <c r="H850" s="12" t="str">
        <f>IF(Raw_Data!AI853&lt;&gt;"",Raw_Data!AI853,IF(Raw_Data!L853&lt;&gt;"",Raw_Data!L853,""))</f>
        <v/>
      </c>
      <c r="I850" s="12" t="str">
        <f t="shared" si="117"/>
        <v/>
      </c>
      <c r="J850" s="12" t="str">
        <f>IF(Raw_Data!M853="","",Raw_Data!M853)</f>
        <v/>
      </c>
      <c r="K850" s="12">
        <f>IF(Raw_Data!AJ853&lt;&gt;"",Raw_Data!AJ853,Raw_Data!N853)</f>
        <v>0</v>
      </c>
      <c r="L850" s="12">
        <f t="shared" si="118"/>
        <v>1</v>
      </c>
      <c r="M850" s="12" t="str">
        <f>IF(Raw_Data!AK853="","",Raw_Data!AK853)</f>
        <v/>
      </c>
      <c r="N850" s="12" t="str">
        <f>IF(Raw_Data!T853="","",Raw_Data!T853)</f>
        <v/>
      </c>
      <c r="O850" s="12" t="str">
        <f>IF(Raw_Data!AB853&lt;&gt;"",Raw_Data!AB853,IF(N850="tres_insatisfait",1,IF(N850="insatisfait",2,IF(N850="neutre",3,IF(N850="satisfait",4,IF(N850="tres_satisfait",5,""))))))</f>
        <v/>
      </c>
      <c r="P850" s="12">
        <f>IF(Raw_Data!AL853&lt;&gt;"",Raw_Data!AL853,Raw_Data!R853)</f>
        <v>0</v>
      </c>
      <c r="Q850" s="12">
        <f t="shared" si="119"/>
        <v>0</v>
      </c>
      <c r="R850" s="12" t="str">
        <f>IF(Raw_Data!AM853="","",Raw_Data!AM853)</f>
        <v/>
      </c>
      <c r="S850" s="12" t="str">
        <f t="shared" si="120"/>
        <v/>
      </c>
      <c r="T850" s="12" t="str">
        <f>IF(Raw_Data!AN853="","",Raw_Data!AN853)</f>
        <v/>
      </c>
      <c r="U850" s="12" t="str">
        <f t="shared" si="121"/>
        <v/>
      </c>
      <c r="V850" s="12" t="str">
        <f>IF(Raw_Data!AP853="","",IF(Raw_Data!AP853="oui",1,0))</f>
        <v/>
      </c>
      <c r="W850" s="12" t="str">
        <f>IF(Raw_Data!AQ853="","",IF(Raw_Data!AQ853="oui",1,0))</f>
        <v/>
      </c>
      <c r="X850" s="12" t="str">
        <f>IF(Raw_Data!AR853="","",IF(Raw_Data!AR853="oui",1,0))</f>
        <v/>
      </c>
      <c r="Y850" s="12" t="str">
        <f>IF(Raw_Data!AS853="","",IF(Raw_Data!AS853="oui",1,0))</f>
        <v/>
      </c>
      <c r="Z850" s="12" t="str">
        <f>IF(Raw_Data!V853="","",IF(Raw_Data!V853="oui",1,0))</f>
        <v/>
      </c>
      <c r="AA850" s="12" t="str">
        <f>IF(Raw_Data!W853="","",IF(Raw_Data!W853="oui",1,0))</f>
        <v/>
      </c>
      <c r="AB850" s="12" t="str">
        <f>IF(Raw_Data!Q853="","",IF(Raw_Data!Q853="oui",1,0))</f>
        <v/>
      </c>
      <c r="AC850" s="12">
        <f>Raw_Data!AF853</f>
        <v>0</v>
      </c>
      <c r="AD850" s="12" t="str">
        <f t="shared" si="122"/>
        <v/>
      </c>
      <c r="AE850" s="12" t="str">
        <f t="shared" si="123"/>
        <v/>
      </c>
      <c r="AF850" s="12" t="str">
        <f t="shared" si="124"/>
        <v/>
      </c>
      <c r="AG850" s="12">
        <f t="shared" si="125"/>
        <v>0</v>
      </c>
    </row>
    <row r="851" spans="1:33" ht="15" customHeight="1" x14ac:dyDescent="0.25">
      <c r="A851" s="12" t="str">
        <f>IF(Raw_Data!B854="","",Raw_Data!B854)</f>
        <v/>
      </c>
      <c r="B851" s="12">
        <f>IF(Raw_Data!X854&lt;&gt;"",Raw_Data!X854,Raw_Data!C854)</f>
        <v>0</v>
      </c>
      <c r="C851" s="12" t="str">
        <f>IF(Raw_Data!G854="","",Raw_Data!G854)</f>
        <v/>
      </c>
      <c r="D851" s="12" t="str">
        <f>IF(Raw_Data!H854="","",Raw_Data!H854)</f>
        <v/>
      </c>
      <c r="E851" s="12" t="str">
        <f>IF(Raw_Data!I854="","",Raw_Data!I854)</f>
        <v/>
      </c>
      <c r="F851" s="12" t="str">
        <f>IF(Raw_Data!J854="","",Raw_Data!J854)</f>
        <v/>
      </c>
      <c r="G851" s="12" t="str">
        <f>IF(Raw_Data!AH854&lt;&gt;"",Raw_Data!AH854,IF(Raw_Data!K854&lt;&gt;"",Raw_Data!K854,""))</f>
        <v/>
      </c>
      <c r="H851" s="12" t="str">
        <f>IF(Raw_Data!AI854&lt;&gt;"",Raw_Data!AI854,IF(Raw_Data!L854&lt;&gt;"",Raw_Data!L854,""))</f>
        <v/>
      </c>
      <c r="I851" s="12" t="str">
        <f t="shared" si="117"/>
        <v/>
      </c>
      <c r="J851" s="12" t="str">
        <f>IF(Raw_Data!M854="","",Raw_Data!M854)</f>
        <v/>
      </c>
      <c r="K851" s="12">
        <f>IF(Raw_Data!AJ854&lt;&gt;"",Raw_Data!AJ854,Raw_Data!N854)</f>
        <v>0</v>
      </c>
      <c r="L851" s="12">
        <f t="shared" si="118"/>
        <v>1</v>
      </c>
      <c r="M851" s="12" t="str">
        <f>IF(Raw_Data!AK854="","",Raw_Data!AK854)</f>
        <v/>
      </c>
      <c r="N851" s="12" t="str">
        <f>IF(Raw_Data!T854="","",Raw_Data!T854)</f>
        <v/>
      </c>
      <c r="O851" s="12" t="str">
        <f>IF(Raw_Data!AB854&lt;&gt;"",Raw_Data!AB854,IF(N851="tres_insatisfait",1,IF(N851="insatisfait",2,IF(N851="neutre",3,IF(N851="satisfait",4,IF(N851="tres_satisfait",5,""))))))</f>
        <v/>
      </c>
      <c r="P851" s="12">
        <f>IF(Raw_Data!AL854&lt;&gt;"",Raw_Data!AL854,Raw_Data!R854)</f>
        <v>0</v>
      </c>
      <c r="Q851" s="12">
        <f t="shared" si="119"/>
        <v>0</v>
      </c>
      <c r="R851" s="12" t="str">
        <f>IF(Raw_Data!AM854="","",Raw_Data!AM854)</f>
        <v/>
      </c>
      <c r="S851" s="12" t="str">
        <f t="shared" si="120"/>
        <v/>
      </c>
      <c r="T851" s="12" t="str">
        <f>IF(Raw_Data!AN854="","",Raw_Data!AN854)</f>
        <v/>
      </c>
      <c r="U851" s="12" t="str">
        <f t="shared" si="121"/>
        <v/>
      </c>
      <c r="V851" s="12" t="str">
        <f>IF(Raw_Data!AP854="","",IF(Raw_Data!AP854="oui",1,0))</f>
        <v/>
      </c>
      <c r="W851" s="12" t="str">
        <f>IF(Raw_Data!AQ854="","",IF(Raw_Data!AQ854="oui",1,0))</f>
        <v/>
      </c>
      <c r="X851" s="12" t="str">
        <f>IF(Raw_Data!AR854="","",IF(Raw_Data!AR854="oui",1,0))</f>
        <v/>
      </c>
      <c r="Y851" s="12" t="str">
        <f>IF(Raw_Data!AS854="","",IF(Raw_Data!AS854="oui",1,0))</f>
        <v/>
      </c>
      <c r="Z851" s="12" t="str">
        <f>IF(Raw_Data!V854="","",IF(Raw_Data!V854="oui",1,0))</f>
        <v/>
      </c>
      <c r="AA851" s="12" t="str">
        <f>IF(Raw_Data!W854="","",IF(Raw_Data!W854="oui",1,0))</f>
        <v/>
      </c>
      <c r="AB851" s="12" t="str">
        <f>IF(Raw_Data!Q854="","",IF(Raw_Data!Q854="oui",1,0))</f>
        <v/>
      </c>
      <c r="AC851" s="12">
        <f>Raw_Data!AF854</f>
        <v>0</v>
      </c>
      <c r="AD851" s="12" t="str">
        <f t="shared" si="122"/>
        <v/>
      </c>
      <c r="AE851" s="12" t="str">
        <f t="shared" si="123"/>
        <v/>
      </c>
      <c r="AF851" s="12" t="str">
        <f t="shared" si="124"/>
        <v/>
      </c>
      <c r="AG851" s="12">
        <f t="shared" si="125"/>
        <v>0</v>
      </c>
    </row>
    <row r="852" spans="1:33" ht="15" customHeight="1" x14ac:dyDescent="0.25">
      <c r="A852" s="12" t="str">
        <f>IF(Raw_Data!B855="","",Raw_Data!B855)</f>
        <v/>
      </c>
      <c r="B852" s="12">
        <f>IF(Raw_Data!X855&lt;&gt;"",Raw_Data!X855,Raw_Data!C855)</f>
        <v>0</v>
      </c>
      <c r="C852" s="12" t="str">
        <f>IF(Raw_Data!G855="","",Raw_Data!G855)</f>
        <v/>
      </c>
      <c r="D852" s="12" t="str">
        <f>IF(Raw_Data!H855="","",Raw_Data!H855)</f>
        <v/>
      </c>
      <c r="E852" s="12" t="str">
        <f>IF(Raw_Data!I855="","",Raw_Data!I855)</f>
        <v/>
      </c>
      <c r="F852" s="12" t="str">
        <f>IF(Raw_Data!J855="","",Raw_Data!J855)</f>
        <v/>
      </c>
      <c r="G852" s="12" t="str">
        <f>IF(Raw_Data!AH855&lt;&gt;"",Raw_Data!AH855,IF(Raw_Data!K855&lt;&gt;"",Raw_Data!K855,""))</f>
        <v/>
      </c>
      <c r="H852" s="12" t="str">
        <f>IF(Raw_Data!AI855&lt;&gt;"",Raw_Data!AI855,IF(Raw_Data!L855&lt;&gt;"",Raw_Data!L855,""))</f>
        <v/>
      </c>
      <c r="I852" s="12" t="str">
        <f t="shared" si="117"/>
        <v/>
      </c>
      <c r="J852" s="12" t="str">
        <f>IF(Raw_Data!M855="","",Raw_Data!M855)</f>
        <v/>
      </c>
      <c r="K852" s="12">
        <f>IF(Raw_Data!AJ855&lt;&gt;"",Raw_Data!AJ855,Raw_Data!N855)</f>
        <v>0</v>
      </c>
      <c r="L852" s="12">
        <f t="shared" si="118"/>
        <v>1</v>
      </c>
      <c r="M852" s="12" t="str">
        <f>IF(Raw_Data!AK855="","",Raw_Data!AK855)</f>
        <v/>
      </c>
      <c r="N852" s="12" t="str">
        <f>IF(Raw_Data!T855="","",Raw_Data!T855)</f>
        <v/>
      </c>
      <c r="O852" s="12" t="str">
        <f>IF(Raw_Data!AB855&lt;&gt;"",Raw_Data!AB855,IF(N852="tres_insatisfait",1,IF(N852="insatisfait",2,IF(N852="neutre",3,IF(N852="satisfait",4,IF(N852="tres_satisfait",5,""))))))</f>
        <v/>
      </c>
      <c r="P852" s="12">
        <f>IF(Raw_Data!AL855&lt;&gt;"",Raw_Data!AL855,Raw_Data!R855)</f>
        <v>0</v>
      </c>
      <c r="Q852" s="12">
        <f t="shared" si="119"/>
        <v>0</v>
      </c>
      <c r="R852" s="12" t="str">
        <f>IF(Raw_Data!AM855="","",Raw_Data!AM855)</f>
        <v/>
      </c>
      <c r="S852" s="12" t="str">
        <f t="shared" si="120"/>
        <v/>
      </c>
      <c r="T852" s="12" t="str">
        <f>IF(Raw_Data!AN855="","",Raw_Data!AN855)</f>
        <v/>
      </c>
      <c r="U852" s="12" t="str">
        <f t="shared" si="121"/>
        <v/>
      </c>
      <c r="V852" s="12" t="str">
        <f>IF(Raw_Data!AP855="","",IF(Raw_Data!AP855="oui",1,0))</f>
        <v/>
      </c>
      <c r="W852" s="12" t="str">
        <f>IF(Raw_Data!AQ855="","",IF(Raw_Data!AQ855="oui",1,0))</f>
        <v/>
      </c>
      <c r="X852" s="12" t="str">
        <f>IF(Raw_Data!AR855="","",IF(Raw_Data!AR855="oui",1,0))</f>
        <v/>
      </c>
      <c r="Y852" s="12" t="str">
        <f>IF(Raw_Data!AS855="","",IF(Raw_Data!AS855="oui",1,0))</f>
        <v/>
      </c>
      <c r="Z852" s="12" t="str">
        <f>IF(Raw_Data!V855="","",IF(Raw_Data!V855="oui",1,0))</f>
        <v/>
      </c>
      <c r="AA852" s="12" t="str">
        <f>IF(Raw_Data!W855="","",IF(Raw_Data!W855="oui",1,0))</f>
        <v/>
      </c>
      <c r="AB852" s="12" t="str">
        <f>IF(Raw_Data!Q855="","",IF(Raw_Data!Q855="oui",1,0))</f>
        <v/>
      </c>
      <c r="AC852" s="12">
        <f>Raw_Data!AF855</f>
        <v>0</v>
      </c>
      <c r="AD852" s="12" t="str">
        <f t="shared" si="122"/>
        <v/>
      </c>
      <c r="AE852" s="12" t="str">
        <f t="shared" si="123"/>
        <v/>
      </c>
      <c r="AF852" s="12" t="str">
        <f t="shared" si="124"/>
        <v/>
      </c>
      <c r="AG852" s="12">
        <f t="shared" si="125"/>
        <v>0</v>
      </c>
    </row>
    <row r="853" spans="1:33" ht="15" customHeight="1" x14ac:dyDescent="0.25">
      <c r="A853" s="12" t="str">
        <f>IF(Raw_Data!B856="","",Raw_Data!B856)</f>
        <v/>
      </c>
      <c r="B853" s="12">
        <f>IF(Raw_Data!X856&lt;&gt;"",Raw_Data!X856,Raw_Data!C856)</f>
        <v>0</v>
      </c>
      <c r="C853" s="12" t="str">
        <f>IF(Raw_Data!G856="","",Raw_Data!G856)</f>
        <v/>
      </c>
      <c r="D853" s="12" t="str">
        <f>IF(Raw_Data!H856="","",Raw_Data!H856)</f>
        <v/>
      </c>
      <c r="E853" s="12" t="str">
        <f>IF(Raw_Data!I856="","",Raw_Data!I856)</f>
        <v/>
      </c>
      <c r="F853" s="12" t="str">
        <f>IF(Raw_Data!J856="","",Raw_Data!J856)</f>
        <v/>
      </c>
      <c r="G853" s="12" t="str">
        <f>IF(Raw_Data!AH856&lt;&gt;"",Raw_Data!AH856,IF(Raw_Data!K856&lt;&gt;"",Raw_Data!K856,""))</f>
        <v/>
      </c>
      <c r="H853" s="12" t="str">
        <f>IF(Raw_Data!AI856&lt;&gt;"",Raw_Data!AI856,IF(Raw_Data!L856&lt;&gt;"",Raw_Data!L856,""))</f>
        <v/>
      </c>
      <c r="I853" s="12" t="str">
        <f t="shared" si="117"/>
        <v/>
      </c>
      <c r="J853" s="12" t="str">
        <f>IF(Raw_Data!M856="","",Raw_Data!M856)</f>
        <v/>
      </c>
      <c r="K853" s="12">
        <f>IF(Raw_Data!AJ856&lt;&gt;"",Raw_Data!AJ856,Raw_Data!N856)</f>
        <v>0</v>
      </c>
      <c r="L853" s="12">
        <f t="shared" si="118"/>
        <v>1</v>
      </c>
      <c r="M853" s="12" t="str">
        <f>IF(Raw_Data!AK856="","",Raw_Data!AK856)</f>
        <v/>
      </c>
      <c r="N853" s="12" t="str">
        <f>IF(Raw_Data!T856="","",Raw_Data!T856)</f>
        <v/>
      </c>
      <c r="O853" s="12" t="str">
        <f>IF(Raw_Data!AB856&lt;&gt;"",Raw_Data!AB856,IF(N853="tres_insatisfait",1,IF(N853="insatisfait",2,IF(N853="neutre",3,IF(N853="satisfait",4,IF(N853="tres_satisfait",5,""))))))</f>
        <v/>
      </c>
      <c r="P853" s="12">
        <f>IF(Raw_Data!AL856&lt;&gt;"",Raw_Data!AL856,Raw_Data!R856)</f>
        <v>0</v>
      </c>
      <c r="Q853" s="12">
        <f t="shared" si="119"/>
        <v>0</v>
      </c>
      <c r="R853" s="12" t="str">
        <f>IF(Raw_Data!AM856="","",Raw_Data!AM856)</f>
        <v/>
      </c>
      <c r="S853" s="12" t="str">
        <f t="shared" si="120"/>
        <v/>
      </c>
      <c r="T853" s="12" t="str">
        <f>IF(Raw_Data!AN856="","",Raw_Data!AN856)</f>
        <v/>
      </c>
      <c r="U853" s="12" t="str">
        <f t="shared" si="121"/>
        <v/>
      </c>
      <c r="V853" s="12" t="str">
        <f>IF(Raw_Data!AP856="","",IF(Raw_Data!AP856="oui",1,0))</f>
        <v/>
      </c>
      <c r="W853" s="12" t="str">
        <f>IF(Raw_Data!AQ856="","",IF(Raw_Data!AQ856="oui",1,0))</f>
        <v/>
      </c>
      <c r="X853" s="12" t="str">
        <f>IF(Raw_Data!AR856="","",IF(Raw_Data!AR856="oui",1,0))</f>
        <v/>
      </c>
      <c r="Y853" s="12" t="str">
        <f>IF(Raw_Data!AS856="","",IF(Raw_Data!AS856="oui",1,0))</f>
        <v/>
      </c>
      <c r="Z853" s="12" t="str">
        <f>IF(Raw_Data!V856="","",IF(Raw_Data!V856="oui",1,0))</f>
        <v/>
      </c>
      <c r="AA853" s="12" t="str">
        <f>IF(Raw_Data!W856="","",IF(Raw_Data!W856="oui",1,0))</f>
        <v/>
      </c>
      <c r="AB853" s="12" t="str">
        <f>IF(Raw_Data!Q856="","",IF(Raw_Data!Q856="oui",1,0))</f>
        <v/>
      </c>
      <c r="AC853" s="12">
        <f>Raw_Data!AF856</f>
        <v>0</v>
      </c>
      <c r="AD853" s="12" t="str">
        <f t="shared" si="122"/>
        <v/>
      </c>
      <c r="AE853" s="12" t="str">
        <f t="shared" si="123"/>
        <v/>
      </c>
      <c r="AF853" s="12" t="str">
        <f t="shared" si="124"/>
        <v/>
      </c>
      <c r="AG853" s="12">
        <f t="shared" si="125"/>
        <v>0</v>
      </c>
    </row>
    <row r="854" spans="1:33" ht="15" customHeight="1" x14ac:dyDescent="0.25">
      <c r="A854" s="12" t="str">
        <f>IF(Raw_Data!B857="","",Raw_Data!B857)</f>
        <v/>
      </c>
      <c r="B854" s="12">
        <f>IF(Raw_Data!X857&lt;&gt;"",Raw_Data!X857,Raw_Data!C857)</f>
        <v>0</v>
      </c>
      <c r="C854" s="12" t="str">
        <f>IF(Raw_Data!G857="","",Raw_Data!G857)</f>
        <v/>
      </c>
      <c r="D854" s="12" t="str">
        <f>IF(Raw_Data!H857="","",Raw_Data!H857)</f>
        <v/>
      </c>
      <c r="E854" s="12" t="str">
        <f>IF(Raw_Data!I857="","",Raw_Data!I857)</f>
        <v/>
      </c>
      <c r="F854" s="12" t="str">
        <f>IF(Raw_Data!J857="","",Raw_Data!J857)</f>
        <v/>
      </c>
      <c r="G854" s="12" t="str">
        <f>IF(Raw_Data!AH857&lt;&gt;"",Raw_Data!AH857,IF(Raw_Data!K857&lt;&gt;"",Raw_Data!K857,""))</f>
        <v/>
      </c>
      <c r="H854" s="12" t="str">
        <f>IF(Raw_Data!AI857&lt;&gt;"",Raw_Data!AI857,IF(Raw_Data!L857&lt;&gt;"",Raw_Data!L857,""))</f>
        <v/>
      </c>
      <c r="I854" s="12" t="str">
        <f t="shared" si="117"/>
        <v/>
      </c>
      <c r="J854" s="12" t="str">
        <f>IF(Raw_Data!M857="","",Raw_Data!M857)</f>
        <v/>
      </c>
      <c r="K854" s="12">
        <f>IF(Raw_Data!AJ857&lt;&gt;"",Raw_Data!AJ857,Raw_Data!N857)</f>
        <v>0</v>
      </c>
      <c r="L854" s="12">
        <f t="shared" si="118"/>
        <v>1</v>
      </c>
      <c r="M854" s="12" t="str">
        <f>IF(Raw_Data!AK857="","",Raw_Data!AK857)</f>
        <v/>
      </c>
      <c r="N854" s="12" t="str">
        <f>IF(Raw_Data!T857="","",Raw_Data!T857)</f>
        <v/>
      </c>
      <c r="O854" s="12" t="str">
        <f>IF(Raw_Data!AB857&lt;&gt;"",Raw_Data!AB857,IF(N854="tres_insatisfait",1,IF(N854="insatisfait",2,IF(N854="neutre",3,IF(N854="satisfait",4,IF(N854="tres_satisfait",5,""))))))</f>
        <v/>
      </c>
      <c r="P854" s="12">
        <f>IF(Raw_Data!AL857&lt;&gt;"",Raw_Data!AL857,Raw_Data!R857)</f>
        <v>0</v>
      </c>
      <c r="Q854" s="12">
        <f t="shared" si="119"/>
        <v>0</v>
      </c>
      <c r="R854" s="12" t="str">
        <f>IF(Raw_Data!AM857="","",Raw_Data!AM857)</f>
        <v/>
      </c>
      <c r="S854" s="12" t="str">
        <f t="shared" si="120"/>
        <v/>
      </c>
      <c r="T854" s="12" t="str">
        <f>IF(Raw_Data!AN857="","",Raw_Data!AN857)</f>
        <v/>
      </c>
      <c r="U854" s="12" t="str">
        <f t="shared" si="121"/>
        <v/>
      </c>
      <c r="V854" s="12" t="str">
        <f>IF(Raw_Data!AP857="","",IF(Raw_Data!AP857="oui",1,0))</f>
        <v/>
      </c>
      <c r="W854" s="12" t="str">
        <f>IF(Raw_Data!AQ857="","",IF(Raw_Data!AQ857="oui",1,0))</f>
        <v/>
      </c>
      <c r="X854" s="12" t="str">
        <f>IF(Raw_Data!AR857="","",IF(Raw_Data!AR857="oui",1,0))</f>
        <v/>
      </c>
      <c r="Y854" s="12" t="str">
        <f>IF(Raw_Data!AS857="","",IF(Raw_Data!AS857="oui",1,0))</f>
        <v/>
      </c>
      <c r="Z854" s="12" t="str">
        <f>IF(Raw_Data!V857="","",IF(Raw_Data!V857="oui",1,0))</f>
        <v/>
      </c>
      <c r="AA854" s="12" t="str">
        <f>IF(Raw_Data!W857="","",IF(Raw_Data!W857="oui",1,0))</f>
        <v/>
      </c>
      <c r="AB854" s="12" t="str">
        <f>IF(Raw_Data!Q857="","",IF(Raw_Data!Q857="oui",1,0))</f>
        <v/>
      </c>
      <c r="AC854" s="12">
        <f>Raw_Data!AF857</f>
        <v>0</v>
      </c>
      <c r="AD854" s="12" t="str">
        <f t="shared" si="122"/>
        <v/>
      </c>
      <c r="AE854" s="12" t="str">
        <f t="shared" si="123"/>
        <v/>
      </c>
      <c r="AF854" s="12" t="str">
        <f t="shared" si="124"/>
        <v/>
      </c>
      <c r="AG854" s="12">
        <f t="shared" si="125"/>
        <v>0</v>
      </c>
    </row>
    <row r="855" spans="1:33" ht="15" customHeight="1" x14ac:dyDescent="0.25">
      <c r="A855" s="12" t="str">
        <f>IF(Raw_Data!B858="","",Raw_Data!B858)</f>
        <v/>
      </c>
      <c r="B855" s="12">
        <f>IF(Raw_Data!X858&lt;&gt;"",Raw_Data!X858,Raw_Data!C858)</f>
        <v>0</v>
      </c>
      <c r="C855" s="12" t="str">
        <f>IF(Raw_Data!G858="","",Raw_Data!G858)</f>
        <v/>
      </c>
      <c r="D855" s="12" t="str">
        <f>IF(Raw_Data!H858="","",Raw_Data!H858)</f>
        <v/>
      </c>
      <c r="E855" s="12" t="str">
        <f>IF(Raw_Data!I858="","",Raw_Data!I858)</f>
        <v/>
      </c>
      <c r="F855" s="12" t="str">
        <f>IF(Raw_Data!J858="","",Raw_Data!J858)</f>
        <v/>
      </c>
      <c r="G855" s="12" t="str">
        <f>IF(Raw_Data!AH858&lt;&gt;"",Raw_Data!AH858,IF(Raw_Data!K858&lt;&gt;"",Raw_Data!K858,""))</f>
        <v/>
      </c>
      <c r="H855" s="12" t="str">
        <f>IF(Raw_Data!AI858&lt;&gt;"",Raw_Data!AI858,IF(Raw_Data!L858&lt;&gt;"",Raw_Data!L858,""))</f>
        <v/>
      </c>
      <c r="I855" s="12" t="str">
        <f t="shared" si="117"/>
        <v/>
      </c>
      <c r="J855" s="12" t="str">
        <f>IF(Raw_Data!M858="","",Raw_Data!M858)</f>
        <v/>
      </c>
      <c r="K855" s="12">
        <f>IF(Raw_Data!AJ858&lt;&gt;"",Raw_Data!AJ858,Raw_Data!N858)</f>
        <v>0</v>
      </c>
      <c r="L855" s="12">
        <f t="shared" si="118"/>
        <v>1</v>
      </c>
      <c r="M855" s="12" t="str">
        <f>IF(Raw_Data!AK858="","",Raw_Data!AK858)</f>
        <v/>
      </c>
      <c r="N855" s="12" t="str">
        <f>IF(Raw_Data!T858="","",Raw_Data!T858)</f>
        <v/>
      </c>
      <c r="O855" s="12" t="str">
        <f>IF(Raw_Data!AB858&lt;&gt;"",Raw_Data!AB858,IF(N855="tres_insatisfait",1,IF(N855="insatisfait",2,IF(N855="neutre",3,IF(N855="satisfait",4,IF(N855="tres_satisfait",5,""))))))</f>
        <v/>
      </c>
      <c r="P855" s="12">
        <f>IF(Raw_Data!AL858&lt;&gt;"",Raw_Data!AL858,Raw_Data!R858)</f>
        <v>0</v>
      </c>
      <c r="Q855" s="12">
        <f t="shared" si="119"/>
        <v>0</v>
      </c>
      <c r="R855" s="12" t="str">
        <f>IF(Raw_Data!AM858="","",Raw_Data!AM858)</f>
        <v/>
      </c>
      <c r="S855" s="12" t="str">
        <f t="shared" si="120"/>
        <v/>
      </c>
      <c r="T855" s="12" t="str">
        <f>IF(Raw_Data!AN858="","",Raw_Data!AN858)</f>
        <v/>
      </c>
      <c r="U855" s="12" t="str">
        <f t="shared" si="121"/>
        <v/>
      </c>
      <c r="V855" s="12" t="str">
        <f>IF(Raw_Data!AP858="","",IF(Raw_Data!AP858="oui",1,0))</f>
        <v/>
      </c>
      <c r="W855" s="12" t="str">
        <f>IF(Raw_Data!AQ858="","",IF(Raw_Data!AQ858="oui",1,0))</f>
        <v/>
      </c>
      <c r="X855" s="12" t="str">
        <f>IF(Raw_Data!AR858="","",IF(Raw_Data!AR858="oui",1,0))</f>
        <v/>
      </c>
      <c r="Y855" s="12" t="str">
        <f>IF(Raw_Data!AS858="","",IF(Raw_Data!AS858="oui",1,0))</f>
        <v/>
      </c>
      <c r="Z855" s="12" t="str">
        <f>IF(Raw_Data!V858="","",IF(Raw_Data!V858="oui",1,0))</f>
        <v/>
      </c>
      <c r="AA855" s="12" t="str">
        <f>IF(Raw_Data!W858="","",IF(Raw_Data!W858="oui",1,0))</f>
        <v/>
      </c>
      <c r="AB855" s="12" t="str">
        <f>IF(Raw_Data!Q858="","",IF(Raw_Data!Q858="oui",1,0))</f>
        <v/>
      </c>
      <c r="AC855" s="12">
        <f>Raw_Data!AF858</f>
        <v>0</v>
      </c>
      <c r="AD855" s="12" t="str">
        <f t="shared" si="122"/>
        <v/>
      </c>
      <c r="AE855" s="12" t="str">
        <f t="shared" si="123"/>
        <v/>
      </c>
      <c r="AF855" s="12" t="str">
        <f t="shared" si="124"/>
        <v/>
      </c>
      <c r="AG855" s="12">
        <f t="shared" si="125"/>
        <v>0</v>
      </c>
    </row>
    <row r="856" spans="1:33" ht="15" customHeight="1" x14ac:dyDescent="0.25">
      <c r="A856" s="12" t="str">
        <f>IF(Raw_Data!B859="","",Raw_Data!B859)</f>
        <v/>
      </c>
      <c r="B856" s="12">
        <f>IF(Raw_Data!X859&lt;&gt;"",Raw_Data!X859,Raw_Data!C859)</f>
        <v>0</v>
      </c>
      <c r="C856" s="12" t="str">
        <f>IF(Raw_Data!G859="","",Raw_Data!G859)</f>
        <v/>
      </c>
      <c r="D856" s="12" t="str">
        <f>IF(Raw_Data!H859="","",Raw_Data!H859)</f>
        <v/>
      </c>
      <c r="E856" s="12" t="str">
        <f>IF(Raw_Data!I859="","",Raw_Data!I859)</f>
        <v/>
      </c>
      <c r="F856" s="12" t="str">
        <f>IF(Raw_Data!J859="","",Raw_Data!J859)</f>
        <v/>
      </c>
      <c r="G856" s="12" t="str">
        <f>IF(Raw_Data!AH859&lt;&gt;"",Raw_Data!AH859,IF(Raw_Data!K859&lt;&gt;"",Raw_Data!K859,""))</f>
        <v/>
      </c>
      <c r="H856" s="12" t="str">
        <f>IF(Raw_Data!AI859&lt;&gt;"",Raw_Data!AI859,IF(Raw_Data!L859&lt;&gt;"",Raw_Data!L859,""))</f>
        <v/>
      </c>
      <c r="I856" s="12" t="str">
        <f t="shared" si="117"/>
        <v/>
      </c>
      <c r="J856" s="12" t="str">
        <f>IF(Raw_Data!M859="","",Raw_Data!M859)</f>
        <v/>
      </c>
      <c r="K856" s="12">
        <f>IF(Raw_Data!AJ859&lt;&gt;"",Raw_Data!AJ859,Raw_Data!N859)</f>
        <v>0</v>
      </c>
      <c r="L856" s="12">
        <f t="shared" si="118"/>
        <v>1</v>
      </c>
      <c r="M856" s="12" t="str">
        <f>IF(Raw_Data!AK859="","",Raw_Data!AK859)</f>
        <v/>
      </c>
      <c r="N856" s="12" t="str">
        <f>IF(Raw_Data!T859="","",Raw_Data!T859)</f>
        <v/>
      </c>
      <c r="O856" s="12" t="str">
        <f>IF(Raw_Data!AB859&lt;&gt;"",Raw_Data!AB859,IF(N856="tres_insatisfait",1,IF(N856="insatisfait",2,IF(N856="neutre",3,IF(N856="satisfait",4,IF(N856="tres_satisfait",5,""))))))</f>
        <v/>
      </c>
      <c r="P856" s="12">
        <f>IF(Raw_Data!AL859&lt;&gt;"",Raw_Data!AL859,Raw_Data!R859)</f>
        <v>0</v>
      </c>
      <c r="Q856" s="12">
        <f t="shared" si="119"/>
        <v>0</v>
      </c>
      <c r="R856" s="12" t="str">
        <f>IF(Raw_Data!AM859="","",Raw_Data!AM859)</f>
        <v/>
      </c>
      <c r="S856" s="12" t="str">
        <f t="shared" si="120"/>
        <v/>
      </c>
      <c r="T856" s="12" t="str">
        <f>IF(Raw_Data!AN859="","",Raw_Data!AN859)</f>
        <v/>
      </c>
      <c r="U856" s="12" t="str">
        <f t="shared" si="121"/>
        <v/>
      </c>
      <c r="V856" s="12" t="str">
        <f>IF(Raw_Data!AP859="","",IF(Raw_Data!AP859="oui",1,0))</f>
        <v/>
      </c>
      <c r="W856" s="12" t="str">
        <f>IF(Raw_Data!AQ859="","",IF(Raw_Data!AQ859="oui",1,0))</f>
        <v/>
      </c>
      <c r="X856" s="12" t="str">
        <f>IF(Raw_Data!AR859="","",IF(Raw_Data!AR859="oui",1,0))</f>
        <v/>
      </c>
      <c r="Y856" s="12" t="str">
        <f>IF(Raw_Data!AS859="","",IF(Raw_Data!AS859="oui",1,0))</f>
        <v/>
      </c>
      <c r="Z856" s="12" t="str">
        <f>IF(Raw_Data!V859="","",IF(Raw_Data!V859="oui",1,0))</f>
        <v/>
      </c>
      <c r="AA856" s="12" t="str">
        <f>IF(Raw_Data!W859="","",IF(Raw_Data!W859="oui",1,0))</f>
        <v/>
      </c>
      <c r="AB856" s="12" t="str">
        <f>IF(Raw_Data!Q859="","",IF(Raw_Data!Q859="oui",1,0))</f>
        <v/>
      </c>
      <c r="AC856" s="12">
        <f>Raw_Data!AF859</f>
        <v>0</v>
      </c>
      <c r="AD856" s="12" t="str">
        <f t="shared" si="122"/>
        <v/>
      </c>
      <c r="AE856" s="12" t="str">
        <f t="shared" si="123"/>
        <v/>
      </c>
      <c r="AF856" s="12" t="str">
        <f t="shared" si="124"/>
        <v/>
      </c>
      <c r="AG856" s="12">
        <f t="shared" si="125"/>
        <v>0</v>
      </c>
    </row>
    <row r="857" spans="1:33" ht="15" customHeight="1" x14ac:dyDescent="0.25">
      <c r="A857" s="12" t="str">
        <f>IF(Raw_Data!B860="","",Raw_Data!B860)</f>
        <v/>
      </c>
      <c r="B857" s="12">
        <f>IF(Raw_Data!X860&lt;&gt;"",Raw_Data!X860,Raw_Data!C860)</f>
        <v>0</v>
      </c>
      <c r="C857" s="12" t="str">
        <f>IF(Raw_Data!G860="","",Raw_Data!G860)</f>
        <v/>
      </c>
      <c r="D857" s="12" t="str">
        <f>IF(Raw_Data!H860="","",Raw_Data!H860)</f>
        <v/>
      </c>
      <c r="E857" s="12" t="str">
        <f>IF(Raw_Data!I860="","",Raw_Data!I860)</f>
        <v/>
      </c>
      <c r="F857" s="12" t="str">
        <f>IF(Raw_Data!J860="","",Raw_Data!J860)</f>
        <v/>
      </c>
      <c r="G857" s="12" t="str">
        <f>IF(Raw_Data!AH860&lt;&gt;"",Raw_Data!AH860,IF(Raw_Data!K860&lt;&gt;"",Raw_Data!K860,""))</f>
        <v/>
      </c>
      <c r="H857" s="12" t="str">
        <f>IF(Raw_Data!AI860&lt;&gt;"",Raw_Data!AI860,IF(Raw_Data!L860&lt;&gt;"",Raw_Data!L860,""))</f>
        <v/>
      </c>
      <c r="I857" s="12" t="str">
        <f t="shared" si="117"/>
        <v/>
      </c>
      <c r="J857" s="12" t="str">
        <f>IF(Raw_Data!M860="","",Raw_Data!M860)</f>
        <v/>
      </c>
      <c r="K857" s="12">
        <f>IF(Raw_Data!AJ860&lt;&gt;"",Raw_Data!AJ860,Raw_Data!N860)</f>
        <v>0</v>
      </c>
      <c r="L857" s="12">
        <f t="shared" si="118"/>
        <v>1</v>
      </c>
      <c r="M857" s="12" t="str">
        <f>IF(Raw_Data!AK860="","",Raw_Data!AK860)</f>
        <v/>
      </c>
      <c r="N857" s="12" t="str">
        <f>IF(Raw_Data!T860="","",Raw_Data!T860)</f>
        <v/>
      </c>
      <c r="O857" s="12" t="str">
        <f>IF(Raw_Data!AB860&lt;&gt;"",Raw_Data!AB860,IF(N857="tres_insatisfait",1,IF(N857="insatisfait",2,IF(N857="neutre",3,IF(N857="satisfait",4,IF(N857="tres_satisfait",5,""))))))</f>
        <v/>
      </c>
      <c r="P857" s="12">
        <f>IF(Raw_Data!AL860&lt;&gt;"",Raw_Data!AL860,Raw_Data!R860)</f>
        <v>0</v>
      </c>
      <c r="Q857" s="12">
        <f t="shared" si="119"/>
        <v>0</v>
      </c>
      <c r="R857" s="12" t="str">
        <f>IF(Raw_Data!AM860="","",Raw_Data!AM860)</f>
        <v/>
      </c>
      <c r="S857" s="12" t="str">
        <f t="shared" si="120"/>
        <v/>
      </c>
      <c r="T857" s="12" t="str">
        <f>IF(Raw_Data!AN860="","",Raw_Data!AN860)</f>
        <v/>
      </c>
      <c r="U857" s="12" t="str">
        <f t="shared" si="121"/>
        <v/>
      </c>
      <c r="V857" s="12" t="str">
        <f>IF(Raw_Data!AP860="","",IF(Raw_Data!AP860="oui",1,0))</f>
        <v/>
      </c>
      <c r="W857" s="12" t="str">
        <f>IF(Raw_Data!AQ860="","",IF(Raw_Data!AQ860="oui",1,0))</f>
        <v/>
      </c>
      <c r="X857" s="12" t="str">
        <f>IF(Raw_Data!AR860="","",IF(Raw_Data!AR860="oui",1,0))</f>
        <v/>
      </c>
      <c r="Y857" s="12" t="str">
        <f>IF(Raw_Data!AS860="","",IF(Raw_Data!AS860="oui",1,0))</f>
        <v/>
      </c>
      <c r="Z857" s="12" t="str">
        <f>IF(Raw_Data!V860="","",IF(Raw_Data!V860="oui",1,0))</f>
        <v/>
      </c>
      <c r="AA857" s="12" t="str">
        <f>IF(Raw_Data!W860="","",IF(Raw_Data!W860="oui",1,0))</f>
        <v/>
      </c>
      <c r="AB857" s="12" t="str">
        <f>IF(Raw_Data!Q860="","",IF(Raw_Data!Q860="oui",1,0))</f>
        <v/>
      </c>
      <c r="AC857" s="12">
        <f>Raw_Data!AF860</f>
        <v>0</v>
      </c>
      <c r="AD857" s="12" t="str">
        <f t="shared" si="122"/>
        <v/>
      </c>
      <c r="AE857" s="12" t="str">
        <f t="shared" si="123"/>
        <v/>
      </c>
      <c r="AF857" s="12" t="str">
        <f t="shared" si="124"/>
        <v/>
      </c>
      <c r="AG857" s="12">
        <f t="shared" si="125"/>
        <v>0</v>
      </c>
    </row>
    <row r="858" spans="1:33" ht="15" customHeight="1" x14ac:dyDescent="0.25">
      <c r="A858" s="12" t="str">
        <f>IF(Raw_Data!B861="","",Raw_Data!B861)</f>
        <v/>
      </c>
      <c r="B858" s="12">
        <f>IF(Raw_Data!X861&lt;&gt;"",Raw_Data!X861,Raw_Data!C861)</f>
        <v>0</v>
      </c>
      <c r="C858" s="12" t="str">
        <f>IF(Raw_Data!G861="","",Raw_Data!G861)</f>
        <v/>
      </c>
      <c r="D858" s="12" t="str">
        <f>IF(Raw_Data!H861="","",Raw_Data!H861)</f>
        <v/>
      </c>
      <c r="E858" s="12" t="str">
        <f>IF(Raw_Data!I861="","",Raw_Data!I861)</f>
        <v/>
      </c>
      <c r="F858" s="12" t="str">
        <f>IF(Raw_Data!J861="","",Raw_Data!J861)</f>
        <v/>
      </c>
      <c r="G858" s="12" t="str">
        <f>IF(Raw_Data!AH861&lt;&gt;"",Raw_Data!AH861,IF(Raw_Data!K861&lt;&gt;"",Raw_Data!K861,""))</f>
        <v/>
      </c>
      <c r="H858" s="12" t="str">
        <f>IF(Raw_Data!AI861&lt;&gt;"",Raw_Data!AI861,IF(Raw_Data!L861&lt;&gt;"",Raw_Data!L861,""))</f>
        <v/>
      </c>
      <c r="I858" s="12" t="str">
        <f t="shared" si="117"/>
        <v/>
      </c>
      <c r="J858" s="12" t="str">
        <f>IF(Raw_Data!M861="","",Raw_Data!M861)</f>
        <v/>
      </c>
      <c r="K858" s="12">
        <f>IF(Raw_Data!AJ861&lt;&gt;"",Raw_Data!AJ861,Raw_Data!N861)</f>
        <v>0</v>
      </c>
      <c r="L858" s="12">
        <f t="shared" si="118"/>
        <v>1</v>
      </c>
      <c r="M858" s="12" t="str">
        <f>IF(Raw_Data!AK861="","",Raw_Data!AK861)</f>
        <v/>
      </c>
      <c r="N858" s="12" t="str">
        <f>IF(Raw_Data!T861="","",Raw_Data!T861)</f>
        <v/>
      </c>
      <c r="O858" s="12" t="str">
        <f>IF(Raw_Data!AB861&lt;&gt;"",Raw_Data!AB861,IF(N858="tres_insatisfait",1,IF(N858="insatisfait",2,IF(N858="neutre",3,IF(N858="satisfait",4,IF(N858="tres_satisfait",5,""))))))</f>
        <v/>
      </c>
      <c r="P858" s="12">
        <f>IF(Raw_Data!AL861&lt;&gt;"",Raw_Data!AL861,Raw_Data!R861)</f>
        <v>0</v>
      </c>
      <c r="Q858" s="12">
        <f t="shared" si="119"/>
        <v>0</v>
      </c>
      <c r="R858" s="12" t="str">
        <f>IF(Raw_Data!AM861="","",Raw_Data!AM861)</f>
        <v/>
      </c>
      <c r="S858" s="12" t="str">
        <f t="shared" si="120"/>
        <v/>
      </c>
      <c r="T858" s="12" t="str">
        <f>IF(Raw_Data!AN861="","",Raw_Data!AN861)</f>
        <v/>
      </c>
      <c r="U858" s="12" t="str">
        <f t="shared" si="121"/>
        <v/>
      </c>
      <c r="V858" s="12" t="str">
        <f>IF(Raw_Data!AP861="","",IF(Raw_Data!AP861="oui",1,0))</f>
        <v/>
      </c>
      <c r="W858" s="12" t="str">
        <f>IF(Raw_Data!AQ861="","",IF(Raw_Data!AQ861="oui",1,0))</f>
        <v/>
      </c>
      <c r="X858" s="12" t="str">
        <f>IF(Raw_Data!AR861="","",IF(Raw_Data!AR861="oui",1,0))</f>
        <v/>
      </c>
      <c r="Y858" s="12" t="str">
        <f>IF(Raw_Data!AS861="","",IF(Raw_Data!AS861="oui",1,0))</f>
        <v/>
      </c>
      <c r="Z858" s="12" t="str">
        <f>IF(Raw_Data!V861="","",IF(Raw_Data!V861="oui",1,0))</f>
        <v/>
      </c>
      <c r="AA858" s="12" t="str">
        <f>IF(Raw_Data!W861="","",IF(Raw_Data!W861="oui",1,0))</f>
        <v/>
      </c>
      <c r="AB858" s="12" t="str">
        <f>IF(Raw_Data!Q861="","",IF(Raw_Data!Q861="oui",1,0))</f>
        <v/>
      </c>
      <c r="AC858" s="12">
        <f>Raw_Data!AF861</f>
        <v>0</v>
      </c>
      <c r="AD858" s="12" t="str">
        <f t="shared" si="122"/>
        <v/>
      </c>
      <c r="AE858" s="12" t="str">
        <f t="shared" si="123"/>
        <v/>
      </c>
      <c r="AF858" s="12" t="str">
        <f t="shared" si="124"/>
        <v/>
      </c>
      <c r="AG858" s="12">
        <f t="shared" si="125"/>
        <v>0</v>
      </c>
    </row>
    <row r="859" spans="1:33" ht="15" customHeight="1" x14ac:dyDescent="0.25">
      <c r="A859" s="12" t="str">
        <f>IF(Raw_Data!B862="","",Raw_Data!B862)</f>
        <v/>
      </c>
      <c r="B859" s="12">
        <f>IF(Raw_Data!X862&lt;&gt;"",Raw_Data!X862,Raw_Data!C862)</f>
        <v>0</v>
      </c>
      <c r="C859" s="12" t="str">
        <f>IF(Raw_Data!G862="","",Raw_Data!G862)</f>
        <v/>
      </c>
      <c r="D859" s="12" t="str">
        <f>IF(Raw_Data!H862="","",Raw_Data!H862)</f>
        <v/>
      </c>
      <c r="E859" s="12" t="str">
        <f>IF(Raw_Data!I862="","",Raw_Data!I862)</f>
        <v/>
      </c>
      <c r="F859" s="12" t="str">
        <f>IF(Raw_Data!J862="","",Raw_Data!J862)</f>
        <v/>
      </c>
      <c r="G859" s="12" t="str">
        <f>IF(Raw_Data!AH862&lt;&gt;"",Raw_Data!AH862,IF(Raw_Data!K862&lt;&gt;"",Raw_Data!K862,""))</f>
        <v/>
      </c>
      <c r="H859" s="12" t="str">
        <f>IF(Raw_Data!AI862&lt;&gt;"",Raw_Data!AI862,IF(Raw_Data!L862&lt;&gt;"",Raw_Data!L862,""))</f>
        <v/>
      </c>
      <c r="I859" s="12" t="str">
        <f t="shared" si="117"/>
        <v/>
      </c>
      <c r="J859" s="12" t="str">
        <f>IF(Raw_Data!M862="","",Raw_Data!M862)</f>
        <v/>
      </c>
      <c r="K859" s="12">
        <f>IF(Raw_Data!AJ862&lt;&gt;"",Raw_Data!AJ862,Raw_Data!N862)</f>
        <v>0</v>
      </c>
      <c r="L859" s="12">
        <f t="shared" si="118"/>
        <v>1</v>
      </c>
      <c r="M859" s="12" t="str">
        <f>IF(Raw_Data!AK862="","",Raw_Data!AK862)</f>
        <v/>
      </c>
      <c r="N859" s="12" t="str">
        <f>IF(Raw_Data!T862="","",Raw_Data!T862)</f>
        <v/>
      </c>
      <c r="O859" s="12" t="str">
        <f>IF(Raw_Data!AB862&lt;&gt;"",Raw_Data!AB862,IF(N859="tres_insatisfait",1,IF(N859="insatisfait",2,IF(N859="neutre",3,IF(N859="satisfait",4,IF(N859="tres_satisfait",5,""))))))</f>
        <v/>
      </c>
      <c r="P859" s="12">
        <f>IF(Raw_Data!AL862&lt;&gt;"",Raw_Data!AL862,Raw_Data!R862)</f>
        <v>0</v>
      </c>
      <c r="Q859" s="12">
        <f t="shared" si="119"/>
        <v>0</v>
      </c>
      <c r="R859" s="12" t="str">
        <f>IF(Raw_Data!AM862="","",Raw_Data!AM862)</f>
        <v/>
      </c>
      <c r="S859" s="12" t="str">
        <f t="shared" si="120"/>
        <v/>
      </c>
      <c r="T859" s="12" t="str">
        <f>IF(Raw_Data!AN862="","",Raw_Data!AN862)</f>
        <v/>
      </c>
      <c r="U859" s="12" t="str">
        <f t="shared" si="121"/>
        <v/>
      </c>
      <c r="V859" s="12" t="str">
        <f>IF(Raw_Data!AP862="","",IF(Raw_Data!AP862="oui",1,0))</f>
        <v/>
      </c>
      <c r="W859" s="12" t="str">
        <f>IF(Raw_Data!AQ862="","",IF(Raw_Data!AQ862="oui",1,0))</f>
        <v/>
      </c>
      <c r="X859" s="12" t="str">
        <f>IF(Raw_Data!AR862="","",IF(Raw_Data!AR862="oui",1,0))</f>
        <v/>
      </c>
      <c r="Y859" s="12" t="str">
        <f>IF(Raw_Data!AS862="","",IF(Raw_Data!AS862="oui",1,0))</f>
        <v/>
      </c>
      <c r="Z859" s="12" t="str">
        <f>IF(Raw_Data!V862="","",IF(Raw_Data!V862="oui",1,0))</f>
        <v/>
      </c>
      <c r="AA859" s="12" t="str">
        <f>IF(Raw_Data!W862="","",IF(Raw_Data!W862="oui",1,0))</f>
        <v/>
      </c>
      <c r="AB859" s="12" t="str">
        <f>IF(Raw_Data!Q862="","",IF(Raw_Data!Q862="oui",1,0))</f>
        <v/>
      </c>
      <c r="AC859" s="12">
        <f>Raw_Data!AF862</f>
        <v>0</v>
      </c>
      <c r="AD859" s="12" t="str">
        <f t="shared" si="122"/>
        <v/>
      </c>
      <c r="AE859" s="12" t="str">
        <f t="shared" si="123"/>
        <v/>
      </c>
      <c r="AF859" s="12" t="str">
        <f t="shared" si="124"/>
        <v/>
      </c>
      <c r="AG859" s="12">
        <f t="shared" si="125"/>
        <v>0</v>
      </c>
    </row>
    <row r="860" spans="1:33" ht="15" customHeight="1" x14ac:dyDescent="0.25">
      <c r="A860" s="12" t="str">
        <f>IF(Raw_Data!B863="","",Raw_Data!B863)</f>
        <v/>
      </c>
      <c r="B860" s="12">
        <f>IF(Raw_Data!X863&lt;&gt;"",Raw_Data!X863,Raw_Data!C863)</f>
        <v>0</v>
      </c>
      <c r="C860" s="12" t="str">
        <f>IF(Raw_Data!G863="","",Raw_Data!G863)</f>
        <v/>
      </c>
      <c r="D860" s="12" t="str">
        <f>IF(Raw_Data!H863="","",Raw_Data!H863)</f>
        <v/>
      </c>
      <c r="E860" s="12" t="str">
        <f>IF(Raw_Data!I863="","",Raw_Data!I863)</f>
        <v/>
      </c>
      <c r="F860" s="12" t="str">
        <f>IF(Raw_Data!J863="","",Raw_Data!J863)</f>
        <v/>
      </c>
      <c r="G860" s="12" t="str">
        <f>IF(Raw_Data!AH863&lt;&gt;"",Raw_Data!AH863,IF(Raw_Data!K863&lt;&gt;"",Raw_Data!K863,""))</f>
        <v/>
      </c>
      <c r="H860" s="12" t="str">
        <f>IF(Raw_Data!AI863&lt;&gt;"",Raw_Data!AI863,IF(Raw_Data!L863&lt;&gt;"",Raw_Data!L863,""))</f>
        <v/>
      </c>
      <c r="I860" s="12" t="str">
        <f t="shared" si="117"/>
        <v/>
      </c>
      <c r="J860" s="12" t="str">
        <f>IF(Raw_Data!M863="","",Raw_Data!M863)</f>
        <v/>
      </c>
      <c r="K860" s="12">
        <f>IF(Raw_Data!AJ863&lt;&gt;"",Raw_Data!AJ863,Raw_Data!N863)</f>
        <v>0</v>
      </c>
      <c r="L860" s="12">
        <f t="shared" si="118"/>
        <v>1</v>
      </c>
      <c r="M860" s="12" t="str">
        <f>IF(Raw_Data!AK863="","",Raw_Data!AK863)</f>
        <v/>
      </c>
      <c r="N860" s="12" t="str">
        <f>IF(Raw_Data!T863="","",Raw_Data!T863)</f>
        <v/>
      </c>
      <c r="O860" s="12" t="str">
        <f>IF(Raw_Data!AB863&lt;&gt;"",Raw_Data!AB863,IF(N860="tres_insatisfait",1,IF(N860="insatisfait",2,IF(N860="neutre",3,IF(N860="satisfait",4,IF(N860="tres_satisfait",5,""))))))</f>
        <v/>
      </c>
      <c r="P860" s="12">
        <f>IF(Raw_Data!AL863&lt;&gt;"",Raw_Data!AL863,Raw_Data!R863)</f>
        <v>0</v>
      </c>
      <c r="Q860" s="12">
        <f t="shared" si="119"/>
        <v>0</v>
      </c>
      <c r="R860" s="12" t="str">
        <f>IF(Raw_Data!AM863="","",Raw_Data!AM863)</f>
        <v/>
      </c>
      <c r="S860" s="12" t="str">
        <f t="shared" si="120"/>
        <v/>
      </c>
      <c r="T860" s="12" t="str">
        <f>IF(Raw_Data!AN863="","",Raw_Data!AN863)</f>
        <v/>
      </c>
      <c r="U860" s="12" t="str">
        <f t="shared" si="121"/>
        <v/>
      </c>
      <c r="V860" s="12" t="str">
        <f>IF(Raw_Data!AP863="","",IF(Raw_Data!AP863="oui",1,0))</f>
        <v/>
      </c>
      <c r="W860" s="12" t="str">
        <f>IF(Raw_Data!AQ863="","",IF(Raw_Data!AQ863="oui",1,0))</f>
        <v/>
      </c>
      <c r="X860" s="12" t="str">
        <f>IF(Raw_Data!AR863="","",IF(Raw_Data!AR863="oui",1,0))</f>
        <v/>
      </c>
      <c r="Y860" s="12" t="str">
        <f>IF(Raw_Data!AS863="","",IF(Raw_Data!AS863="oui",1,0))</f>
        <v/>
      </c>
      <c r="Z860" s="12" t="str">
        <f>IF(Raw_Data!V863="","",IF(Raw_Data!V863="oui",1,0))</f>
        <v/>
      </c>
      <c r="AA860" s="12" t="str">
        <f>IF(Raw_Data!W863="","",IF(Raw_Data!W863="oui",1,0))</f>
        <v/>
      </c>
      <c r="AB860" s="12" t="str">
        <f>IF(Raw_Data!Q863="","",IF(Raw_Data!Q863="oui",1,0))</f>
        <v/>
      </c>
      <c r="AC860" s="12">
        <f>Raw_Data!AF863</f>
        <v>0</v>
      </c>
      <c r="AD860" s="12" t="str">
        <f t="shared" si="122"/>
        <v/>
      </c>
      <c r="AE860" s="12" t="str">
        <f t="shared" si="123"/>
        <v/>
      </c>
      <c r="AF860" s="12" t="str">
        <f t="shared" si="124"/>
        <v/>
      </c>
      <c r="AG860" s="12">
        <f t="shared" si="125"/>
        <v>0</v>
      </c>
    </row>
    <row r="861" spans="1:33" ht="15" customHeight="1" x14ac:dyDescent="0.25">
      <c r="A861" s="12" t="str">
        <f>IF(Raw_Data!B864="","",Raw_Data!B864)</f>
        <v/>
      </c>
      <c r="B861" s="12">
        <f>IF(Raw_Data!X864&lt;&gt;"",Raw_Data!X864,Raw_Data!C864)</f>
        <v>0</v>
      </c>
      <c r="C861" s="12" t="str">
        <f>IF(Raw_Data!G864="","",Raw_Data!G864)</f>
        <v/>
      </c>
      <c r="D861" s="12" t="str">
        <f>IF(Raw_Data!H864="","",Raw_Data!H864)</f>
        <v/>
      </c>
      <c r="E861" s="12" t="str">
        <f>IF(Raw_Data!I864="","",Raw_Data!I864)</f>
        <v/>
      </c>
      <c r="F861" s="12" t="str">
        <f>IF(Raw_Data!J864="","",Raw_Data!J864)</f>
        <v/>
      </c>
      <c r="G861" s="12" t="str">
        <f>IF(Raw_Data!AH864&lt;&gt;"",Raw_Data!AH864,IF(Raw_Data!K864&lt;&gt;"",Raw_Data!K864,""))</f>
        <v/>
      </c>
      <c r="H861" s="12" t="str">
        <f>IF(Raw_Data!AI864&lt;&gt;"",Raw_Data!AI864,IF(Raw_Data!L864&lt;&gt;"",Raw_Data!L864,""))</f>
        <v/>
      </c>
      <c r="I861" s="12" t="str">
        <f t="shared" si="117"/>
        <v/>
      </c>
      <c r="J861" s="12" t="str">
        <f>IF(Raw_Data!M864="","",Raw_Data!M864)</f>
        <v/>
      </c>
      <c r="K861" s="12">
        <f>IF(Raw_Data!AJ864&lt;&gt;"",Raw_Data!AJ864,Raw_Data!N864)</f>
        <v>0</v>
      </c>
      <c r="L861" s="12">
        <f t="shared" si="118"/>
        <v>1</v>
      </c>
      <c r="M861" s="12" t="str">
        <f>IF(Raw_Data!AK864="","",Raw_Data!AK864)</f>
        <v/>
      </c>
      <c r="N861" s="12" t="str">
        <f>IF(Raw_Data!T864="","",Raw_Data!T864)</f>
        <v/>
      </c>
      <c r="O861" s="12" t="str">
        <f>IF(Raw_Data!AB864&lt;&gt;"",Raw_Data!AB864,IF(N861="tres_insatisfait",1,IF(N861="insatisfait",2,IF(N861="neutre",3,IF(N861="satisfait",4,IF(N861="tres_satisfait",5,""))))))</f>
        <v/>
      </c>
      <c r="P861" s="12">
        <f>IF(Raw_Data!AL864&lt;&gt;"",Raw_Data!AL864,Raw_Data!R864)</f>
        <v>0</v>
      </c>
      <c r="Q861" s="12">
        <f t="shared" si="119"/>
        <v>0</v>
      </c>
      <c r="R861" s="12" t="str">
        <f>IF(Raw_Data!AM864="","",Raw_Data!AM864)</f>
        <v/>
      </c>
      <c r="S861" s="12" t="str">
        <f t="shared" si="120"/>
        <v/>
      </c>
      <c r="T861" s="12" t="str">
        <f>IF(Raw_Data!AN864="","",Raw_Data!AN864)</f>
        <v/>
      </c>
      <c r="U861" s="12" t="str">
        <f t="shared" si="121"/>
        <v/>
      </c>
      <c r="V861" s="12" t="str">
        <f>IF(Raw_Data!AP864="","",IF(Raw_Data!AP864="oui",1,0))</f>
        <v/>
      </c>
      <c r="W861" s="12" t="str">
        <f>IF(Raw_Data!AQ864="","",IF(Raw_Data!AQ864="oui",1,0))</f>
        <v/>
      </c>
      <c r="X861" s="12" t="str">
        <f>IF(Raw_Data!AR864="","",IF(Raw_Data!AR864="oui",1,0))</f>
        <v/>
      </c>
      <c r="Y861" s="12" t="str">
        <f>IF(Raw_Data!AS864="","",IF(Raw_Data!AS864="oui",1,0))</f>
        <v/>
      </c>
      <c r="Z861" s="12" t="str">
        <f>IF(Raw_Data!V864="","",IF(Raw_Data!V864="oui",1,0))</f>
        <v/>
      </c>
      <c r="AA861" s="12" t="str">
        <f>IF(Raw_Data!W864="","",IF(Raw_Data!W864="oui",1,0))</f>
        <v/>
      </c>
      <c r="AB861" s="12" t="str">
        <f>IF(Raw_Data!Q864="","",IF(Raw_Data!Q864="oui",1,0))</f>
        <v/>
      </c>
      <c r="AC861" s="12">
        <f>Raw_Data!AF864</f>
        <v>0</v>
      </c>
      <c r="AD861" s="12" t="str">
        <f t="shared" si="122"/>
        <v/>
      </c>
      <c r="AE861" s="12" t="str">
        <f t="shared" si="123"/>
        <v/>
      </c>
      <c r="AF861" s="12" t="str">
        <f t="shared" si="124"/>
        <v/>
      </c>
      <c r="AG861" s="12">
        <f t="shared" si="125"/>
        <v>0</v>
      </c>
    </row>
    <row r="862" spans="1:33" ht="15" customHeight="1" x14ac:dyDescent="0.25">
      <c r="A862" s="12" t="str">
        <f>IF(Raw_Data!B865="","",Raw_Data!B865)</f>
        <v/>
      </c>
      <c r="B862" s="12">
        <f>IF(Raw_Data!X865&lt;&gt;"",Raw_Data!X865,Raw_Data!C865)</f>
        <v>0</v>
      </c>
      <c r="C862" s="12" t="str">
        <f>IF(Raw_Data!G865="","",Raw_Data!G865)</f>
        <v/>
      </c>
      <c r="D862" s="12" t="str">
        <f>IF(Raw_Data!H865="","",Raw_Data!H865)</f>
        <v/>
      </c>
      <c r="E862" s="12" t="str">
        <f>IF(Raw_Data!I865="","",Raw_Data!I865)</f>
        <v/>
      </c>
      <c r="F862" s="12" t="str">
        <f>IF(Raw_Data!J865="","",Raw_Data!J865)</f>
        <v/>
      </c>
      <c r="G862" s="12" t="str">
        <f>IF(Raw_Data!AH865&lt;&gt;"",Raw_Data!AH865,IF(Raw_Data!K865&lt;&gt;"",Raw_Data!K865,""))</f>
        <v/>
      </c>
      <c r="H862" s="12" t="str">
        <f>IF(Raw_Data!AI865&lt;&gt;"",Raw_Data!AI865,IF(Raw_Data!L865&lt;&gt;"",Raw_Data!L865,""))</f>
        <v/>
      </c>
      <c r="I862" s="12" t="str">
        <f t="shared" si="117"/>
        <v/>
      </c>
      <c r="J862" s="12" t="str">
        <f>IF(Raw_Data!M865="","",Raw_Data!M865)</f>
        <v/>
      </c>
      <c r="K862" s="12">
        <f>IF(Raw_Data!AJ865&lt;&gt;"",Raw_Data!AJ865,Raw_Data!N865)</f>
        <v>0</v>
      </c>
      <c r="L862" s="12">
        <f t="shared" si="118"/>
        <v>1</v>
      </c>
      <c r="M862" s="12" t="str">
        <f>IF(Raw_Data!AK865="","",Raw_Data!AK865)</f>
        <v/>
      </c>
      <c r="N862" s="12" t="str">
        <f>IF(Raw_Data!T865="","",Raw_Data!T865)</f>
        <v/>
      </c>
      <c r="O862" s="12" t="str">
        <f>IF(Raw_Data!AB865&lt;&gt;"",Raw_Data!AB865,IF(N862="tres_insatisfait",1,IF(N862="insatisfait",2,IF(N862="neutre",3,IF(N862="satisfait",4,IF(N862="tres_satisfait",5,""))))))</f>
        <v/>
      </c>
      <c r="P862" s="12">
        <f>IF(Raw_Data!AL865&lt;&gt;"",Raw_Data!AL865,Raw_Data!R865)</f>
        <v>0</v>
      </c>
      <c r="Q862" s="12">
        <f t="shared" si="119"/>
        <v>0</v>
      </c>
      <c r="R862" s="12" t="str">
        <f>IF(Raw_Data!AM865="","",Raw_Data!AM865)</f>
        <v/>
      </c>
      <c r="S862" s="12" t="str">
        <f t="shared" si="120"/>
        <v/>
      </c>
      <c r="T862" s="12" t="str">
        <f>IF(Raw_Data!AN865="","",Raw_Data!AN865)</f>
        <v/>
      </c>
      <c r="U862" s="12" t="str">
        <f t="shared" si="121"/>
        <v/>
      </c>
      <c r="V862" s="12" t="str">
        <f>IF(Raw_Data!AP865="","",IF(Raw_Data!AP865="oui",1,0))</f>
        <v/>
      </c>
      <c r="W862" s="12" t="str">
        <f>IF(Raw_Data!AQ865="","",IF(Raw_Data!AQ865="oui",1,0))</f>
        <v/>
      </c>
      <c r="X862" s="12" t="str">
        <f>IF(Raw_Data!AR865="","",IF(Raw_Data!AR865="oui",1,0))</f>
        <v/>
      </c>
      <c r="Y862" s="12" t="str">
        <f>IF(Raw_Data!AS865="","",IF(Raw_Data!AS865="oui",1,0))</f>
        <v/>
      </c>
      <c r="Z862" s="12" t="str">
        <f>IF(Raw_Data!V865="","",IF(Raw_Data!V865="oui",1,0))</f>
        <v/>
      </c>
      <c r="AA862" s="12" t="str">
        <f>IF(Raw_Data!W865="","",IF(Raw_Data!W865="oui",1,0))</f>
        <v/>
      </c>
      <c r="AB862" s="12" t="str">
        <f>IF(Raw_Data!Q865="","",IF(Raw_Data!Q865="oui",1,0))</f>
        <v/>
      </c>
      <c r="AC862" s="12">
        <f>Raw_Data!AF865</f>
        <v>0</v>
      </c>
      <c r="AD862" s="12" t="str">
        <f t="shared" si="122"/>
        <v/>
      </c>
      <c r="AE862" s="12" t="str">
        <f t="shared" si="123"/>
        <v/>
      </c>
      <c r="AF862" s="12" t="str">
        <f t="shared" si="124"/>
        <v/>
      </c>
      <c r="AG862" s="12">
        <f t="shared" si="125"/>
        <v>0</v>
      </c>
    </row>
    <row r="863" spans="1:33" ht="15" customHeight="1" x14ac:dyDescent="0.25">
      <c r="A863" s="12" t="str">
        <f>IF(Raw_Data!B866="","",Raw_Data!B866)</f>
        <v/>
      </c>
      <c r="B863" s="12">
        <f>IF(Raw_Data!X866&lt;&gt;"",Raw_Data!X866,Raw_Data!C866)</f>
        <v>0</v>
      </c>
      <c r="C863" s="12" t="str">
        <f>IF(Raw_Data!G866="","",Raw_Data!G866)</f>
        <v/>
      </c>
      <c r="D863" s="12" t="str">
        <f>IF(Raw_Data!H866="","",Raw_Data!H866)</f>
        <v/>
      </c>
      <c r="E863" s="12" t="str">
        <f>IF(Raw_Data!I866="","",Raw_Data!I866)</f>
        <v/>
      </c>
      <c r="F863" s="12" t="str">
        <f>IF(Raw_Data!J866="","",Raw_Data!J866)</f>
        <v/>
      </c>
      <c r="G863" s="12" t="str">
        <f>IF(Raw_Data!AH866&lt;&gt;"",Raw_Data!AH866,IF(Raw_Data!K866&lt;&gt;"",Raw_Data!K866,""))</f>
        <v/>
      </c>
      <c r="H863" s="12" t="str">
        <f>IF(Raw_Data!AI866&lt;&gt;"",Raw_Data!AI866,IF(Raw_Data!L866&lt;&gt;"",Raw_Data!L866,""))</f>
        <v/>
      </c>
      <c r="I863" s="12" t="str">
        <f t="shared" si="117"/>
        <v/>
      </c>
      <c r="J863" s="12" t="str">
        <f>IF(Raw_Data!M866="","",Raw_Data!M866)</f>
        <v/>
      </c>
      <c r="K863" s="12">
        <f>IF(Raw_Data!AJ866&lt;&gt;"",Raw_Data!AJ866,Raw_Data!N866)</f>
        <v>0</v>
      </c>
      <c r="L863" s="12">
        <f t="shared" si="118"/>
        <v>1</v>
      </c>
      <c r="M863" s="12" t="str">
        <f>IF(Raw_Data!AK866="","",Raw_Data!AK866)</f>
        <v/>
      </c>
      <c r="N863" s="12" t="str">
        <f>IF(Raw_Data!T866="","",Raw_Data!T866)</f>
        <v/>
      </c>
      <c r="O863" s="12" t="str">
        <f>IF(Raw_Data!AB866&lt;&gt;"",Raw_Data!AB866,IF(N863="tres_insatisfait",1,IF(N863="insatisfait",2,IF(N863="neutre",3,IF(N863="satisfait",4,IF(N863="tres_satisfait",5,""))))))</f>
        <v/>
      </c>
      <c r="P863" s="12">
        <f>IF(Raw_Data!AL866&lt;&gt;"",Raw_Data!AL866,Raw_Data!R866)</f>
        <v>0</v>
      </c>
      <c r="Q863" s="12">
        <f t="shared" si="119"/>
        <v>0</v>
      </c>
      <c r="R863" s="12" t="str">
        <f>IF(Raw_Data!AM866="","",Raw_Data!AM866)</f>
        <v/>
      </c>
      <c r="S863" s="12" t="str">
        <f t="shared" si="120"/>
        <v/>
      </c>
      <c r="T863" s="12" t="str">
        <f>IF(Raw_Data!AN866="","",Raw_Data!AN866)</f>
        <v/>
      </c>
      <c r="U863" s="12" t="str">
        <f t="shared" si="121"/>
        <v/>
      </c>
      <c r="V863" s="12" t="str">
        <f>IF(Raw_Data!AP866="","",IF(Raw_Data!AP866="oui",1,0))</f>
        <v/>
      </c>
      <c r="W863" s="12" t="str">
        <f>IF(Raw_Data!AQ866="","",IF(Raw_Data!AQ866="oui",1,0))</f>
        <v/>
      </c>
      <c r="X863" s="12" t="str">
        <f>IF(Raw_Data!AR866="","",IF(Raw_Data!AR866="oui",1,0))</f>
        <v/>
      </c>
      <c r="Y863" s="12" t="str">
        <f>IF(Raw_Data!AS866="","",IF(Raw_Data!AS866="oui",1,0))</f>
        <v/>
      </c>
      <c r="Z863" s="12" t="str">
        <f>IF(Raw_Data!V866="","",IF(Raw_Data!V866="oui",1,0))</f>
        <v/>
      </c>
      <c r="AA863" s="12" t="str">
        <f>IF(Raw_Data!W866="","",IF(Raw_Data!W866="oui",1,0))</f>
        <v/>
      </c>
      <c r="AB863" s="12" t="str">
        <f>IF(Raw_Data!Q866="","",IF(Raw_Data!Q866="oui",1,0))</f>
        <v/>
      </c>
      <c r="AC863" s="12">
        <f>Raw_Data!AF866</f>
        <v>0</v>
      </c>
      <c r="AD863" s="12" t="str">
        <f t="shared" si="122"/>
        <v/>
      </c>
      <c r="AE863" s="12" t="str">
        <f t="shared" si="123"/>
        <v/>
      </c>
      <c r="AF863" s="12" t="str">
        <f t="shared" si="124"/>
        <v/>
      </c>
      <c r="AG863" s="12">
        <f t="shared" si="125"/>
        <v>0</v>
      </c>
    </row>
    <row r="864" spans="1:33" ht="15" customHeight="1" x14ac:dyDescent="0.25">
      <c r="A864" s="12" t="str">
        <f>IF(Raw_Data!B867="","",Raw_Data!B867)</f>
        <v/>
      </c>
      <c r="B864" s="12">
        <f>IF(Raw_Data!X867&lt;&gt;"",Raw_Data!X867,Raw_Data!C867)</f>
        <v>0</v>
      </c>
      <c r="C864" s="12" t="str">
        <f>IF(Raw_Data!G867="","",Raw_Data!G867)</f>
        <v/>
      </c>
      <c r="D864" s="12" t="str">
        <f>IF(Raw_Data!H867="","",Raw_Data!H867)</f>
        <v/>
      </c>
      <c r="E864" s="12" t="str">
        <f>IF(Raw_Data!I867="","",Raw_Data!I867)</f>
        <v/>
      </c>
      <c r="F864" s="12" t="str">
        <f>IF(Raw_Data!J867="","",Raw_Data!J867)</f>
        <v/>
      </c>
      <c r="G864" s="12" t="str">
        <f>IF(Raw_Data!AH867&lt;&gt;"",Raw_Data!AH867,IF(Raw_Data!K867&lt;&gt;"",Raw_Data!K867,""))</f>
        <v/>
      </c>
      <c r="H864" s="12" t="str">
        <f>IF(Raw_Data!AI867&lt;&gt;"",Raw_Data!AI867,IF(Raw_Data!L867&lt;&gt;"",Raw_Data!L867,""))</f>
        <v/>
      </c>
      <c r="I864" s="12" t="str">
        <f t="shared" si="117"/>
        <v/>
      </c>
      <c r="J864" s="12" t="str">
        <f>IF(Raw_Data!M867="","",Raw_Data!M867)</f>
        <v/>
      </c>
      <c r="K864" s="12">
        <f>IF(Raw_Data!AJ867&lt;&gt;"",Raw_Data!AJ867,Raw_Data!N867)</f>
        <v>0</v>
      </c>
      <c r="L864" s="12">
        <f t="shared" si="118"/>
        <v>1</v>
      </c>
      <c r="M864" s="12" t="str">
        <f>IF(Raw_Data!AK867="","",Raw_Data!AK867)</f>
        <v/>
      </c>
      <c r="N864" s="12" t="str">
        <f>IF(Raw_Data!T867="","",Raw_Data!T867)</f>
        <v/>
      </c>
      <c r="O864" s="12" t="str">
        <f>IF(Raw_Data!AB867&lt;&gt;"",Raw_Data!AB867,IF(N864="tres_insatisfait",1,IF(N864="insatisfait",2,IF(N864="neutre",3,IF(N864="satisfait",4,IF(N864="tres_satisfait",5,""))))))</f>
        <v/>
      </c>
      <c r="P864" s="12">
        <f>IF(Raw_Data!AL867&lt;&gt;"",Raw_Data!AL867,Raw_Data!R867)</f>
        <v>0</v>
      </c>
      <c r="Q864" s="12">
        <f t="shared" si="119"/>
        <v>0</v>
      </c>
      <c r="R864" s="12" t="str">
        <f>IF(Raw_Data!AM867="","",Raw_Data!AM867)</f>
        <v/>
      </c>
      <c r="S864" s="12" t="str">
        <f t="shared" si="120"/>
        <v/>
      </c>
      <c r="T864" s="12" t="str">
        <f>IF(Raw_Data!AN867="","",Raw_Data!AN867)</f>
        <v/>
      </c>
      <c r="U864" s="12" t="str">
        <f t="shared" si="121"/>
        <v/>
      </c>
      <c r="V864" s="12" t="str">
        <f>IF(Raw_Data!AP867="","",IF(Raw_Data!AP867="oui",1,0))</f>
        <v/>
      </c>
      <c r="W864" s="12" t="str">
        <f>IF(Raw_Data!AQ867="","",IF(Raw_Data!AQ867="oui",1,0))</f>
        <v/>
      </c>
      <c r="X864" s="12" t="str">
        <f>IF(Raw_Data!AR867="","",IF(Raw_Data!AR867="oui",1,0))</f>
        <v/>
      </c>
      <c r="Y864" s="12" t="str">
        <f>IF(Raw_Data!AS867="","",IF(Raw_Data!AS867="oui",1,0))</f>
        <v/>
      </c>
      <c r="Z864" s="12" t="str">
        <f>IF(Raw_Data!V867="","",IF(Raw_Data!V867="oui",1,0))</f>
        <v/>
      </c>
      <c r="AA864" s="12" t="str">
        <f>IF(Raw_Data!W867="","",IF(Raw_Data!W867="oui",1,0))</f>
        <v/>
      </c>
      <c r="AB864" s="12" t="str">
        <f>IF(Raw_Data!Q867="","",IF(Raw_Data!Q867="oui",1,0))</f>
        <v/>
      </c>
      <c r="AC864" s="12">
        <f>Raw_Data!AF867</f>
        <v>0</v>
      </c>
      <c r="AD864" s="12" t="str">
        <f t="shared" si="122"/>
        <v/>
      </c>
      <c r="AE864" s="12" t="str">
        <f t="shared" si="123"/>
        <v/>
      </c>
      <c r="AF864" s="12" t="str">
        <f t="shared" si="124"/>
        <v/>
      </c>
      <c r="AG864" s="12">
        <f t="shared" si="125"/>
        <v>0</v>
      </c>
    </row>
    <row r="865" spans="1:33" ht="15" customHeight="1" x14ac:dyDescent="0.25">
      <c r="A865" s="12" t="str">
        <f>IF(Raw_Data!B868="","",Raw_Data!B868)</f>
        <v/>
      </c>
      <c r="B865" s="12">
        <f>IF(Raw_Data!X868&lt;&gt;"",Raw_Data!X868,Raw_Data!C868)</f>
        <v>0</v>
      </c>
      <c r="C865" s="12" t="str">
        <f>IF(Raw_Data!G868="","",Raw_Data!G868)</f>
        <v/>
      </c>
      <c r="D865" s="12" t="str">
        <f>IF(Raw_Data!H868="","",Raw_Data!H868)</f>
        <v/>
      </c>
      <c r="E865" s="12" t="str">
        <f>IF(Raw_Data!I868="","",Raw_Data!I868)</f>
        <v/>
      </c>
      <c r="F865" s="12" t="str">
        <f>IF(Raw_Data!J868="","",Raw_Data!J868)</f>
        <v/>
      </c>
      <c r="G865" s="12" t="str">
        <f>IF(Raw_Data!AH868&lt;&gt;"",Raw_Data!AH868,IF(Raw_Data!K868&lt;&gt;"",Raw_Data!K868,""))</f>
        <v/>
      </c>
      <c r="H865" s="12" t="str">
        <f>IF(Raw_Data!AI868&lt;&gt;"",Raw_Data!AI868,IF(Raw_Data!L868&lt;&gt;"",Raw_Data!L868,""))</f>
        <v/>
      </c>
      <c r="I865" s="12" t="str">
        <f t="shared" si="117"/>
        <v/>
      </c>
      <c r="J865" s="12" t="str">
        <f>IF(Raw_Data!M868="","",Raw_Data!M868)</f>
        <v/>
      </c>
      <c r="K865" s="12">
        <f>IF(Raw_Data!AJ868&lt;&gt;"",Raw_Data!AJ868,Raw_Data!N868)</f>
        <v>0</v>
      </c>
      <c r="L865" s="12">
        <f t="shared" si="118"/>
        <v>1</v>
      </c>
      <c r="M865" s="12" t="str">
        <f>IF(Raw_Data!AK868="","",Raw_Data!AK868)</f>
        <v/>
      </c>
      <c r="N865" s="12" t="str">
        <f>IF(Raw_Data!T868="","",Raw_Data!T868)</f>
        <v/>
      </c>
      <c r="O865" s="12" t="str">
        <f>IF(Raw_Data!AB868&lt;&gt;"",Raw_Data!AB868,IF(N865="tres_insatisfait",1,IF(N865="insatisfait",2,IF(N865="neutre",3,IF(N865="satisfait",4,IF(N865="tres_satisfait",5,""))))))</f>
        <v/>
      </c>
      <c r="P865" s="12">
        <f>IF(Raw_Data!AL868&lt;&gt;"",Raw_Data!AL868,Raw_Data!R868)</f>
        <v>0</v>
      </c>
      <c r="Q865" s="12">
        <f t="shared" si="119"/>
        <v>0</v>
      </c>
      <c r="R865" s="12" t="str">
        <f>IF(Raw_Data!AM868="","",Raw_Data!AM868)</f>
        <v/>
      </c>
      <c r="S865" s="12" t="str">
        <f t="shared" si="120"/>
        <v/>
      </c>
      <c r="T865" s="12" t="str">
        <f>IF(Raw_Data!AN868="","",Raw_Data!AN868)</f>
        <v/>
      </c>
      <c r="U865" s="12" t="str">
        <f t="shared" si="121"/>
        <v/>
      </c>
      <c r="V865" s="12" t="str">
        <f>IF(Raw_Data!AP868="","",IF(Raw_Data!AP868="oui",1,0))</f>
        <v/>
      </c>
      <c r="W865" s="12" t="str">
        <f>IF(Raw_Data!AQ868="","",IF(Raw_Data!AQ868="oui",1,0))</f>
        <v/>
      </c>
      <c r="X865" s="12" t="str">
        <f>IF(Raw_Data!AR868="","",IF(Raw_Data!AR868="oui",1,0))</f>
        <v/>
      </c>
      <c r="Y865" s="12" t="str">
        <f>IF(Raw_Data!AS868="","",IF(Raw_Data!AS868="oui",1,0))</f>
        <v/>
      </c>
      <c r="Z865" s="12" t="str">
        <f>IF(Raw_Data!V868="","",IF(Raw_Data!V868="oui",1,0))</f>
        <v/>
      </c>
      <c r="AA865" s="12" t="str">
        <f>IF(Raw_Data!W868="","",IF(Raw_Data!W868="oui",1,0))</f>
        <v/>
      </c>
      <c r="AB865" s="12" t="str">
        <f>IF(Raw_Data!Q868="","",IF(Raw_Data!Q868="oui",1,0))</f>
        <v/>
      </c>
      <c r="AC865" s="12">
        <f>Raw_Data!AF868</f>
        <v>0</v>
      </c>
      <c r="AD865" s="12" t="str">
        <f t="shared" si="122"/>
        <v/>
      </c>
      <c r="AE865" s="12" t="str">
        <f t="shared" si="123"/>
        <v/>
      </c>
      <c r="AF865" s="12" t="str">
        <f t="shared" si="124"/>
        <v/>
      </c>
      <c r="AG865" s="12">
        <f t="shared" si="125"/>
        <v>0</v>
      </c>
    </row>
    <row r="866" spans="1:33" ht="15" customHeight="1" x14ac:dyDescent="0.25">
      <c r="A866" s="12" t="str">
        <f>IF(Raw_Data!B869="","",Raw_Data!B869)</f>
        <v/>
      </c>
      <c r="B866" s="12">
        <f>IF(Raw_Data!X869&lt;&gt;"",Raw_Data!X869,Raw_Data!C869)</f>
        <v>0</v>
      </c>
      <c r="C866" s="12" t="str">
        <f>IF(Raw_Data!G869="","",Raw_Data!G869)</f>
        <v/>
      </c>
      <c r="D866" s="12" t="str">
        <f>IF(Raw_Data!H869="","",Raw_Data!H869)</f>
        <v/>
      </c>
      <c r="E866" s="12" t="str">
        <f>IF(Raw_Data!I869="","",Raw_Data!I869)</f>
        <v/>
      </c>
      <c r="F866" s="12" t="str">
        <f>IF(Raw_Data!J869="","",Raw_Data!J869)</f>
        <v/>
      </c>
      <c r="G866" s="12" t="str">
        <f>IF(Raw_Data!AH869&lt;&gt;"",Raw_Data!AH869,IF(Raw_Data!K869&lt;&gt;"",Raw_Data!K869,""))</f>
        <v/>
      </c>
      <c r="H866" s="12" t="str">
        <f>IF(Raw_Data!AI869&lt;&gt;"",Raw_Data!AI869,IF(Raw_Data!L869&lt;&gt;"",Raw_Data!L869,""))</f>
        <v/>
      </c>
      <c r="I866" s="12" t="str">
        <f t="shared" si="117"/>
        <v/>
      </c>
      <c r="J866" s="12" t="str">
        <f>IF(Raw_Data!M869="","",Raw_Data!M869)</f>
        <v/>
      </c>
      <c r="K866" s="12">
        <f>IF(Raw_Data!AJ869&lt;&gt;"",Raw_Data!AJ869,Raw_Data!N869)</f>
        <v>0</v>
      </c>
      <c r="L866" s="12">
        <f t="shared" si="118"/>
        <v>1</v>
      </c>
      <c r="M866" s="12" t="str">
        <f>IF(Raw_Data!AK869="","",Raw_Data!AK869)</f>
        <v/>
      </c>
      <c r="N866" s="12" t="str">
        <f>IF(Raw_Data!T869="","",Raw_Data!T869)</f>
        <v/>
      </c>
      <c r="O866" s="12" t="str">
        <f>IF(Raw_Data!AB869&lt;&gt;"",Raw_Data!AB869,IF(N866="tres_insatisfait",1,IF(N866="insatisfait",2,IF(N866="neutre",3,IF(N866="satisfait",4,IF(N866="tres_satisfait",5,""))))))</f>
        <v/>
      </c>
      <c r="P866" s="12">
        <f>IF(Raw_Data!AL869&lt;&gt;"",Raw_Data!AL869,Raw_Data!R869)</f>
        <v>0</v>
      </c>
      <c r="Q866" s="12">
        <f t="shared" si="119"/>
        <v>0</v>
      </c>
      <c r="R866" s="12" t="str">
        <f>IF(Raw_Data!AM869="","",Raw_Data!AM869)</f>
        <v/>
      </c>
      <c r="S866" s="12" t="str">
        <f t="shared" si="120"/>
        <v/>
      </c>
      <c r="T866" s="12" t="str">
        <f>IF(Raw_Data!AN869="","",Raw_Data!AN869)</f>
        <v/>
      </c>
      <c r="U866" s="12" t="str">
        <f t="shared" si="121"/>
        <v/>
      </c>
      <c r="V866" s="12" t="str">
        <f>IF(Raw_Data!AP869="","",IF(Raw_Data!AP869="oui",1,0))</f>
        <v/>
      </c>
      <c r="W866" s="12" t="str">
        <f>IF(Raw_Data!AQ869="","",IF(Raw_Data!AQ869="oui",1,0))</f>
        <v/>
      </c>
      <c r="X866" s="12" t="str">
        <f>IF(Raw_Data!AR869="","",IF(Raw_Data!AR869="oui",1,0))</f>
        <v/>
      </c>
      <c r="Y866" s="12" t="str">
        <f>IF(Raw_Data!AS869="","",IF(Raw_Data!AS869="oui",1,0))</f>
        <v/>
      </c>
      <c r="Z866" s="12" t="str">
        <f>IF(Raw_Data!V869="","",IF(Raw_Data!V869="oui",1,0))</f>
        <v/>
      </c>
      <c r="AA866" s="12" t="str">
        <f>IF(Raw_Data!W869="","",IF(Raw_Data!W869="oui",1,0))</f>
        <v/>
      </c>
      <c r="AB866" s="12" t="str">
        <f>IF(Raw_Data!Q869="","",IF(Raw_Data!Q869="oui",1,0))</f>
        <v/>
      </c>
      <c r="AC866" s="12">
        <f>Raw_Data!AF869</f>
        <v>0</v>
      </c>
      <c r="AD866" s="12" t="str">
        <f t="shared" si="122"/>
        <v/>
      </c>
      <c r="AE866" s="12" t="str">
        <f t="shared" si="123"/>
        <v/>
      </c>
      <c r="AF866" s="12" t="str">
        <f t="shared" si="124"/>
        <v/>
      </c>
      <c r="AG866" s="12">
        <f t="shared" si="125"/>
        <v>0</v>
      </c>
    </row>
    <row r="867" spans="1:33" ht="15" customHeight="1" x14ac:dyDescent="0.25">
      <c r="A867" s="12" t="str">
        <f>IF(Raw_Data!B870="","",Raw_Data!B870)</f>
        <v/>
      </c>
      <c r="B867" s="12">
        <f>IF(Raw_Data!X870&lt;&gt;"",Raw_Data!X870,Raw_Data!C870)</f>
        <v>0</v>
      </c>
      <c r="C867" s="12" t="str">
        <f>IF(Raw_Data!G870="","",Raw_Data!G870)</f>
        <v/>
      </c>
      <c r="D867" s="12" t="str">
        <f>IF(Raw_Data!H870="","",Raw_Data!H870)</f>
        <v/>
      </c>
      <c r="E867" s="12" t="str">
        <f>IF(Raw_Data!I870="","",Raw_Data!I870)</f>
        <v/>
      </c>
      <c r="F867" s="12" t="str">
        <f>IF(Raw_Data!J870="","",Raw_Data!J870)</f>
        <v/>
      </c>
      <c r="G867" s="12" t="str">
        <f>IF(Raw_Data!AH870&lt;&gt;"",Raw_Data!AH870,IF(Raw_Data!K870&lt;&gt;"",Raw_Data!K870,""))</f>
        <v/>
      </c>
      <c r="H867" s="12" t="str">
        <f>IF(Raw_Data!AI870&lt;&gt;"",Raw_Data!AI870,IF(Raw_Data!L870&lt;&gt;"",Raw_Data!L870,""))</f>
        <v/>
      </c>
      <c r="I867" s="12" t="str">
        <f t="shared" si="117"/>
        <v/>
      </c>
      <c r="J867" s="12" t="str">
        <f>IF(Raw_Data!M870="","",Raw_Data!M870)</f>
        <v/>
      </c>
      <c r="K867" s="12">
        <f>IF(Raw_Data!AJ870&lt;&gt;"",Raw_Data!AJ870,Raw_Data!N870)</f>
        <v>0</v>
      </c>
      <c r="L867" s="12">
        <f t="shared" si="118"/>
        <v>1</v>
      </c>
      <c r="M867" s="12" t="str">
        <f>IF(Raw_Data!AK870="","",Raw_Data!AK870)</f>
        <v/>
      </c>
      <c r="N867" s="12" t="str">
        <f>IF(Raw_Data!T870="","",Raw_Data!T870)</f>
        <v/>
      </c>
      <c r="O867" s="12" t="str">
        <f>IF(Raw_Data!AB870&lt;&gt;"",Raw_Data!AB870,IF(N867="tres_insatisfait",1,IF(N867="insatisfait",2,IF(N867="neutre",3,IF(N867="satisfait",4,IF(N867="tres_satisfait",5,""))))))</f>
        <v/>
      </c>
      <c r="P867" s="12">
        <f>IF(Raw_Data!AL870&lt;&gt;"",Raw_Data!AL870,Raw_Data!R870)</f>
        <v>0</v>
      </c>
      <c r="Q867" s="12">
        <f t="shared" si="119"/>
        <v>0</v>
      </c>
      <c r="R867" s="12" t="str">
        <f>IF(Raw_Data!AM870="","",Raw_Data!AM870)</f>
        <v/>
      </c>
      <c r="S867" s="12" t="str">
        <f t="shared" si="120"/>
        <v/>
      </c>
      <c r="T867" s="12" t="str">
        <f>IF(Raw_Data!AN870="","",Raw_Data!AN870)</f>
        <v/>
      </c>
      <c r="U867" s="12" t="str">
        <f t="shared" si="121"/>
        <v/>
      </c>
      <c r="V867" s="12" t="str">
        <f>IF(Raw_Data!AP870="","",IF(Raw_Data!AP870="oui",1,0))</f>
        <v/>
      </c>
      <c r="W867" s="12" t="str">
        <f>IF(Raw_Data!AQ870="","",IF(Raw_Data!AQ870="oui",1,0))</f>
        <v/>
      </c>
      <c r="X867" s="12" t="str">
        <f>IF(Raw_Data!AR870="","",IF(Raw_Data!AR870="oui",1,0))</f>
        <v/>
      </c>
      <c r="Y867" s="12" t="str">
        <f>IF(Raw_Data!AS870="","",IF(Raw_Data!AS870="oui",1,0))</f>
        <v/>
      </c>
      <c r="Z867" s="12" t="str">
        <f>IF(Raw_Data!V870="","",IF(Raw_Data!V870="oui",1,0))</f>
        <v/>
      </c>
      <c r="AA867" s="12" t="str">
        <f>IF(Raw_Data!W870="","",IF(Raw_Data!W870="oui",1,0))</f>
        <v/>
      </c>
      <c r="AB867" s="12" t="str">
        <f>IF(Raw_Data!Q870="","",IF(Raw_Data!Q870="oui",1,0))</f>
        <v/>
      </c>
      <c r="AC867" s="12">
        <f>Raw_Data!AF870</f>
        <v>0</v>
      </c>
      <c r="AD867" s="12" t="str">
        <f t="shared" si="122"/>
        <v/>
      </c>
      <c r="AE867" s="12" t="str">
        <f t="shared" si="123"/>
        <v/>
      </c>
      <c r="AF867" s="12" t="str">
        <f t="shared" si="124"/>
        <v/>
      </c>
      <c r="AG867" s="12">
        <f t="shared" si="125"/>
        <v>0</v>
      </c>
    </row>
    <row r="868" spans="1:33" ht="15" customHeight="1" x14ac:dyDescent="0.25">
      <c r="A868" s="12" t="str">
        <f>IF(Raw_Data!B871="","",Raw_Data!B871)</f>
        <v/>
      </c>
      <c r="B868" s="12">
        <f>IF(Raw_Data!X871&lt;&gt;"",Raw_Data!X871,Raw_Data!C871)</f>
        <v>0</v>
      </c>
      <c r="C868" s="12" t="str">
        <f>IF(Raw_Data!G871="","",Raw_Data!G871)</f>
        <v/>
      </c>
      <c r="D868" s="12" t="str">
        <f>IF(Raw_Data!H871="","",Raw_Data!H871)</f>
        <v/>
      </c>
      <c r="E868" s="12" t="str">
        <f>IF(Raw_Data!I871="","",Raw_Data!I871)</f>
        <v/>
      </c>
      <c r="F868" s="12" t="str">
        <f>IF(Raw_Data!J871="","",Raw_Data!J871)</f>
        <v/>
      </c>
      <c r="G868" s="12" t="str">
        <f>IF(Raw_Data!AH871&lt;&gt;"",Raw_Data!AH871,IF(Raw_Data!K871&lt;&gt;"",Raw_Data!K871,""))</f>
        <v/>
      </c>
      <c r="H868" s="12" t="str">
        <f>IF(Raw_Data!AI871&lt;&gt;"",Raw_Data!AI871,IF(Raw_Data!L871&lt;&gt;"",Raw_Data!L871,""))</f>
        <v/>
      </c>
      <c r="I868" s="12" t="str">
        <f t="shared" si="117"/>
        <v/>
      </c>
      <c r="J868" s="12" t="str">
        <f>IF(Raw_Data!M871="","",Raw_Data!M871)</f>
        <v/>
      </c>
      <c r="K868" s="12">
        <f>IF(Raw_Data!AJ871&lt;&gt;"",Raw_Data!AJ871,Raw_Data!N871)</f>
        <v>0</v>
      </c>
      <c r="L868" s="12">
        <f t="shared" si="118"/>
        <v>1</v>
      </c>
      <c r="M868" s="12" t="str">
        <f>IF(Raw_Data!AK871="","",Raw_Data!AK871)</f>
        <v/>
      </c>
      <c r="N868" s="12" t="str">
        <f>IF(Raw_Data!T871="","",Raw_Data!T871)</f>
        <v/>
      </c>
      <c r="O868" s="12" t="str">
        <f>IF(Raw_Data!AB871&lt;&gt;"",Raw_Data!AB871,IF(N868="tres_insatisfait",1,IF(N868="insatisfait",2,IF(N868="neutre",3,IF(N868="satisfait",4,IF(N868="tres_satisfait",5,""))))))</f>
        <v/>
      </c>
      <c r="P868" s="12">
        <f>IF(Raw_Data!AL871&lt;&gt;"",Raw_Data!AL871,Raw_Data!R871)</f>
        <v>0</v>
      </c>
      <c r="Q868" s="12">
        <f t="shared" si="119"/>
        <v>0</v>
      </c>
      <c r="R868" s="12" t="str">
        <f>IF(Raw_Data!AM871="","",Raw_Data!AM871)</f>
        <v/>
      </c>
      <c r="S868" s="12" t="str">
        <f t="shared" si="120"/>
        <v/>
      </c>
      <c r="T868" s="12" t="str">
        <f>IF(Raw_Data!AN871="","",Raw_Data!AN871)</f>
        <v/>
      </c>
      <c r="U868" s="12" t="str">
        <f t="shared" si="121"/>
        <v/>
      </c>
      <c r="V868" s="12" t="str">
        <f>IF(Raw_Data!AP871="","",IF(Raw_Data!AP871="oui",1,0))</f>
        <v/>
      </c>
      <c r="W868" s="12" t="str">
        <f>IF(Raw_Data!AQ871="","",IF(Raw_Data!AQ871="oui",1,0))</f>
        <v/>
      </c>
      <c r="X868" s="12" t="str">
        <f>IF(Raw_Data!AR871="","",IF(Raw_Data!AR871="oui",1,0))</f>
        <v/>
      </c>
      <c r="Y868" s="12" t="str">
        <f>IF(Raw_Data!AS871="","",IF(Raw_Data!AS871="oui",1,0))</f>
        <v/>
      </c>
      <c r="Z868" s="12" t="str">
        <f>IF(Raw_Data!V871="","",IF(Raw_Data!V871="oui",1,0))</f>
        <v/>
      </c>
      <c r="AA868" s="12" t="str">
        <f>IF(Raw_Data!W871="","",IF(Raw_Data!W871="oui",1,0))</f>
        <v/>
      </c>
      <c r="AB868" s="12" t="str">
        <f>IF(Raw_Data!Q871="","",IF(Raw_Data!Q871="oui",1,0))</f>
        <v/>
      </c>
      <c r="AC868" s="12">
        <f>Raw_Data!AF871</f>
        <v>0</v>
      </c>
      <c r="AD868" s="12" t="str">
        <f t="shared" si="122"/>
        <v/>
      </c>
      <c r="AE868" s="12" t="str">
        <f t="shared" si="123"/>
        <v/>
      </c>
      <c r="AF868" s="12" t="str">
        <f t="shared" si="124"/>
        <v/>
      </c>
      <c r="AG868" s="12">
        <f t="shared" si="125"/>
        <v>0</v>
      </c>
    </row>
    <row r="869" spans="1:33" ht="15" customHeight="1" x14ac:dyDescent="0.25">
      <c r="A869" s="12" t="str">
        <f>IF(Raw_Data!B872="","",Raw_Data!B872)</f>
        <v/>
      </c>
      <c r="B869" s="12">
        <f>IF(Raw_Data!X872&lt;&gt;"",Raw_Data!X872,Raw_Data!C872)</f>
        <v>0</v>
      </c>
      <c r="C869" s="12" t="str">
        <f>IF(Raw_Data!G872="","",Raw_Data!G872)</f>
        <v/>
      </c>
      <c r="D869" s="12" t="str">
        <f>IF(Raw_Data!H872="","",Raw_Data!H872)</f>
        <v/>
      </c>
      <c r="E869" s="12" t="str">
        <f>IF(Raw_Data!I872="","",Raw_Data!I872)</f>
        <v/>
      </c>
      <c r="F869" s="12" t="str">
        <f>IF(Raw_Data!J872="","",Raw_Data!J872)</f>
        <v/>
      </c>
      <c r="G869" s="12" t="str">
        <f>IF(Raw_Data!AH872&lt;&gt;"",Raw_Data!AH872,IF(Raw_Data!K872&lt;&gt;"",Raw_Data!K872,""))</f>
        <v/>
      </c>
      <c r="H869" s="12" t="str">
        <f>IF(Raw_Data!AI872&lt;&gt;"",Raw_Data!AI872,IF(Raw_Data!L872&lt;&gt;"",Raw_Data!L872,""))</f>
        <v/>
      </c>
      <c r="I869" s="12" t="str">
        <f t="shared" si="117"/>
        <v/>
      </c>
      <c r="J869" s="12" t="str">
        <f>IF(Raw_Data!M872="","",Raw_Data!M872)</f>
        <v/>
      </c>
      <c r="K869" s="12">
        <f>IF(Raw_Data!AJ872&lt;&gt;"",Raw_Data!AJ872,Raw_Data!N872)</f>
        <v>0</v>
      </c>
      <c r="L869" s="12">
        <f t="shared" si="118"/>
        <v>1</v>
      </c>
      <c r="M869" s="12" t="str">
        <f>IF(Raw_Data!AK872="","",Raw_Data!AK872)</f>
        <v/>
      </c>
      <c r="N869" s="12" t="str">
        <f>IF(Raw_Data!T872="","",Raw_Data!T872)</f>
        <v/>
      </c>
      <c r="O869" s="12" t="str">
        <f>IF(Raw_Data!AB872&lt;&gt;"",Raw_Data!AB872,IF(N869="tres_insatisfait",1,IF(N869="insatisfait",2,IF(N869="neutre",3,IF(N869="satisfait",4,IF(N869="tres_satisfait",5,""))))))</f>
        <v/>
      </c>
      <c r="P869" s="12">
        <f>IF(Raw_Data!AL872&lt;&gt;"",Raw_Data!AL872,Raw_Data!R872)</f>
        <v>0</v>
      </c>
      <c r="Q869" s="12">
        <f t="shared" si="119"/>
        <v>0</v>
      </c>
      <c r="R869" s="12" t="str">
        <f>IF(Raw_Data!AM872="","",Raw_Data!AM872)</f>
        <v/>
      </c>
      <c r="S869" s="12" t="str">
        <f t="shared" si="120"/>
        <v/>
      </c>
      <c r="T869" s="12" t="str">
        <f>IF(Raw_Data!AN872="","",Raw_Data!AN872)</f>
        <v/>
      </c>
      <c r="U869" s="12" t="str">
        <f t="shared" si="121"/>
        <v/>
      </c>
      <c r="V869" s="12" t="str">
        <f>IF(Raw_Data!AP872="","",IF(Raw_Data!AP872="oui",1,0))</f>
        <v/>
      </c>
      <c r="W869" s="12" t="str">
        <f>IF(Raw_Data!AQ872="","",IF(Raw_Data!AQ872="oui",1,0))</f>
        <v/>
      </c>
      <c r="X869" s="12" t="str">
        <f>IF(Raw_Data!AR872="","",IF(Raw_Data!AR872="oui",1,0))</f>
        <v/>
      </c>
      <c r="Y869" s="12" t="str">
        <f>IF(Raw_Data!AS872="","",IF(Raw_Data!AS872="oui",1,0))</f>
        <v/>
      </c>
      <c r="Z869" s="12" t="str">
        <f>IF(Raw_Data!V872="","",IF(Raw_Data!V872="oui",1,0))</f>
        <v/>
      </c>
      <c r="AA869" s="12" t="str">
        <f>IF(Raw_Data!W872="","",IF(Raw_Data!W872="oui",1,0))</f>
        <v/>
      </c>
      <c r="AB869" s="12" t="str">
        <f>IF(Raw_Data!Q872="","",IF(Raw_Data!Q872="oui",1,0))</f>
        <v/>
      </c>
      <c r="AC869" s="12">
        <f>Raw_Data!AF872</f>
        <v>0</v>
      </c>
      <c r="AD869" s="12" t="str">
        <f t="shared" si="122"/>
        <v/>
      </c>
      <c r="AE869" s="12" t="str">
        <f t="shared" si="123"/>
        <v/>
      </c>
      <c r="AF869" s="12" t="str">
        <f t="shared" si="124"/>
        <v/>
      </c>
      <c r="AG869" s="12">
        <f t="shared" si="125"/>
        <v>0</v>
      </c>
    </row>
    <row r="870" spans="1:33" ht="15" customHeight="1" x14ac:dyDescent="0.25">
      <c r="A870" s="12" t="str">
        <f>IF(Raw_Data!B873="","",Raw_Data!B873)</f>
        <v/>
      </c>
      <c r="B870" s="12">
        <f>IF(Raw_Data!X873&lt;&gt;"",Raw_Data!X873,Raw_Data!C873)</f>
        <v>0</v>
      </c>
      <c r="C870" s="12" t="str">
        <f>IF(Raw_Data!G873="","",Raw_Data!G873)</f>
        <v/>
      </c>
      <c r="D870" s="12" t="str">
        <f>IF(Raw_Data!H873="","",Raw_Data!H873)</f>
        <v/>
      </c>
      <c r="E870" s="12" t="str">
        <f>IF(Raw_Data!I873="","",Raw_Data!I873)</f>
        <v/>
      </c>
      <c r="F870" s="12" t="str">
        <f>IF(Raw_Data!J873="","",Raw_Data!J873)</f>
        <v/>
      </c>
      <c r="G870" s="12" t="str">
        <f>IF(Raw_Data!AH873&lt;&gt;"",Raw_Data!AH873,IF(Raw_Data!K873&lt;&gt;"",Raw_Data!K873,""))</f>
        <v/>
      </c>
      <c r="H870" s="12" t="str">
        <f>IF(Raw_Data!AI873&lt;&gt;"",Raw_Data!AI873,IF(Raw_Data!L873&lt;&gt;"",Raw_Data!L873,""))</f>
        <v/>
      </c>
      <c r="I870" s="12" t="str">
        <f t="shared" si="117"/>
        <v/>
      </c>
      <c r="J870" s="12" t="str">
        <f>IF(Raw_Data!M873="","",Raw_Data!M873)</f>
        <v/>
      </c>
      <c r="K870" s="12">
        <f>IF(Raw_Data!AJ873&lt;&gt;"",Raw_Data!AJ873,Raw_Data!N873)</f>
        <v>0</v>
      </c>
      <c r="L870" s="12">
        <f t="shared" si="118"/>
        <v>1</v>
      </c>
      <c r="M870" s="12" t="str">
        <f>IF(Raw_Data!AK873="","",Raw_Data!AK873)</f>
        <v/>
      </c>
      <c r="N870" s="12" t="str">
        <f>IF(Raw_Data!T873="","",Raw_Data!T873)</f>
        <v/>
      </c>
      <c r="O870" s="12" t="str">
        <f>IF(Raw_Data!AB873&lt;&gt;"",Raw_Data!AB873,IF(N870="tres_insatisfait",1,IF(N870="insatisfait",2,IF(N870="neutre",3,IF(N870="satisfait",4,IF(N870="tres_satisfait",5,""))))))</f>
        <v/>
      </c>
      <c r="P870" s="12">
        <f>IF(Raw_Data!AL873&lt;&gt;"",Raw_Data!AL873,Raw_Data!R873)</f>
        <v>0</v>
      </c>
      <c r="Q870" s="12">
        <f t="shared" si="119"/>
        <v>0</v>
      </c>
      <c r="R870" s="12" t="str">
        <f>IF(Raw_Data!AM873="","",Raw_Data!AM873)</f>
        <v/>
      </c>
      <c r="S870" s="12" t="str">
        <f t="shared" si="120"/>
        <v/>
      </c>
      <c r="T870" s="12" t="str">
        <f>IF(Raw_Data!AN873="","",Raw_Data!AN873)</f>
        <v/>
      </c>
      <c r="U870" s="12" t="str">
        <f t="shared" si="121"/>
        <v/>
      </c>
      <c r="V870" s="12" t="str">
        <f>IF(Raw_Data!AP873="","",IF(Raw_Data!AP873="oui",1,0))</f>
        <v/>
      </c>
      <c r="W870" s="12" t="str">
        <f>IF(Raw_Data!AQ873="","",IF(Raw_Data!AQ873="oui",1,0))</f>
        <v/>
      </c>
      <c r="X870" s="12" t="str">
        <f>IF(Raw_Data!AR873="","",IF(Raw_Data!AR873="oui",1,0))</f>
        <v/>
      </c>
      <c r="Y870" s="12" t="str">
        <f>IF(Raw_Data!AS873="","",IF(Raw_Data!AS873="oui",1,0))</f>
        <v/>
      </c>
      <c r="Z870" s="12" t="str">
        <f>IF(Raw_Data!V873="","",IF(Raw_Data!V873="oui",1,0))</f>
        <v/>
      </c>
      <c r="AA870" s="12" t="str">
        <f>IF(Raw_Data!W873="","",IF(Raw_Data!W873="oui",1,0))</f>
        <v/>
      </c>
      <c r="AB870" s="12" t="str">
        <f>IF(Raw_Data!Q873="","",IF(Raw_Data!Q873="oui",1,0))</f>
        <v/>
      </c>
      <c r="AC870" s="12">
        <f>Raw_Data!AF873</f>
        <v>0</v>
      </c>
      <c r="AD870" s="12" t="str">
        <f t="shared" si="122"/>
        <v/>
      </c>
      <c r="AE870" s="12" t="str">
        <f t="shared" si="123"/>
        <v/>
      </c>
      <c r="AF870" s="12" t="str">
        <f t="shared" si="124"/>
        <v/>
      </c>
      <c r="AG870" s="12">
        <f t="shared" si="125"/>
        <v>0</v>
      </c>
    </row>
    <row r="871" spans="1:33" ht="15" customHeight="1" x14ac:dyDescent="0.25">
      <c r="A871" s="12" t="str">
        <f>IF(Raw_Data!B874="","",Raw_Data!B874)</f>
        <v/>
      </c>
      <c r="B871" s="12">
        <f>IF(Raw_Data!X874&lt;&gt;"",Raw_Data!X874,Raw_Data!C874)</f>
        <v>0</v>
      </c>
      <c r="C871" s="12" t="str">
        <f>IF(Raw_Data!G874="","",Raw_Data!G874)</f>
        <v/>
      </c>
      <c r="D871" s="12" t="str">
        <f>IF(Raw_Data!H874="","",Raw_Data!H874)</f>
        <v/>
      </c>
      <c r="E871" s="12" t="str">
        <f>IF(Raw_Data!I874="","",Raw_Data!I874)</f>
        <v/>
      </c>
      <c r="F871" s="12" t="str">
        <f>IF(Raw_Data!J874="","",Raw_Data!J874)</f>
        <v/>
      </c>
      <c r="G871" s="12" t="str">
        <f>IF(Raw_Data!AH874&lt;&gt;"",Raw_Data!AH874,IF(Raw_Data!K874&lt;&gt;"",Raw_Data!K874,""))</f>
        <v/>
      </c>
      <c r="H871" s="12" t="str">
        <f>IF(Raw_Data!AI874&lt;&gt;"",Raw_Data!AI874,IF(Raw_Data!L874&lt;&gt;"",Raw_Data!L874,""))</f>
        <v/>
      </c>
      <c r="I871" s="12" t="str">
        <f t="shared" si="117"/>
        <v/>
      </c>
      <c r="J871" s="12" t="str">
        <f>IF(Raw_Data!M874="","",Raw_Data!M874)</f>
        <v/>
      </c>
      <c r="K871" s="12">
        <f>IF(Raw_Data!AJ874&lt;&gt;"",Raw_Data!AJ874,Raw_Data!N874)</f>
        <v>0</v>
      </c>
      <c r="L871" s="12">
        <f t="shared" si="118"/>
        <v>1</v>
      </c>
      <c r="M871" s="12" t="str">
        <f>IF(Raw_Data!AK874="","",Raw_Data!AK874)</f>
        <v/>
      </c>
      <c r="N871" s="12" t="str">
        <f>IF(Raw_Data!T874="","",Raw_Data!T874)</f>
        <v/>
      </c>
      <c r="O871" s="12" t="str">
        <f>IF(Raw_Data!AB874&lt;&gt;"",Raw_Data!AB874,IF(N871="tres_insatisfait",1,IF(N871="insatisfait",2,IF(N871="neutre",3,IF(N871="satisfait",4,IF(N871="tres_satisfait",5,""))))))</f>
        <v/>
      </c>
      <c r="P871" s="12">
        <f>IF(Raw_Data!AL874&lt;&gt;"",Raw_Data!AL874,Raw_Data!R874)</f>
        <v>0</v>
      </c>
      <c r="Q871" s="12">
        <f t="shared" si="119"/>
        <v>0</v>
      </c>
      <c r="R871" s="12" t="str">
        <f>IF(Raw_Data!AM874="","",Raw_Data!AM874)</f>
        <v/>
      </c>
      <c r="S871" s="12" t="str">
        <f t="shared" si="120"/>
        <v/>
      </c>
      <c r="T871" s="12" t="str">
        <f>IF(Raw_Data!AN874="","",Raw_Data!AN874)</f>
        <v/>
      </c>
      <c r="U871" s="12" t="str">
        <f t="shared" si="121"/>
        <v/>
      </c>
      <c r="V871" s="12" t="str">
        <f>IF(Raw_Data!AP874="","",IF(Raw_Data!AP874="oui",1,0))</f>
        <v/>
      </c>
      <c r="W871" s="12" t="str">
        <f>IF(Raw_Data!AQ874="","",IF(Raw_Data!AQ874="oui",1,0))</f>
        <v/>
      </c>
      <c r="X871" s="12" t="str">
        <f>IF(Raw_Data!AR874="","",IF(Raw_Data!AR874="oui",1,0))</f>
        <v/>
      </c>
      <c r="Y871" s="12" t="str">
        <f>IF(Raw_Data!AS874="","",IF(Raw_Data!AS874="oui",1,0))</f>
        <v/>
      </c>
      <c r="Z871" s="12" t="str">
        <f>IF(Raw_Data!V874="","",IF(Raw_Data!V874="oui",1,0))</f>
        <v/>
      </c>
      <c r="AA871" s="12" t="str">
        <f>IF(Raw_Data!W874="","",IF(Raw_Data!W874="oui",1,0))</f>
        <v/>
      </c>
      <c r="AB871" s="12" t="str">
        <f>IF(Raw_Data!Q874="","",IF(Raw_Data!Q874="oui",1,0))</f>
        <v/>
      </c>
      <c r="AC871" s="12">
        <f>Raw_Data!AF874</f>
        <v>0</v>
      </c>
      <c r="AD871" s="12" t="str">
        <f t="shared" si="122"/>
        <v/>
      </c>
      <c r="AE871" s="12" t="str">
        <f t="shared" si="123"/>
        <v/>
      </c>
      <c r="AF871" s="12" t="str">
        <f t="shared" si="124"/>
        <v/>
      </c>
      <c r="AG871" s="12">
        <f t="shared" si="125"/>
        <v>0</v>
      </c>
    </row>
    <row r="872" spans="1:33" ht="15" customHeight="1" x14ac:dyDescent="0.25">
      <c r="A872" s="12" t="str">
        <f>IF(Raw_Data!B875="","",Raw_Data!B875)</f>
        <v/>
      </c>
      <c r="B872" s="12">
        <f>IF(Raw_Data!X875&lt;&gt;"",Raw_Data!X875,Raw_Data!C875)</f>
        <v>0</v>
      </c>
      <c r="C872" s="12" t="str">
        <f>IF(Raw_Data!G875="","",Raw_Data!G875)</f>
        <v/>
      </c>
      <c r="D872" s="12" t="str">
        <f>IF(Raw_Data!H875="","",Raw_Data!H875)</f>
        <v/>
      </c>
      <c r="E872" s="12" t="str">
        <f>IF(Raw_Data!I875="","",Raw_Data!I875)</f>
        <v/>
      </c>
      <c r="F872" s="12" t="str">
        <f>IF(Raw_Data!J875="","",Raw_Data!J875)</f>
        <v/>
      </c>
      <c r="G872" s="12" t="str">
        <f>IF(Raw_Data!AH875&lt;&gt;"",Raw_Data!AH875,IF(Raw_Data!K875&lt;&gt;"",Raw_Data!K875,""))</f>
        <v/>
      </c>
      <c r="H872" s="12" t="str">
        <f>IF(Raw_Data!AI875&lt;&gt;"",Raw_Data!AI875,IF(Raw_Data!L875&lt;&gt;"",Raw_Data!L875,""))</f>
        <v/>
      </c>
      <c r="I872" s="12" t="str">
        <f t="shared" si="117"/>
        <v/>
      </c>
      <c r="J872" s="12" t="str">
        <f>IF(Raw_Data!M875="","",Raw_Data!M875)</f>
        <v/>
      </c>
      <c r="K872" s="12">
        <f>IF(Raw_Data!AJ875&lt;&gt;"",Raw_Data!AJ875,Raw_Data!N875)</f>
        <v>0</v>
      </c>
      <c r="L872" s="12">
        <f t="shared" si="118"/>
        <v>1</v>
      </c>
      <c r="M872" s="12" t="str">
        <f>IF(Raw_Data!AK875="","",Raw_Data!AK875)</f>
        <v/>
      </c>
      <c r="N872" s="12" t="str">
        <f>IF(Raw_Data!T875="","",Raw_Data!T875)</f>
        <v/>
      </c>
      <c r="O872" s="12" t="str">
        <f>IF(Raw_Data!AB875&lt;&gt;"",Raw_Data!AB875,IF(N872="tres_insatisfait",1,IF(N872="insatisfait",2,IF(N872="neutre",3,IF(N872="satisfait",4,IF(N872="tres_satisfait",5,""))))))</f>
        <v/>
      </c>
      <c r="P872" s="12">
        <f>IF(Raw_Data!AL875&lt;&gt;"",Raw_Data!AL875,Raw_Data!R875)</f>
        <v>0</v>
      </c>
      <c r="Q872" s="12">
        <f t="shared" si="119"/>
        <v>0</v>
      </c>
      <c r="R872" s="12" t="str">
        <f>IF(Raw_Data!AM875="","",Raw_Data!AM875)</f>
        <v/>
      </c>
      <c r="S872" s="12" t="str">
        <f t="shared" si="120"/>
        <v/>
      </c>
      <c r="T872" s="12" t="str">
        <f>IF(Raw_Data!AN875="","",Raw_Data!AN875)</f>
        <v/>
      </c>
      <c r="U872" s="12" t="str">
        <f t="shared" si="121"/>
        <v/>
      </c>
      <c r="V872" s="12" t="str">
        <f>IF(Raw_Data!AP875="","",IF(Raw_Data!AP875="oui",1,0))</f>
        <v/>
      </c>
      <c r="W872" s="12" t="str">
        <f>IF(Raw_Data!AQ875="","",IF(Raw_Data!AQ875="oui",1,0))</f>
        <v/>
      </c>
      <c r="X872" s="12" t="str">
        <f>IF(Raw_Data!AR875="","",IF(Raw_Data!AR875="oui",1,0))</f>
        <v/>
      </c>
      <c r="Y872" s="12" t="str">
        <f>IF(Raw_Data!AS875="","",IF(Raw_Data!AS875="oui",1,0))</f>
        <v/>
      </c>
      <c r="Z872" s="12" t="str">
        <f>IF(Raw_Data!V875="","",IF(Raw_Data!V875="oui",1,0))</f>
        <v/>
      </c>
      <c r="AA872" s="12" t="str">
        <f>IF(Raw_Data!W875="","",IF(Raw_Data!W875="oui",1,0))</f>
        <v/>
      </c>
      <c r="AB872" s="12" t="str">
        <f>IF(Raw_Data!Q875="","",IF(Raw_Data!Q875="oui",1,0))</f>
        <v/>
      </c>
      <c r="AC872" s="12">
        <f>Raw_Data!AF875</f>
        <v>0</v>
      </c>
      <c r="AD872" s="12" t="str">
        <f t="shared" si="122"/>
        <v/>
      </c>
      <c r="AE872" s="12" t="str">
        <f t="shared" si="123"/>
        <v/>
      </c>
      <c r="AF872" s="12" t="str">
        <f t="shared" si="124"/>
        <v/>
      </c>
      <c r="AG872" s="12">
        <f t="shared" si="125"/>
        <v>0</v>
      </c>
    </row>
    <row r="873" spans="1:33" ht="15" customHeight="1" x14ac:dyDescent="0.25">
      <c r="A873" s="12" t="str">
        <f>IF(Raw_Data!B876="","",Raw_Data!B876)</f>
        <v/>
      </c>
      <c r="B873" s="12">
        <f>IF(Raw_Data!X876&lt;&gt;"",Raw_Data!X876,Raw_Data!C876)</f>
        <v>0</v>
      </c>
      <c r="C873" s="12" t="str">
        <f>IF(Raw_Data!G876="","",Raw_Data!G876)</f>
        <v/>
      </c>
      <c r="D873" s="12" t="str">
        <f>IF(Raw_Data!H876="","",Raw_Data!H876)</f>
        <v/>
      </c>
      <c r="E873" s="12" t="str">
        <f>IF(Raw_Data!I876="","",Raw_Data!I876)</f>
        <v/>
      </c>
      <c r="F873" s="12" t="str">
        <f>IF(Raw_Data!J876="","",Raw_Data!J876)</f>
        <v/>
      </c>
      <c r="G873" s="12" t="str">
        <f>IF(Raw_Data!AH876&lt;&gt;"",Raw_Data!AH876,IF(Raw_Data!K876&lt;&gt;"",Raw_Data!K876,""))</f>
        <v/>
      </c>
      <c r="H873" s="12" t="str">
        <f>IF(Raw_Data!AI876&lt;&gt;"",Raw_Data!AI876,IF(Raw_Data!L876&lt;&gt;"",Raw_Data!L876,""))</f>
        <v/>
      </c>
      <c r="I873" s="12" t="str">
        <f t="shared" si="117"/>
        <v/>
      </c>
      <c r="J873" s="12" t="str">
        <f>IF(Raw_Data!M876="","",Raw_Data!M876)</f>
        <v/>
      </c>
      <c r="K873" s="12">
        <f>IF(Raw_Data!AJ876&lt;&gt;"",Raw_Data!AJ876,Raw_Data!N876)</f>
        <v>0</v>
      </c>
      <c r="L873" s="12">
        <f t="shared" si="118"/>
        <v>1</v>
      </c>
      <c r="M873" s="12" t="str">
        <f>IF(Raw_Data!AK876="","",Raw_Data!AK876)</f>
        <v/>
      </c>
      <c r="N873" s="12" t="str">
        <f>IF(Raw_Data!T876="","",Raw_Data!T876)</f>
        <v/>
      </c>
      <c r="O873" s="12" t="str">
        <f>IF(Raw_Data!AB876&lt;&gt;"",Raw_Data!AB876,IF(N873="tres_insatisfait",1,IF(N873="insatisfait",2,IF(N873="neutre",3,IF(N873="satisfait",4,IF(N873="tres_satisfait",5,""))))))</f>
        <v/>
      </c>
      <c r="P873" s="12">
        <f>IF(Raw_Data!AL876&lt;&gt;"",Raw_Data!AL876,Raw_Data!R876)</f>
        <v>0</v>
      </c>
      <c r="Q873" s="12">
        <f t="shared" si="119"/>
        <v>0</v>
      </c>
      <c r="R873" s="12" t="str">
        <f>IF(Raw_Data!AM876="","",Raw_Data!AM876)</f>
        <v/>
      </c>
      <c r="S873" s="12" t="str">
        <f t="shared" si="120"/>
        <v/>
      </c>
      <c r="T873" s="12" t="str">
        <f>IF(Raw_Data!AN876="","",Raw_Data!AN876)</f>
        <v/>
      </c>
      <c r="U873" s="12" t="str">
        <f t="shared" si="121"/>
        <v/>
      </c>
      <c r="V873" s="12" t="str">
        <f>IF(Raw_Data!AP876="","",IF(Raw_Data!AP876="oui",1,0))</f>
        <v/>
      </c>
      <c r="W873" s="12" t="str">
        <f>IF(Raw_Data!AQ876="","",IF(Raw_Data!AQ876="oui",1,0))</f>
        <v/>
      </c>
      <c r="X873" s="12" t="str">
        <f>IF(Raw_Data!AR876="","",IF(Raw_Data!AR876="oui",1,0))</f>
        <v/>
      </c>
      <c r="Y873" s="12" t="str">
        <f>IF(Raw_Data!AS876="","",IF(Raw_Data!AS876="oui",1,0))</f>
        <v/>
      </c>
      <c r="Z873" s="12" t="str">
        <f>IF(Raw_Data!V876="","",IF(Raw_Data!V876="oui",1,0))</f>
        <v/>
      </c>
      <c r="AA873" s="12" t="str">
        <f>IF(Raw_Data!W876="","",IF(Raw_Data!W876="oui",1,0))</f>
        <v/>
      </c>
      <c r="AB873" s="12" t="str">
        <f>IF(Raw_Data!Q876="","",IF(Raw_Data!Q876="oui",1,0))</f>
        <v/>
      </c>
      <c r="AC873" s="12">
        <f>Raw_Data!AF876</f>
        <v>0</v>
      </c>
      <c r="AD873" s="12" t="str">
        <f t="shared" si="122"/>
        <v/>
      </c>
      <c r="AE873" s="12" t="str">
        <f t="shared" si="123"/>
        <v/>
      </c>
      <c r="AF873" s="12" t="str">
        <f t="shared" si="124"/>
        <v/>
      </c>
      <c r="AG873" s="12">
        <f t="shared" si="125"/>
        <v>0</v>
      </c>
    </row>
    <row r="874" spans="1:33" ht="15" customHeight="1" x14ac:dyDescent="0.25">
      <c r="A874" s="12" t="str">
        <f>IF(Raw_Data!B877="","",Raw_Data!B877)</f>
        <v/>
      </c>
      <c r="B874" s="12">
        <f>IF(Raw_Data!X877&lt;&gt;"",Raw_Data!X877,Raw_Data!C877)</f>
        <v>0</v>
      </c>
      <c r="C874" s="12" t="str">
        <f>IF(Raw_Data!G877="","",Raw_Data!G877)</f>
        <v/>
      </c>
      <c r="D874" s="12" t="str">
        <f>IF(Raw_Data!H877="","",Raw_Data!H877)</f>
        <v/>
      </c>
      <c r="E874" s="12" t="str">
        <f>IF(Raw_Data!I877="","",Raw_Data!I877)</f>
        <v/>
      </c>
      <c r="F874" s="12" t="str">
        <f>IF(Raw_Data!J877="","",Raw_Data!J877)</f>
        <v/>
      </c>
      <c r="G874" s="12" t="str">
        <f>IF(Raw_Data!AH877&lt;&gt;"",Raw_Data!AH877,IF(Raw_Data!K877&lt;&gt;"",Raw_Data!K877,""))</f>
        <v/>
      </c>
      <c r="H874" s="12" t="str">
        <f>IF(Raw_Data!AI877&lt;&gt;"",Raw_Data!AI877,IF(Raw_Data!L877&lt;&gt;"",Raw_Data!L877,""))</f>
        <v/>
      </c>
      <c r="I874" s="12" t="str">
        <f t="shared" si="117"/>
        <v/>
      </c>
      <c r="J874" s="12" t="str">
        <f>IF(Raw_Data!M877="","",Raw_Data!M877)</f>
        <v/>
      </c>
      <c r="K874" s="12">
        <f>IF(Raw_Data!AJ877&lt;&gt;"",Raw_Data!AJ877,Raw_Data!N877)</f>
        <v>0</v>
      </c>
      <c r="L874" s="12">
        <f t="shared" si="118"/>
        <v>1</v>
      </c>
      <c r="M874" s="12" t="str">
        <f>IF(Raw_Data!AK877="","",Raw_Data!AK877)</f>
        <v/>
      </c>
      <c r="N874" s="12" t="str">
        <f>IF(Raw_Data!T877="","",Raw_Data!T877)</f>
        <v/>
      </c>
      <c r="O874" s="12" t="str">
        <f>IF(Raw_Data!AB877&lt;&gt;"",Raw_Data!AB877,IF(N874="tres_insatisfait",1,IF(N874="insatisfait",2,IF(N874="neutre",3,IF(N874="satisfait",4,IF(N874="tres_satisfait",5,""))))))</f>
        <v/>
      </c>
      <c r="P874" s="12">
        <f>IF(Raw_Data!AL877&lt;&gt;"",Raw_Data!AL877,Raw_Data!R877)</f>
        <v>0</v>
      </c>
      <c r="Q874" s="12">
        <f t="shared" si="119"/>
        <v>0</v>
      </c>
      <c r="R874" s="12" t="str">
        <f>IF(Raw_Data!AM877="","",Raw_Data!AM877)</f>
        <v/>
      </c>
      <c r="S874" s="12" t="str">
        <f t="shared" si="120"/>
        <v/>
      </c>
      <c r="T874" s="12" t="str">
        <f>IF(Raw_Data!AN877="","",Raw_Data!AN877)</f>
        <v/>
      </c>
      <c r="U874" s="12" t="str">
        <f t="shared" si="121"/>
        <v/>
      </c>
      <c r="V874" s="12" t="str">
        <f>IF(Raw_Data!AP877="","",IF(Raw_Data!AP877="oui",1,0))</f>
        <v/>
      </c>
      <c r="W874" s="12" t="str">
        <f>IF(Raw_Data!AQ877="","",IF(Raw_Data!AQ877="oui",1,0))</f>
        <v/>
      </c>
      <c r="X874" s="12" t="str">
        <f>IF(Raw_Data!AR877="","",IF(Raw_Data!AR877="oui",1,0))</f>
        <v/>
      </c>
      <c r="Y874" s="12" t="str">
        <f>IF(Raw_Data!AS877="","",IF(Raw_Data!AS877="oui",1,0))</f>
        <v/>
      </c>
      <c r="Z874" s="12" t="str">
        <f>IF(Raw_Data!V877="","",IF(Raw_Data!V877="oui",1,0))</f>
        <v/>
      </c>
      <c r="AA874" s="12" t="str">
        <f>IF(Raw_Data!W877="","",IF(Raw_Data!W877="oui",1,0))</f>
        <v/>
      </c>
      <c r="AB874" s="12" t="str">
        <f>IF(Raw_Data!Q877="","",IF(Raw_Data!Q877="oui",1,0))</f>
        <v/>
      </c>
      <c r="AC874" s="12">
        <f>Raw_Data!AF877</f>
        <v>0</v>
      </c>
      <c r="AD874" s="12" t="str">
        <f t="shared" si="122"/>
        <v/>
      </c>
      <c r="AE874" s="12" t="str">
        <f t="shared" si="123"/>
        <v/>
      </c>
      <c r="AF874" s="12" t="str">
        <f t="shared" si="124"/>
        <v/>
      </c>
      <c r="AG874" s="12">
        <f t="shared" si="125"/>
        <v>0</v>
      </c>
    </row>
    <row r="875" spans="1:33" ht="15" customHeight="1" x14ac:dyDescent="0.25">
      <c r="A875" s="12" t="str">
        <f>IF(Raw_Data!B878="","",Raw_Data!B878)</f>
        <v/>
      </c>
      <c r="B875" s="12">
        <f>IF(Raw_Data!X878&lt;&gt;"",Raw_Data!X878,Raw_Data!C878)</f>
        <v>0</v>
      </c>
      <c r="C875" s="12" t="str">
        <f>IF(Raw_Data!G878="","",Raw_Data!G878)</f>
        <v/>
      </c>
      <c r="D875" s="12" t="str">
        <f>IF(Raw_Data!H878="","",Raw_Data!H878)</f>
        <v/>
      </c>
      <c r="E875" s="12" t="str">
        <f>IF(Raw_Data!I878="","",Raw_Data!I878)</f>
        <v/>
      </c>
      <c r="F875" s="12" t="str">
        <f>IF(Raw_Data!J878="","",Raw_Data!J878)</f>
        <v/>
      </c>
      <c r="G875" s="12" t="str">
        <f>IF(Raw_Data!AH878&lt;&gt;"",Raw_Data!AH878,IF(Raw_Data!K878&lt;&gt;"",Raw_Data!K878,""))</f>
        <v/>
      </c>
      <c r="H875" s="12" t="str">
        <f>IF(Raw_Data!AI878&lt;&gt;"",Raw_Data!AI878,IF(Raw_Data!L878&lt;&gt;"",Raw_Data!L878,""))</f>
        <v/>
      </c>
      <c r="I875" s="12" t="str">
        <f t="shared" si="117"/>
        <v/>
      </c>
      <c r="J875" s="12" t="str">
        <f>IF(Raw_Data!M878="","",Raw_Data!M878)</f>
        <v/>
      </c>
      <c r="K875" s="12">
        <f>IF(Raw_Data!AJ878&lt;&gt;"",Raw_Data!AJ878,Raw_Data!N878)</f>
        <v>0</v>
      </c>
      <c r="L875" s="12">
        <f t="shared" si="118"/>
        <v>1</v>
      </c>
      <c r="M875" s="12" t="str">
        <f>IF(Raw_Data!AK878="","",Raw_Data!AK878)</f>
        <v/>
      </c>
      <c r="N875" s="12" t="str">
        <f>IF(Raw_Data!T878="","",Raw_Data!T878)</f>
        <v/>
      </c>
      <c r="O875" s="12" t="str">
        <f>IF(Raw_Data!AB878&lt;&gt;"",Raw_Data!AB878,IF(N875="tres_insatisfait",1,IF(N875="insatisfait",2,IF(N875="neutre",3,IF(N875="satisfait",4,IF(N875="tres_satisfait",5,""))))))</f>
        <v/>
      </c>
      <c r="P875" s="12">
        <f>IF(Raw_Data!AL878&lt;&gt;"",Raw_Data!AL878,Raw_Data!R878)</f>
        <v>0</v>
      </c>
      <c r="Q875" s="12">
        <f t="shared" si="119"/>
        <v>0</v>
      </c>
      <c r="R875" s="12" t="str">
        <f>IF(Raw_Data!AM878="","",Raw_Data!AM878)</f>
        <v/>
      </c>
      <c r="S875" s="12" t="str">
        <f t="shared" si="120"/>
        <v/>
      </c>
      <c r="T875" s="12" t="str">
        <f>IF(Raw_Data!AN878="","",Raw_Data!AN878)</f>
        <v/>
      </c>
      <c r="U875" s="12" t="str">
        <f t="shared" si="121"/>
        <v/>
      </c>
      <c r="V875" s="12" t="str">
        <f>IF(Raw_Data!AP878="","",IF(Raw_Data!AP878="oui",1,0))</f>
        <v/>
      </c>
      <c r="W875" s="12" t="str">
        <f>IF(Raw_Data!AQ878="","",IF(Raw_Data!AQ878="oui",1,0))</f>
        <v/>
      </c>
      <c r="X875" s="12" t="str">
        <f>IF(Raw_Data!AR878="","",IF(Raw_Data!AR878="oui",1,0))</f>
        <v/>
      </c>
      <c r="Y875" s="12" t="str">
        <f>IF(Raw_Data!AS878="","",IF(Raw_Data!AS878="oui",1,0))</f>
        <v/>
      </c>
      <c r="Z875" s="12" t="str">
        <f>IF(Raw_Data!V878="","",IF(Raw_Data!V878="oui",1,0))</f>
        <v/>
      </c>
      <c r="AA875" s="12" t="str">
        <f>IF(Raw_Data!W878="","",IF(Raw_Data!W878="oui",1,0))</f>
        <v/>
      </c>
      <c r="AB875" s="12" t="str">
        <f>IF(Raw_Data!Q878="","",IF(Raw_Data!Q878="oui",1,0))</f>
        <v/>
      </c>
      <c r="AC875" s="12">
        <f>Raw_Data!AF878</f>
        <v>0</v>
      </c>
      <c r="AD875" s="12" t="str">
        <f t="shared" si="122"/>
        <v/>
      </c>
      <c r="AE875" s="12" t="str">
        <f t="shared" si="123"/>
        <v/>
      </c>
      <c r="AF875" s="12" t="str">
        <f t="shared" si="124"/>
        <v/>
      </c>
      <c r="AG875" s="12">
        <f t="shared" si="125"/>
        <v>0</v>
      </c>
    </row>
    <row r="876" spans="1:33" ht="15" customHeight="1" x14ac:dyDescent="0.25">
      <c r="A876" s="12" t="str">
        <f>IF(Raw_Data!B879="","",Raw_Data!B879)</f>
        <v/>
      </c>
      <c r="B876" s="12">
        <f>IF(Raw_Data!X879&lt;&gt;"",Raw_Data!X879,Raw_Data!C879)</f>
        <v>0</v>
      </c>
      <c r="C876" s="12" t="str">
        <f>IF(Raw_Data!G879="","",Raw_Data!G879)</f>
        <v/>
      </c>
      <c r="D876" s="12" t="str">
        <f>IF(Raw_Data!H879="","",Raw_Data!H879)</f>
        <v/>
      </c>
      <c r="E876" s="12" t="str">
        <f>IF(Raw_Data!I879="","",Raw_Data!I879)</f>
        <v/>
      </c>
      <c r="F876" s="12" t="str">
        <f>IF(Raw_Data!J879="","",Raw_Data!J879)</f>
        <v/>
      </c>
      <c r="G876" s="12" t="str">
        <f>IF(Raw_Data!AH879&lt;&gt;"",Raw_Data!AH879,IF(Raw_Data!K879&lt;&gt;"",Raw_Data!K879,""))</f>
        <v/>
      </c>
      <c r="H876" s="12" t="str">
        <f>IF(Raw_Data!AI879&lt;&gt;"",Raw_Data!AI879,IF(Raw_Data!L879&lt;&gt;"",Raw_Data!L879,""))</f>
        <v/>
      </c>
      <c r="I876" s="12" t="str">
        <f t="shared" si="117"/>
        <v/>
      </c>
      <c r="J876" s="12" t="str">
        <f>IF(Raw_Data!M879="","",Raw_Data!M879)</f>
        <v/>
      </c>
      <c r="K876" s="12">
        <f>IF(Raw_Data!AJ879&lt;&gt;"",Raw_Data!AJ879,Raw_Data!N879)</f>
        <v>0</v>
      </c>
      <c r="L876" s="12">
        <f t="shared" si="118"/>
        <v>1</v>
      </c>
      <c r="M876" s="12" t="str">
        <f>IF(Raw_Data!AK879="","",Raw_Data!AK879)</f>
        <v/>
      </c>
      <c r="N876" s="12" t="str">
        <f>IF(Raw_Data!T879="","",Raw_Data!T879)</f>
        <v/>
      </c>
      <c r="O876" s="12" t="str">
        <f>IF(Raw_Data!AB879&lt;&gt;"",Raw_Data!AB879,IF(N876="tres_insatisfait",1,IF(N876="insatisfait",2,IF(N876="neutre",3,IF(N876="satisfait",4,IF(N876="tres_satisfait",5,""))))))</f>
        <v/>
      </c>
      <c r="P876" s="12">
        <f>IF(Raw_Data!AL879&lt;&gt;"",Raw_Data!AL879,Raw_Data!R879)</f>
        <v>0</v>
      </c>
      <c r="Q876" s="12">
        <f t="shared" si="119"/>
        <v>0</v>
      </c>
      <c r="R876" s="12" t="str">
        <f>IF(Raw_Data!AM879="","",Raw_Data!AM879)</f>
        <v/>
      </c>
      <c r="S876" s="12" t="str">
        <f t="shared" si="120"/>
        <v/>
      </c>
      <c r="T876" s="12" t="str">
        <f>IF(Raw_Data!AN879="","",Raw_Data!AN879)</f>
        <v/>
      </c>
      <c r="U876" s="12" t="str">
        <f t="shared" si="121"/>
        <v/>
      </c>
      <c r="V876" s="12" t="str">
        <f>IF(Raw_Data!AP879="","",IF(Raw_Data!AP879="oui",1,0))</f>
        <v/>
      </c>
      <c r="W876" s="12" t="str">
        <f>IF(Raw_Data!AQ879="","",IF(Raw_Data!AQ879="oui",1,0))</f>
        <v/>
      </c>
      <c r="X876" s="12" t="str">
        <f>IF(Raw_Data!AR879="","",IF(Raw_Data!AR879="oui",1,0))</f>
        <v/>
      </c>
      <c r="Y876" s="12" t="str">
        <f>IF(Raw_Data!AS879="","",IF(Raw_Data!AS879="oui",1,0))</f>
        <v/>
      </c>
      <c r="Z876" s="12" t="str">
        <f>IF(Raw_Data!V879="","",IF(Raw_Data!V879="oui",1,0))</f>
        <v/>
      </c>
      <c r="AA876" s="12" t="str">
        <f>IF(Raw_Data!W879="","",IF(Raw_Data!W879="oui",1,0))</f>
        <v/>
      </c>
      <c r="AB876" s="12" t="str">
        <f>IF(Raw_Data!Q879="","",IF(Raw_Data!Q879="oui",1,0))</f>
        <v/>
      </c>
      <c r="AC876" s="12">
        <f>Raw_Data!AF879</f>
        <v>0</v>
      </c>
      <c r="AD876" s="12" t="str">
        <f t="shared" si="122"/>
        <v/>
      </c>
      <c r="AE876" s="12" t="str">
        <f t="shared" si="123"/>
        <v/>
      </c>
      <c r="AF876" s="12" t="str">
        <f t="shared" si="124"/>
        <v/>
      </c>
      <c r="AG876" s="12">
        <f t="shared" si="125"/>
        <v>0</v>
      </c>
    </row>
    <row r="877" spans="1:33" ht="15" customHeight="1" x14ac:dyDescent="0.25">
      <c r="A877" s="12" t="str">
        <f>IF(Raw_Data!B880="","",Raw_Data!B880)</f>
        <v/>
      </c>
      <c r="B877" s="12">
        <f>IF(Raw_Data!X880&lt;&gt;"",Raw_Data!X880,Raw_Data!C880)</f>
        <v>0</v>
      </c>
      <c r="C877" s="12" t="str">
        <f>IF(Raw_Data!G880="","",Raw_Data!G880)</f>
        <v/>
      </c>
      <c r="D877" s="12" t="str">
        <f>IF(Raw_Data!H880="","",Raw_Data!H880)</f>
        <v/>
      </c>
      <c r="E877" s="12" t="str">
        <f>IF(Raw_Data!I880="","",Raw_Data!I880)</f>
        <v/>
      </c>
      <c r="F877" s="12" t="str">
        <f>IF(Raw_Data!J880="","",Raw_Data!J880)</f>
        <v/>
      </c>
      <c r="G877" s="12" t="str">
        <f>IF(Raw_Data!AH880&lt;&gt;"",Raw_Data!AH880,IF(Raw_Data!K880&lt;&gt;"",Raw_Data!K880,""))</f>
        <v/>
      </c>
      <c r="H877" s="12" t="str">
        <f>IF(Raw_Data!AI880&lt;&gt;"",Raw_Data!AI880,IF(Raw_Data!L880&lt;&gt;"",Raw_Data!L880,""))</f>
        <v/>
      </c>
      <c r="I877" s="12" t="str">
        <f t="shared" si="117"/>
        <v/>
      </c>
      <c r="J877" s="12" t="str">
        <f>IF(Raw_Data!M880="","",Raw_Data!M880)</f>
        <v/>
      </c>
      <c r="K877" s="12">
        <f>IF(Raw_Data!AJ880&lt;&gt;"",Raw_Data!AJ880,Raw_Data!N880)</f>
        <v>0</v>
      </c>
      <c r="L877" s="12">
        <f t="shared" si="118"/>
        <v>1</v>
      </c>
      <c r="M877" s="12" t="str">
        <f>IF(Raw_Data!AK880="","",Raw_Data!AK880)</f>
        <v/>
      </c>
      <c r="N877" s="12" t="str">
        <f>IF(Raw_Data!T880="","",Raw_Data!T880)</f>
        <v/>
      </c>
      <c r="O877" s="12" t="str">
        <f>IF(Raw_Data!AB880&lt;&gt;"",Raw_Data!AB880,IF(N877="tres_insatisfait",1,IF(N877="insatisfait",2,IF(N877="neutre",3,IF(N877="satisfait",4,IF(N877="tres_satisfait",5,""))))))</f>
        <v/>
      </c>
      <c r="P877" s="12">
        <f>IF(Raw_Data!AL880&lt;&gt;"",Raw_Data!AL880,Raw_Data!R880)</f>
        <v>0</v>
      </c>
      <c r="Q877" s="12">
        <f t="shared" si="119"/>
        <v>0</v>
      </c>
      <c r="R877" s="12" t="str">
        <f>IF(Raw_Data!AM880="","",Raw_Data!AM880)</f>
        <v/>
      </c>
      <c r="S877" s="12" t="str">
        <f t="shared" si="120"/>
        <v/>
      </c>
      <c r="T877" s="12" t="str">
        <f>IF(Raw_Data!AN880="","",Raw_Data!AN880)</f>
        <v/>
      </c>
      <c r="U877" s="12" t="str">
        <f t="shared" si="121"/>
        <v/>
      </c>
      <c r="V877" s="12" t="str">
        <f>IF(Raw_Data!AP880="","",IF(Raw_Data!AP880="oui",1,0))</f>
        <v/>
      </c>
      <c r="W877" s="12" t="str">
        <f>IF(Raw_Data!AQ880="","",IF(Raw_Data!AQ880="oui",1,0))</f>
        <v/>
      </c>
      <c r="X877" s="12" t="str">
        <f>IF(Raw_Data!AR880="","",IF(Raw_Data!AR880="oui",1,0))</f>
        <v/>
      </c>
      <c r="Y877" s="12" t="str">
        <f>IF(Raw_Data!AS880="","",IF(Raw_Data!AS880="oui",1,0))</f>
        <v/>
      </c>
      <c r="Z877" s="12" t="str">
        <f>IF(Raw_Data!V880="","",IF(Raw_Data!V880="oui",1,0))</f>
        <v/>
      </c>
      <c r="AA877" s="12" t="str">
        <f>IF(Raw_Data!W880="","",IF(Raw_Data!W880="oui",1,0))</f>
        <v/>
      </c>
      <c r="AB877" s="12" t="str">
        <f>IF(Raw_Data!Q880="","",IF(Raw_Data!Q880="oui",1,0))</f>
        <v/>
      </c>
      <c r="AC877" s="12">
        <f>Raw_Data!AF880</f>
        <v>0</v>
      </c>
      <c r="AD877" s="12" t="str">
        <f t="shared" si="122"/>
        <v/>
      </c>
      <c r="AE877" s="12" t="str">
        <f t="shared" si="123"/>
        <v/>
      </c>
      <c r="AF877" s="12" t="str">
        <f t="shared" si="124"/>
        <v/>
      </c>
      <c r="AG877" s="12">
        <f t="shared" si="125"/>
        <v>0</v>
      </c>
    </row>
    <row r="878" spans="1:33" ht="15" customHeight="1" x14ac:dyDescent="0.25">
      <c r="A878" s="12" t="str">
        <f>IF(Raw_Data!B881="","",Raw_Data!B881)</f>
        <v/>
      </c>
      <c r="B878" s="12">
        <f>IF(Raw_Data!X881&lt;&gt;"",Raw_Data!X881,Raw_Data!C881)</f>
        <v>0</v>
      </c>
      <c r="C878" s="12" t="str">
        <f>IF(Raw_Data!G881="","",Raw_Data!G881)</f>
        <v/>
      </c>
      <c r="D878" s="12" t="str">
        <f>IF(Raw_Data!H881="","",Raw_Data!H881)</f>
        <v/>
      </c>
      <c r="E878" s="12" t="str">
        <f>IF(Raw_Data!I881="","",Raw_Data!I881)</f>
        <v/>
      </c>
      <c r="F878" s="12" t="str">
        <f>IF(Raw_Data!J881="","",Raw_Data!J881)</f>
        <v/>
      </c>
      <c r="G878" s="12" t="str">
        <f>IF(Raw_Data!AH881&lt;&gt;"",Raw_Data!AH881,IF(Raw_Data!K881&lt;&gt;"",Raw_Data!K881,""))</f>
        <v/>
      </c>
      <c r="H878" s="12" t="str">
        <f>IF(Raw_Data!AI881&lt;&gt;"",Raw_Data!AI881,IF(Raw_Data!L881&lt;&gt;"",Raw_Data!L881,""))</f>
        <v/>
      </c>
      <c r="I878" s="12" t="str">
        <f t="shared" si="117"/>
        <v/>
      </c>
      <c r="J878" s="12" t="str">
        <f>IF(Raw_Data!M881="","",Raw_Data!M881)</f>
        <v/>
      </c>
      <c r="K878" s="12">
        <f>IF(Raw_Data!AJ881&lt;&gt;"",Raw_Data!AJ881,Raw_Data!N881)</f>
        <v>0</v>
      </c>
      <c r="L878" s="12">
        <f t="shared" si="118"/>
        <v>1</v>
      </c>
      <c r="M878" s="12" t="str">
        <f>IF(Raw_Data!AK881="","",Raw_Data!AK881)</f>
        <v/>
      </c>
      <c r="N878" s="12" t="str">
        <f>IF(Raw_Data!T881="","",Raw_Data!T881)</f>
        <v/>
      </c>
      <c r="O878" s="12" t="str">
        <f>IF(Raw_Data!AB881&lt;&gt;"",Raw_Data!AB881,IF(N878="tres_insatisfait",1,IF(N878="insatisfait",2,IF(N878="neutre",3,IF(N878="satisfait",4,IF(N878="tres_satisfait",5,""))))))</f>
        <v/>
      </c>
      <c r="P878" s="12">
        <f>IF(Raw_Data!AL881&lt;&gt;"",Raw_Data!AL881,Raw_Data!R881)</f>
        <v>0</v>
      </c>
      <c r="Q878" s="12">
        <f t="shared" si="119"/>
        <v>0</v>
      </c>
      <c r="R878" s="12" t="str">
        <f>IF(Raw_Data!AM881="","",Raw_Data!AM881)</f>
        <v/>
      </c>
      <c r="S878" s="12" t="str">
        <f t="shared" si="120"/>
        <v/>
      </c>
      <c r="T878" s="12" t="str">
        <f>IF(Raw_Data!AN881="","",Raw_Data!AN881)</f>
        <v/>
      </c>
      <c r="U878" s="12" t="str">
        <f t="shared" si="121"/>
        <v/>
      </c>
      <c r="V878" s="12" t="str">
        <f>IF(Raw_Data!AP881="","",IF(Raw_Data!AP881="oui",1,0))</f>
        <v/>
      </c>
      <c r="W878" s="12" t="str">
        <f>IF(Raw_Data!AQ881="","",IF(Raw_Data!AQ881="oui",1,0))</f>
        <v/>
      </c>
      <c r="X878" s="12" t="str">
        <f>IF(Raw_Data!AR881="","",IF(Raw_Data!AR881="oui",1,0))</f>
        <v/>
      </c>
      <c r="Y878" s="12" t="str">
        <f>IF(Raw_Data!AS881="","",IF(Raw_Data!AS881="oui",1,0))</f>
        <v/>
      </c>
      <c r="Z878" s="12" t="str">
        <f>IF(Raw_Data!V881="","",IF(Raw_Data!V881="oui",1,0))</f>
        <v/>
      </c>
      <c r="AA878" s="12" t="str">
        <f>IF(Raw_Data!W881="","",IF(Raw_Data!W881="oui",1,0))</f>
        <v/>
      </c>
      <c r="AB878" s="12" t="str">
        <f>IF(Raw_Data!Q881="","",IF(Raw_Data!Q881="oui",1,0))</f>
        <v/>
      </c>
      <c r="AC878" s="12">
        <f>Raw_Data!AF881</f>
        <v>0</v>
      </c>
      <c r="AD878" s="12" t="str">
        <f t="shared" si="122"/>
        <v/>
      </c>
      <c r="AE878" s="12" t="str">
        <f t="shared" si="123"/>
        <v/>
      </c>
      <c r="AF878" s="12" t="str">
        <f t="shared" si="124"/>
        <v/>
      </c>
      <c r="AG878" s="12">
        <f t="shared" si="125"/>
        <v>0</v>
      </c>
    </row>
    <row r="879" spans="1:33" ht="15" customHeight="1" x14ac:dyDescent="0.25">
      <c r="A879" s="12" t="str">
        <f>IF(Raw_Data!B882="","",Raw_Data!B882)</f>
        <v/>
      </c>
      <c r="B879" s="12">
        <f>IF(Raw_Data!X882&lt;&gt;"",Raw_Data!X882,Raw_Data!C882)</f>
        <v>0</v>
      </c>
      <c r="C879" s="12" t="str">
        <f>IF(Raw_Data!G882="","",Raw_Data!G882)</f>
        <v/>
      </c>
      <c r="D879" s="12" t="str">
        <f>IF(Raw_Data!H882="","",Raw_Data!H882)</f>
        <v/>
      </c>
      <c r="E879" s="12" t="str">
        <f>IF(Raw_Data!I882="","",Raw_Data!I882)</f>
        <v/>
      </c>
      <c r="F879" s="12" t="str">
        <f>IF(Raw_Data!J882="","",Raw_Data!J882)</f>
        <v/>
      </c>
      <c r="G879" s="12" t="str">
        <f>IF(Raw_Data!AH882&lt;&gt;"",Raw_Data!AH882,IF(Raw_Data!K882&lt;&gt;"",Raw_Data!K882,""))</f>
        <v/>
      </c>
      <c r="H879" s="12" t="str">
        <f>IF(Raw_Data!AI882&lt;&gt;"",Raw_Data!AI882,IF(Raw_Data!L882&lt;&gt;"",Raw_Data!L882,""))</f>
        <v/>
      </c>
      <c r="I879" s="12" t="str">
        <f t="shared" si="117"/>
        <v/>
      </c>
      <c r="J879" s="12" t="str">
        <f>IF(Raw_Data!M882="","",Raw_Data!M882)</f>
        <v/>
      </c>
      <c r="K879" s="12">
        <f>IF(Raw_Data!AJ882&lt;&gt;"",Raw_Data!AJ882,Raw_Data!N882)</f>
        <v>0</v>
      </c>
      <c r="L879" s="12">
        <f t="shared" si="118"/>
        <v>1</v>
      </c>
      <c r="M879" s="12" t="str">
        <f>IF(Raw_Data!AK882="","",Raw_Data!AK882)</f>
        <v/>
      </c>
      <c r="N879" s="12" t="str">
        <f>IF(Raw_Data!T882="","",Raw_Data!T882)</f>
        <v/>
      </c>
      <c r="O879" s="12" t="str">
        <f>IF(Raw_Data!AB882&lt;&gt;"",Raw_Data!AB882,IF(N879="tres_insatisfait",1,IF(N879="insatisfait",2,IF(N879="neutre",3,IF(N879="satisfait",4,IF(N879="tres_satisfait",5,""))))))</f>
        <v/>
      </c>
      <c r="P879" s="12">
        <f>IF(Raw_Data!AL882&lt;&gt;"",Raw_Data!AL882,Raw_Data!R882)</f>
        <v>0</v>
      </c>
      <c r="Q879" s="12">
        <f t="shared" si="119"/>
        <v>0</v>
      </c>
      <c r="R879" s="12" t="str">
        <f>IF(Raw_Data!AM882="","",Raw_Data!AM882)</f>
        <v/>
      </c>
      <c r="S879" s="12" t="str">
        <f t="shared" si="120"/>
        <v/>
      </c>
      <c r="T879" s="12" t="str">
        <f>IF(Raw_Data!AN882="","",Raw_Data!AN882)</f>
        <v/>
      </c>
      <c r="U879" s="12" t="str">
        <f t="shared" si="121"/>
        <v/>
      </c>
      <c r="V879" s="12" t="str">
        <f>IF(Raw_Data!AP882="","",IF(Raw_Data!AP882="oui",1,0))</f>
        <v/>
      </c>
      <c r="W879" s="12" t="str">
        <f>IF(Raw_Data!AQ882="","",IF(Raw_Data!AQ882="oui",1,0))</f>
        <v/>
      </c>
      <c r="X879" s="12" t="str">
        <f>IF(Raw_Data!AR882="","",IF(Raw_Data!AR882="oui",1,0))</f>
        <v/>
      </c>
      <c r="Y879" s="12" t="str">
        <f>IF(Raw_Data!AS882="","",IF(Raw_Data!AS882="oui",1,0))</f>
        <v/>
      </c>
      <c r="Z879" s="12" t="str">
        <f>IF(Raw_Data!V882="","",IF(Raw_Data!V882="oui",1,0))</f>
        <v/>
      </c>
      <c r="AA879" s="12" t="str">
        <f>IF(Raw_Data!W882="","",IF(Raw_Data!W882="oui",1,0))</f>
        <v/>
      </c>
      <c r="AB879" s="12" t="str">
        <f>IF(Raw_Data!Q882="","",IF(Raw_Data!Q882="oui",1,0))</f>
        <v/>
      </c>
      <c r="AC879" s="12">
        <f>Raw_Data!AF882</f>
        <v>0</v>
      </c>
      <c r="AD879" s="12" t="str">
        <f t="shared" si="122"/>
        <v/>
      </c>
      <c r="AE879" s="12" t="str">
        <f t="shared" si="123"/>
        <v/>
      </c>
      <c r="AF879" s="12" t="str">
        <f t="shared" si="124"/>
        <v/>
      </c>
      <c r="AG879" s="12">
        <f t="shared" si="125"/>
        <v>0</v>
      </c>
    </row>
    <row r="880" spans="1:33" ht="15" customHeight="1" x14ac:dyDescent="0.25">
      <c r="A880" s="12" t="str">
        <f>IF(Raw_Data!B883="","",Raw_Data!B883)</f>
        <v/>
      </c>
      <c r="B880" s="12">
        <f>IF(Raw_Data!X883&lt;&gt;"",Raw_Data!X883,Raw_Data!C883)</f>
        <v>0</v>
      </c>
      <c r="C880" s="12" t="str">
        <f>IF(Raw_Data!G883="","",Raw_Data!G883)</f>
        <v/>
      </c>
      <c r="D880" s="12" t="str">
        <f>IF(Raw_Data!H883="","",Raw_Data!H883)</f>
        <v/>
      </c>
      <c r="E880" s="12" t="str">
        <f>IF(Raw_Data!I883="","",Raw_Data!I883)</f>
        <v/>
      </c>
      <c r="F880" s="12" t="str">
        <f>IF(Raw_Data!J883="","",Raw_Data!J883)</f>
        <v/>
      </c>
      <c r="G880" s="12" t="str">
        <f>IF(Raw_Data!AH883&lt;&gt;"",Raw_Data!AH883,IF(Raw_Data!K883&lt;&gt;"",Raw_Data!K883,""))</f>
        <v/>
      </c>
      <c r="H880" s="12" t="str">
        <f>IF(Raw_Data!AI883&lt;&gt;"",Raw_Data!AI883,IF(Raw_Data!L883&lt;&gt;"",Raw_Data!L883,""))</f>
        <v/>
      </c>
      <c r="I880" s="12" t="str">
        <f t="shared" si="117"/>
        <v/>
      </c>
      <c r="J880" s="12" t="str">
        <f>IF(Raw_Data!M883="","",Raw_Data!M883)</f>
        <v/>
      </c>
      <c r="K880" s="12">
        <f>IF(Raw_Data!AJ883&lt;&gt;"",Raw_Data!AJ883,Raw_Data!N883)</f>
        <v>0</v>
      </c>
      <c r="L880" s="12">
        <f t="shared" si="118"/>
        <v>1</v>
      </c>
      <c r="M880" s="12" t="str">
        <f>IF(Raw_Data!AK883="","",Raw_Data!AK883)</f>
        <v/>
      </c>
      <c r="N880" s="12" t="str">
        <f>IF(Raw_Data!T883="","",Raw_Data!T883)</f>
        <v/>
      </c>
      <c r="O880" s="12" t="str">
        <f>IF(Raw_Data!AB883&lt;&gt;"",Raw_Data!AB883,IF(N880="tres_insatisfait",1,IF(N880="insatisfait",2,IF(N880="neutre",3,IF(N880="satisfait",4,IF(N880="tres_satisfait",5,""))))))</f>
        <v/>
      </c>
      <c r="P880" s="12">
        <f>IF(Raw_Data!AL883&lt;&gt;"",Raw_Data!AL883,Raw_Data!R883)</f>
        <v>0</v>
      </c>
      <c r="Q880" s="12">
        <f t="shared" si="119"/>
        <v>0</v>
      </c>
      <c r="R880" s="12" t="str">
        <f>IF(Raw_Data!AM883="","",Raw_Data!AM883)</f>
        <v/>
      </c>
      <c r="S880" s="12" t="str">
        <f t="shared" si="120"/>
        <v/>
      </c>
      <c r="T880" s="12" t="str">
        <f>IF(Raw_Data!AN883="","",Raw_Data!AN883)</f>
        <v/>
      </c>
      <c r="U880" s="12" t="str">
        <f t="shared" si="121"/>
        <v/>
      </c>
      <c r="V880" s="12" t="str">
        <f>IF(Raw_Data!AP883="","",IF(Raw_Data!AP883="oui",1,0))</f>
        <v/>
      </c>
      <c r="W880" s="12" t="str">
        <f>IF(Raw_Data!AQ883="","",IF(Raw_Data!AQ883="oui",1,0))</f>
        <v/>
      </c>
      <c r="X880" s="12" t="str">
        <f>IF(Raw_Data!AR883="","",IF(Raw_Data!AR883="oui",1,0))</f>
        <v/>
      </c>
      <c r="Y880" s="12" t="str">
        <f>IF(Raw_Data!AS883="","",IF(Raw_Data!AS883="oui",1,0))</f>
        <v/>
      </c>
      <c r="Z880" s="12" t="str">
        <f>IF(Raw_Data!V883="","",IF(Raw_Data!V883="oui",1,0))</f>
        <v/>
      </c>
      <c r="AA880" s="12" t="str">
        <f>IF(Raw_Data!W883="","",IF(Raw_Data!W883="oui",1,0))</f>
        <v/>
      </c>
      <c r="AB880" s="12" t="str">
        <f>IF(Raw_Data!Q883="","",IF(Raw_Data!Q883="oui",1,0))</f>
        <v/>
      </c>
      <c r="AC880" s="12">
        <f>Raw_Data!AF883</f>
        <v>0</v>
      </c>
      <c r="AD880" s="12" t="str">
        <f t="shared" si="122"/>
        <v/>
      </c>
      <c r="AE880" s="12" t="str">
        <f t="shared" si="123"/>
        <v/>
      </c>
      <c r="AF880" s="12" t="str">
        <f t="shared" si="124"/>
        <v/>
      </c>
      <c r="AG880" s="12">
        <f t="shared" si="125"/>
        <v>0</v>
      </c>
    </row>
    <row r="881" spans="1:33" ht="15" customHeight="1" x14ac:dyDescent="0.25">
      <c r="A881" s="12" t="str">
        <f>IF(Raw_Data!B884="","",Raw_Data!B884)</f>
        <v/>
      </c>
      <c r="B881" s="12">
        <f>IF(Raw_Data!X884&lt;&gt;"",Raw_Data!X884,Raw_Data!C884)</f>
        <v>0</v>
      </c>
      <c r="C881" s="12" t="str">
        <f>IF(Raw_Data!G884="","",Raw_Data!G884)</f>
        <v/>
      </c>
      <c r="D881" s="12" t="str">
        <f>IF(Raw_Data!H884="","",Raw_Data!H884)</f>
        <v/>
      </c>
      <c r="E881" s="12" t="str">
        <f>IF(Raw_Data!I884="","",Raw_Data!I884)</f>
        <v/>
      </c>
      <c r="F881" s="12" t="str">
        <f>IF(Raw_Data!J884="","",Raw_Data!J884)</f>
        <v/>
      </c>
      <c r="G881" s="12" t="str">
        <f>IF(Raw_Data!AH884&lt;&gt;"",Raw_Data!AH884,IF(Raw_Data!K884&lt;&gt;"",Raw_Data!K884,""))</f>
        <v/>
      </c>
      <c r="H881" s="12" t="str">
        <f>IF(Raw_Data!AI884&lt;&gt;"",Raw_Data!AI884,IF(Raw_Data!L884&lt;&gt;"",Raw_Data!L884,""))</f>
        <v/>
      </c>
      <c r="I881" s="12" t="str">
        <f t="shared" si="117"/>
        <v/>
      </c>
      <c r="J881" s="12" t="str">
        <f>IF(Raw_Data!M884="","",Raw_Data!M884)</f>
        <v/>
      </c>
      <c r="K881" s="12">
        <f>IF(Raw_Data!AJ884&lt;&gt;"",Raw_Data!AJ884,Raw_Data!N884)</f>
        <v>0</v>
      </c>
      <c r="L881" s="12">
        <f t="shared" si="118"/>
        <v>1</v>
      </c>
      <c r="M881" s="12" t="str">
        <f>IF(Raw_Data!AK884="","",Raw_Data!AK884)</f>
        <v/>
      </c>
      <c r="N881" s="12" t="str">
        <f>IF(Raw_Data!T884="","",Raw_Data!T884)</f>
        <v/>
      </c>
      <c r="O881" s="12" t="str">
        <f>IF(Raw_Data!AB884&lt;&gt;"",Raw_Data!AB884,IF(N881="tres_insatisfait",1,IF(N881="insatisfait",2,IF(N881="neutre",3,IF(N881="satisfait",4,IF(N881="tres_satisfait",5,""))))))</f>
        <v/>
      </c>
      <c r="P881" s="12">
        <f>IF(Raw_Data!AL884&lt;&gt;"",Raw_Data!AL884,Raw_Data!R884)</f>
        <v>0</v>
      </c>
      <c r="Q881" s="12">
        <f t="shared" si="119"/>
        <v>0</v>
      </c>
      <c r="R881" s="12" t="str">
        <f>IF(Raw_Data!AM884="","",Raw_Data!AM884)</f>
        <v/>
      </c>
      <c r="S881" s="12" t="str">
        <f t="shared" si="120"/>
        <v/>
      </c>
      <c r="T881" s="12" t="str">
        <f>IF(Raw_Data!AN884="","",Raw_Data!AN884)</f>
        <v/>
      </c>
      <c r="U881" s="12" t="str">
        <f t="shared" si="121"/>
        <v/>
      </c>
      <c r="V881" s="12" t="str">
        <f>IF(Raw_Data!AP884="","",IF(Raw_Data!AP884="oui",1,0))</f>
        <v/>
      </c>
      <c r="W881" s="12" t="str">
        <f>IF(Raw_Data!AQ884="","",IF(Raw_Data!AQ884="oui",1,0))</f>
        <v/>
      </c>
      <c r="X881" s="12" t="str">
        <f>IF(Raw_Data!AR884="","",IF(Raw_Data!AR884="oui",1,0))</f>
        <v/>
      </c>
      <c r="Y881" s="12" t="str">
        <f>IF(Raw_Data!AS884="","",IF(Raw_Data!AS884="oui",1,0))</f>
        <v/>
      </c>
      <c r="Z881" s="12" t="str">
        <f>IF(Raw_Data!V884="","",IF(Raw_Data!V884="oui",1,0))</f>
        <v/>
      </c>
      <c r="AA881" s="12" t="str">
        <f>IF(Raw_Data!W884="","",IF(Raw_Data!W884="oui",1,0))</f>
        <v/>
      </c>
      <c r="AB881" s="12" t="str">
        <f>IF(Raw_Data!Q884="","",IF(Raw_Data!Q884="oui",1,0))</f>
        <v/>
      </c>
      <c r="AC881" s="12">
        <f>Raw_Data!AF884</f>
        <v>0</v>
      </c>
      <c r="AD881" s="12" t="str">
        <f t="shared" si="122"/>
        <v/>
      </c>
      <c r="AE881" s="12" t="str">
        <f t="shared" si="123"/>
        <v/>
      </c>
      <c r="AF881" s="12" t="str">
        <f t="shared" si="124"/>
        <v/>
      </c>
      <c r="AG881" s="12">
        <f t="shared" si="125"/>
        <v>0</v>
      </c>
    </row>
    <row r="882" spans="1:33" ht="15" customHeight="1" x14ac:dyDescent="0.25">
      <c r="A882" s="12" t="str">
        <f>IF(Raw_Data!B885="","",Raw_Data!B885)</f>
        <v/>
      </c>
      <c r="B882" s="12">
        <f>IF(Raw_Data!X885&lt;&gt;"",Raw_Data!X885,Raw_Data!C885)</f>
        <v>0</v>
      </c>
      <c r="C882" s="12" t="str">
        <f>IF(Raw_Data!G885="","",Raw_Data!G885)</f>
        <v/>
      </c>
      <c r="D882" s="12" t="str">
        <f>IF(Raw_Data!H885="","",Raw_Data!H885)</f>
        <v/>
      </c>
      <c r="E882" s="12" t="str">
        <f>IF(Raw_Data!I885="","",Raw_Data!I885)</f>
        <v/>
      </c>
      <c r="F882" s="12" t="str">
        <f>IF(Raw_Data!J885="","",Raw_Data!J885)</f>
        <v/>
      </c>
      <c r="G882" s="12" t="str">
        <f>IF(Raw_Data!AH885&lt;&gt;"",Raw_Data!AH885,IF(Raw_Data!K885&lt;&gt;"",Raw_Data!K885,""))</f>
        <v/>
      </c>
      <c r="H882" s="12" t="str">
        <f>IF(Raw_Data!AI885&lt;&gt;"",Raw_Data!AI885,IF(Raw_Data!L885&lt;&gt;"",Raw_Data!L885,""))</f>
        <v/>
      </c>
      <c r="I882" s="12" t="str">
        <f t="shared" si="117"/>
        <v/>
      </c>
      <c r="J882" s="12" t="str">
        <f>IF(Raw_Data!M885="","",Raw_Data!M885)</f>
        <v/>
      </c>
      <c r="K882" s="12">
        <f>IF(Raw_Data!AJ885&lt;&gt;"",Raw_Data!AJ885,Raw_Data!N885)</f>
        <v>0</v>
      </c>
      <c r="L882" s="12">
        <f t="shared" si="118"/>
        <v>1</v>
      </c>
      <c r="M882" s="12" t="str">
        <f>IF(Raw_Data!AK885="","",Raw_Data!AK885)</f>
        <v/>
      </c>
      <c r="N882" s="12" t="str">
        <f>IF(Raw_Data!T885="","",Raw_Data!T885)</f>
        <v/>
      </c>
      <c r="O882" s="12" t="str">
        <f>IF(Raw_Data!AB885&lt;&gt;"",Raw_Data!AB885,IF(N882="tres_insatisfait",1,IF(N882="insatisfait",2,IF(N882="neutre",3,IF(N882="satisfait",4,IF(N882="tres_satisfait",5,""))))))</f>
        <v/>
      </c>
      <c r="P882" s="12">
        <f>IF(Raw_Data!AL885&lt;&gt;"",Raw_Data!AL885,Raw_Data!R885)</f>
        <v>0</v>
      </c>
      <c r="Q882" s="12">
        <f t="shared" si="119"/>
        <v>0</v>
      </c>
      <c r="R882" s="12" t="str">
        <f>IF(Raw_Data!AM885="","",Raw_Data!AM885)</f>
        <v/>
      </c>
      <c r="S882" s="12" t="str">
        <f t="shared" si="120"/>
        <v/>
      </c>
      <c r="T882" s="12" t="str">
        <f>IF(Raw_Data!AN885="","",Raw_Data!AN885)</f>
        <v/>
      </c>
      <c r="U882" s="12" t="str">
        <f t="shared" si="121"/>
        <v/>
      </c>
      <c r="V882" s="12" t="str">
        <f>IF(Raw_Data!AP885="","",IF(Raw_Data!AP885="oui",1,0))</f>
        <v/>
      </c>
      <c r="W882" s="12" t="str">
        <f>IF(Raw_Data!AQ885="","",IF(Raw_Data!AQ885="oui",1,0))</f>
        <v/>
      </c>
      <c r="X882" s="12" t="str">
        <f>IF(Raw_Data!AR885="","",IF(Raw_Data!AR885="oui",1,0))</f>
        <v/>
      </c>
      <c r="Y882" s="12" t="str">
        <f>IF(Raw_Data!AS885="","",IF(Raw_Data!AS885="oui",1,0))</f>
        <v/>
      </c>
      <c r="Z882" s="12" t="str">
        <f>IF(Raw_Data!V885="","",IF(Raw_Data!V885="oui",1,0))</f>
        <v/>
      </c>
      <c r="AA882" s="12" t="str">
        <f>IF(Raw_Data!W885="","",IF(Raw_Data!W885="oui",1,0))</f>
        <v/>
      </c>
      <c r="AB882" s="12" t="str">
        <f>IF(Raw_Data!Q885="","",IF(Raw_Data!Q885="oui",1,0))</f>
        <v/>
      </c>
      <c r="AC882" s="12">
        <f>Raw_Data!AF885</f>
        <v>0</v>
      </c>
      <c r="AD882" s="12" t="str">
        <f t="shared" si="122"/>
        <v/>
      </c>
      <c r="AE882" s="12" t="str">
        <f t="shared" si="123"/>
        <v/>
      </c>
      <c r="AF882" s="12" t="str">
        <f t="shared" si="124"/>
        <v/>
      </c>
      <c r="AG882" s="12">
        <f t="shared" si="125"/>
        <v>0</v>
      </c>
    </row>
    <row r="883" spans="1:33" ht="15" customHeight="1" x14ac:dyDescent="0.25">
      <c r="A883" s="12" t="str">
        <f>IF(Raw_Data!B886="","",Raw_Data!B886)</f>
        <v/>
      </c>
      <c r="B883" s="12">
        <f>IF(Raw_Data!X886&lt;&gt;"",Raw_Data!X886,Raw_Data!C886)</f>
        <v>0</v>
      </c>
      <c r="C883" s="12" t="str">
        <f>IF(Raw_Data!G886="","",Raw_Data!G886)</f>
        <v/>
      </c>
      <c r="D883" s="12" t="str">
        <f>IF(Raw_Data!H886="","",Raw_Data!H886)</f>
        <v/>
      </c>
      <c r="E883" s="12" t="str">
        <f>IF(Raw_Data!I886="","",Raw_Data!I886)</f>
        <v/>
      </c>
      <c r="F883" s="12" t="str">
        <f>IF(Raw_Data!J886="","",Raw_Data!J886)</f>
        <v/>
      </c>
      <c r="G883" s="12" t="str">
        <f>IF(Raw_Data!AH886&lt;&gt;"",Raw_Data!AH886,IF(Raw_Data!K886&lt;&gt;"",Raw_Data!K886,""))</f>
        <v/>
      </c>
      <c r="H883" s="12" t="str">
        <f>IF(Raw_Data!AI886&lt;&gt;"",Raw_Data!AI886,IF(Raw_Data!L886&lt;&gt;"",Raw_Data!L886,""))</f>
        <v/>
      </c>
      <c r="I883" s="12" t="str">
        <f t="shared" si="117"/>
        <v/>
      </c>
      <c r="J883" s="12" t="str">
        <f>IF(Raw_Data!M886="","",Raw_Data!M886)</f>
        <v/>
      </c>
      <c r="K883" s="12">
        <f>IF(Raw_Data!AJ886&lt;&gt;"",Raw_Data!AJ886,Raw_Data!N886)</f>
        <v>0</v>
      </c>
      <c r="L883" s="12">
        <f t="shared" si="118"/>
        <v>1</v>
      </c>
      <c r="M883" s="12" t="str">
        <f>IF(Raw_Data!AK886="","",Raw_Data!AK886)</f>
        <v/>
      </c>
      <c r="N883" s="12" t="str">
        <f>IF(Raw_Data!T886="","",Raw_Data!T886)</f>
        <v/>
      </c>
      <c r="O883" s="12" t="str">
        <f>IF(Raw_Data!AB886&lt;&gt;"",Raw_Data!AB886,IF(N883="tres_insatisfait",1,IF(N883="insatisfait",2,IF(N883="neutre",3,IF(N883="satisfait",4,IF(N883="tres_satisfait",5,""))))))</f>
        <v/>
      </c>
      <c r="P883" s="12">
        <f>IF(Raw_Data!AL886&lt;&gt;"",Raw_Data!AL886,Raw_Data!R886)</f>
        <v>0</v>
      </c>
      <c r="Q883" s="12">
        <f t="shared" si="119"/>
        <v>0</v>
      </c>
      <c r="R883" s="12" t="str">
        <f>IF(Raw_Data!AM886="","",Raw_Data!AM886)</f>
        <v/>
      </c>
      <c r="S883" s="12" t="str">
        <f t="shared" si="120"/>
        <v/>
      </c>
      <c r="T883" s="12" t="str">
        <f>IF(Raw_Data!AN886="","",Raw_Data!AN886)</f>
        <v/>
      </c>
      <c r="U883" s="12" t="str">
        <f t="shared" si="121"/>
        <v/>
      </c>
      <c r="V883" s="12" t="str">
        <f>IF(Raw_Data!AP886="","",IF(Raw_Data!AP886="oui",1,0))</f>
        <v/>
      </c>
      <c r="W883" s="12" t="str">
        <f>IF(Raw_Data!AQ886="","",IF(Raw_Data!AQ886="oui",1,0))</f>
        <v/>
      </c>
      <c r="X883" s="12" t="str">
        <f>IF(Raw_Data!AR886="","",IF(Raw_Data!AR886="oui",1,0))</f>
        <v/>
      </c>
      <c r="Y883" s="12" t="str">
        <f>IF(Raw_Data!AS886="","",IF(Raw_Data!AS886="oui",1,0))</f>
        <v/>
      </c>
      <c r="Z883" s="12" t="str">
        <f>IF(Raw_Data!V886="","",IF(Raw_Data!V886="oui",1,0))</f>
        <v/>
      </c>
      <c r="AA883" s="12" t="str">
        <f>IF(Raw_Data!W886="","",IF(Raw_Data!W886="oui",1,0))</f>
        <v/>
      </c>
      <c r="AB883" s="12" t="str">
        <f>IF(Raw_Data!Q886="","",IF(Raw_Data!Q886="oui",1,0))</f>
        <v/>
      </c>
      <c r="AC883" s="12">
        <f>Raw_Data!AF886</f>
        <v>0</v>
      </c>
      <c r="AD883" s="12" t="str">
        <f t="shared" si="122"/>
        <v/>
      </c>
      <c r="AE883" s="12" t="str">
        <f t="shared" si="123"/>
        <v/>
      </c>
      <c r="AF883" s="12" t="str">
        <f t="shared" si="124"/>
        <v/>
      </c>
      <c r="AG883" s="12">
        <f t="shared" si="125"/>
        <v>0</v>
      </c>
    </row>
    <row r="884" spans="1:33" ht="15" customHeight="1" x14ac:dyDescent="0.25">
      <c r="A884" s="12" t="str">
        <f>IF(Raw_Data!B887="","",Raw_Data!B887)</f>
        <v/>
      </c>
      <c r="B884" s="12">
        <f>IF(Raw_Data!X887&lt;&gt;"",Raw_Data!X887,Raw_Data!C887)</f>
        <v>0</v>
      </c>
      <c r="C884" s="12" t="str">
        <f>IF(Raw_Data!G887="","",Raw_Data!G887)</f>
        <v/>
      </c>
      <c r="D884" s="12" t="str">
        <f>IF(Raw_Data!H887="","",Raw_Data!H887)</f>
        <v/>
      </c>
      <c r="E884" s="12" t="str">
        <f>IF(Raw_Data!I887="","",Raw_Data!I887)</f>
        <v/>
      </c>
      <c r="F884" s="12" t="str">
        <f>IF(Raw_Data!J887="","",Raw_Data!J887)</f>
        <v/>
      </c>
      <c r="G884" s="12" t="str">
        <f>IF(Raw_Data!AH887&lt;&gt;"",Raw_Data!AH887,IF(Raw_Data!K887&lt;&gt;"",Raw_Data!K887,""))</f>
        <v/>
      </c>
      <c r="H884" s="12" t="str">
        <f>IF(Raw_Data!AI887&lt;&gt;"",Raw_Data!AI887,IF(Raw_Data!L887&lt;&gt;"",Raw_Data!L887,""))</f>
        <v/>
      </c>
      <c r="I884" s="12" t="str">
        <f t="shared" si="117"/>
        <v/>
      </c>
      <c r="J884" s="12" t="str">
        <f>IF(Raw_Data!M887="","",Raw_Data!M887)</f>
        <v/>
      </c>
      <c r="K884" s="12">
        <f>IF(Raw_Data!AJ887&lt;&gt;"",Raw_Data!AJ887,Raw_Data!N887)</f>
        <v>0</v>
      </c>
      <c r="L884" s="12">
        <f t="shared" si="118"/>
        <v>1</v>
      </c>
      <c r="M884" s="12" t="str">
        <f>IF(Raw_Data!AK887="","",Raw_Data!AK887)</f>
        <v/>
      </c>
      <c r="N884" s="12" t="str">
        <f>IF(Raw_Data!T887="","",Raw_Data!T887)</f>
        <v/>
      </c>
      <c r="O884" s="12" t="str">
        <f>IF(Raw_Data!AB887&lt;&gt;"",Raw_Data!AB887,IF(N884="tres_insatisfait",1,IF(N884="insatisfait",2,IF(N884="neutre",3,IF(N884="satisfait",4,IF(N884="tres_satisfait",5,""))))))</f>
        <v/>
      </c>
      <c r="P884" s="12">
        <f>IF(Raw_Data!AL887&lt;&gt;"",Raw_Data!AL887,Raw_Data!R887)</f>
        <v>0</v>
      </c>
      <c r="Q884" s="12">
        <f t="shared" si="119"/>
        <v>0</v>
      </c>
      <c r="R884" s="12" t="str">
        <f>IF(Raw_Data!AM887="","",Raw_Data!AM887)</f>
        <v/>
      </c>
      <c r="S884" s="12" t="str">
        <f t="shared" si="120"/>
        <v/>
      </c>
      <c r="T884" s="12" t="str">
        <f>IF(Raw_Data!AN887="","",Raw_Data!AN887)</f>
        <v/>
      </c>
      <c r="U884" s="12" t="str">
        <f t="shared" si="121"/>
        <v/>
      </c>
      <c r="V884" s="12" t="str">
        <f>IF(Raw_Data!AP887="","",IF(Raw_Data!AP887="oui",1,0))</f>
        <v/>
      </c>
      <c r="W884" s="12" t="str">
        <f>IF(Raw_Data!AQ887="","",IF(Raw_Data!AQ887="oui",1,0))</f>
        <v/>
      </c>
      <c r="X884" s="12" t="str">
        <f>IF(Raw_Data!AR887="","",IF(Raw_Data!AR887="oui",1,0))</f>
        <v/>
      </c>
      <c r="Y884" s="12" t="str">
        <f>IF(Raw_Data!AS887="","",IF(Raw_Data!AS887="oui",1,0))</f>
        <v/>
      </c>
      <c r="Z884" s="12" t="str">
        <f>IF(Raw_Data!V887="","",IF(Raw_Data!V887="oui",1,0))</f>
        <v/>
      </c>
      <c r="AA884" s="12" t="str">
        <f>IF(Raw_Data!W887="","",IF(Raw_Data!W887="oui",1,0))</f>
        <v/>
      </c>
      <c r="AB884" s="12" t="str">
        <f>IF(Raw_Data!Q887="","",IF(Raw_Data!Q887="oui",1,0))</f>
        <v/>
      </c>
      <c r="AC884" s="12">
        <f>Raw_Data!AF887</f>
        <v>0</v>
      </c>
      <c r="AD884" s="12" t="str">
        <f t="shared" si="122"/>
        <v/>
      </c>
      <c r="AE884" s="12" t="str">
        <f t="shared" si="123"/>
        <v/>
      </c>
      <c r="AF884" s="12" t="str">
        <f t="shared" si="124"/>
        <v/>
      </c>
      <c r="AG884" s="12">
        <f t="shared" si="125"/>
        <v>0</v>
      </c>
    </row>
    <row r="885" spans="1:33" ht="15" customHeight="1" x14ac:dyDescent="0.25">
      <c r="A885" s="12" t="str">
        <f>IF(Raw_Data!B888="","",Raw_Data!B888)</f>
        <v/>
      </c>
      <c r="B885" s="12">
        <f>IF(Raw_Data!X888&lt;&gt;"",Raw_Data!X888,Raw_Data!C888)</f>
        <v>0</v>
      </c>
      <c r="C885" s="12" t="str">
        <f>IF(Raw_Data!G888="","",Raw_Data!G888)</f>
        <v/>
      </c>
      <c r="D885" s="12" t="str">
        <f>IF(Raw_Data!H888="","",Raw_Data!H888)</f>
        <v/>
      </c>
      <c r="E885" s="12" t="str">
        <f>IF(Raw_Data!I888="","",Raw_Data!I888)</f>
        <v/>
      </c>
      <c r="F885" s="12" t="str">
        <f>IF(Raw_Data!J888="","",Raw_Data!J888)</f>
        <v/>
      </c>
      <c r="G885" s="12" t="str">
        <f>IF(Raw_Data!AH888&lt;&gt;"",Raw_Data!AH888,IF(Raw_Data!K888&lt;&gt;"",Raw_Data!K888,""))</f>
        <v/>
      </c>
      <c r="H885" s="12" t="str">
        <f>IF(Raw_Data!AI888&lt;&gt;"",Raw_Data!AI888,IF(Raw_Data!L888&lt;&gt;"",Raw_Data!L888,""))</f>
        <v/>
      </c>
      <c r="I885" s="12" t="str">
        <f t="shared" si="117"/>
        <v/>
      </c>
      <c r="J885" s="12" t="str">
        <f>IF(Raw_Data!M888="","",Raw_Data!M888)</f>
        <v/>
      </c>
      <c r="K885" s="12">
        <f>IF(Raw_Data!AJ888&lt;&gt;"",Raw_Data!AJ888,Raw_Data!N888)</f>
        <v>0</v>
      </c>
      <c r="L885" s="12">
        <f t="shared" si="118"/>
        <v>1</v>
      </c>
      <c r="M885" s="12" t="str">
        <f>IF(Raw_Data!AK888="","",Raw_Data!AK888)</f>
        <v/>
      </c>
      <c r="N885" s="12" t="str">
        <f>IF(Raw_Data!T888="","",Raw_Data!T888)</f>
        <v/>
      </c>
      <c r="O885" s="12" t="str">
        <f>IF(Raw_Data!AB888&lt;&gt;"",Raw_Data!AB888,IF(N885="tres_insatisfait",1,IF(N885="insatisfait",2,IF(N885="neutre",3,IF(N885="satisfait",4,IF(N885="tres_satisfait",5,""))))))</f>
        <v/>
      </c>
      <c r="P885" s="12">
        <f>IF(Raw_Data!AL888&lt;&gt;"",Raw_Data!AL888,Raw_Data!R888)</f>
        <v>0</v>
      </c>
      <c r="Q885" s="12">
        <f t="shared" si="119"/>
        <v>0</v>
      </c>
      <c r="R885" s="12" t="str">
        <f>IF(Raw_Data!AM888="","",Raw_Data!AM888)</f>
        <v/>
      </c>
      <c r="S885" s="12" t="str">
        <f t="shared" si="120"/>
        <v/>
      </c>
      <c r="T885" s="12" t="str">
        <f>IF(Raw_Data!AN888="","",Raw_Data!AN888)</f>
        <v/>
      </c>
      <c r="U885" s="12" t="str">
        <f t="shared" si="121"/>
        <v/>
      </c>
      <c r="V885" s="12" t="str">
        <f>IF(Raw_Data!AP888="","",IF(Raw_Data!AP888="oui",1,0))</f>
        <v/>
      </c>
      <c r="W885" s="12" t="str">
        <f>IF(Raw_Data!AQ888="","",IF(Raw_Data!AQ888="oui",1,0))</f>
        <v/>
      </c>
      <c r="X885" s="12" t="str">
        <f>IF(Raw_Data!AR888="","",IF(Raw_Data!AR888="oui",1,0))</f>
        <v/>
      </c>
      <c r="Y885" s="12" t="str">
        <f>IF(Raw_Data!AS888="","",IF(Raw_Data!AS888="oui",1,0))</f>
        <v/>
      </c>
      <c r="Z885" s="12" t="str">
        <f>IF(Raw_Data!V888="","",IF(Raw_Data!V888="oui",1,0))</f>
        <v/>
      </c>
      <c r="AA885" s="12" t="str">
        <f>IF(Raw_Data!W888="","",IF(Raw_Data!W888="oui",1,0))</f>
        <v/>
      </c>
      <c r="AB885" s="12" t="str">
        <f>IF(Raw_Data!Q888="","",IF(Raw_Data!Q888="oui",1,0))</f>
        <v/>
      </c>
      <c r="AC885" s="12">
        <f>Raw_Data!AF888</f>
        <v>0</v>
      </c>
      <c r="AD885" s="12" t="str">
        <f t="shared" si="122"/>
        <v/>
      </c>
      <c r="AE885" s="12" t="str">
        <f t="shared" si="123"/>
        <v/>
      </c>
      <c r="AF885" s="12" t="str">
        <f t="shared" si="124"/>
        <v/>
      </c>
      <c r="AG885" s="12">
        <f t="shared" si="125"/>
        <v>0</v>
      </c>
    </row>
    <row r="886" spans="1:33" ht="15" customHeight="1" x14ac:dyDescent="0.25">
      <c r="A886" s="12" t="str">
        <f>IF(Raw_Data!B889="","",Raw_Data!B889)</f>
        <v/>
      </c>
      <c r="B886" s="12">
        <f>IF(Raw_Data!X889&lt;&gt;"",Raw_Data!X889,Raw_Data!C889)</f>
        <v>0</v>
      </c>
      <c r="C886" s="12" t="str">
        <f>IF(Raw_Data!G889="","",Raw_Data!G889)</f>
        <v/>
      </c>
      <c r="D886" s="12" t="str">
        <f>IF(Raw_Data!H889="","",Raw_Data!H889)</f>
        <v/>
      </c>
      <c r="E886" s="12" t="str">
        <f>IF(Raw_Data!I889="","",Raw_Data!I889)</f>
        <v/>
      </c>
      <c r="F886" s="12" t="str">
        <f>IF(Raw_Data!J889="","",Raw_Data!J889)</f>
        <v/>
      </c>
      <c r="G886" s="12" t="str">
        <f>IF(Raw_Data!AH889&lt;&gt;"",Raw_Data!AH889,IF(Raw_Data!K889&lt;&gt;"",Raw_Data!K889,""))</f>
        <v/>
      </c>
      <c r="H886" s="12" t="str">
        <f>IF(Raw_Data!AI889&lt;&gt;"",Raw_Data!AI889,IF(Raw_Data!L889&lt;&gt;"",Raw_Data!L889,""))</f>
        <v/>
      </c>
      <c r="I886" s="12" t="str">
        <f t="shared" si="117"/>
        <v/>
      </c>
      <c r="J886" s="12" t="str">
        <f>IF(Raw_Data!M889="","",Raw_Data!M889)</f>
        <v/>
      </c>
      <c r="K886" s="12">
        <f>IF(Raw_Data!AJ889&lt;&gt;"",Raw_Data!AJ889,Raw_Data!N889)</f>
        <v>0</v>
      </c>
      <c r="L886" s="12">
        <f t="shared" si="118"/>
        <v>1</v>
      </c>
      <c r="M886" s="12" t="str">
        <f>IF(Raw_Data!AK889="","",Raw_Data!AK889)</f>
        <v/>
      </c>
      <c r="N886" s="12" t="str">
        <f>IF(Raw_Data!T889="","",Raw_Data!T889)</f>
        <v/>
      </c>
      <c r="O886" s="12" t="str">
        <f>IF(Raw_Data!AB889&lt;&gt;"",Raw_Data!AB889,IF(N886="tres_insatisfait",1,IF(N886="insatisfait",2,IF(N886="neutre",3,IF(N886="satisfait",4,IF(N886="tres_satisfait",5,""))))))</f>
        <v/>
      </c>
      <c r="P886" s="12">
        <f>IF(Raw_Data!AL889&lt;&gt;"",Raw_Data!AL889,Raw_Data!R889)</f>
        <v>0</v>
      </c>
      <c r="Q886" s="12">
        <f t="shared" si="119"/>
        <v>0</v>
      </c>
      <c r="R886" s="12" t="str">
        <f>IF(Raw_Data!AM889="","",Raw_Data!AM889)</f>
        <v/>
      </c>
      <c r="S886" s="12" t="str">
        <f t="shared" si="120"/>
        <v/>
      </c>
      <c r="T886" s="12" t="str">
        <f>IF(Raw_Data!AN889="","",Raw_Data!AN889)</f>
        <v/>
      </c>
      <c r="U886" s="12" t="str">
        <f t="shared" si="121"/>
        <v/>
      </c>
      <c r="V886" s="12" t="str">
        <f>IF(Raw_Data!AP889="","",IF(Raw_Data!AP889="oui",1,0))</f>
        <v/>
      </c>
      <c r="W886" s="12" t="str">
        <f>IF(Raw_Data!AQ889="","",IF(Raw_Data!AQ889="oui",1,0))</f>
        <v/>
      </c>
      <c r="X886" s="12" t="str">
        <f>IF(Raw_Data!AR889="","",IF(Raw_Data!AR889="oui",1,0))</f>
        <v/>
      </c>
      <c r="Y886" s="12" t="str">
        <f>IF(Raw_Data!AS889="","",IF(Raw_Data!AS889="oui",1,0))</f>
        <v/>
      </c>
      <c r="Z886" s="12" t="str">
        <f>IF(Raw_Data!V889="","",IF(Raw_Data!V889="oui",1,0))</f>
        <v/>
      </c>
      <c r="AA886" s="12" t="str">
        <f>IF(Raw_Data!W889="","",IF(Raw_Data!W889="oui",1,0))</f>
        <v/>
      </c>
      <c r="AB886" s="12" t="str">
        <f>IF(Raw_Data!Q889="","",IF(Raw_Data!Q889="oui",1,0))</f>
        <v/>
      </c>
      <c r="AC886" s="12">
        <f>Raw_Data!AF889</f>
        <v>0</v>
      </c>
      <c r="AD886" s="12" t="str">
        <f t="shared" si="122"/>
        <v/>
      </c>
      <c r="AE886" s="12" t="str">
        <f t="shared" si="123"/>
        <v/>
      </c>
      <c r="AF886" s="12" t="str">
        <f t="shared" si="124"/>
        <v/>
      </c>
      <c r="AG886" s="12">
        <f t="shared" si="125"/>
        <v>0</v>
      </c>
    </row>
    <row r="887" spans="1:33" ht="15" customHeight="1" x14ac:dyDescent="0.25">
      <c r="A887" s="12" t="str">
        <f>IF(Raw_Data!B890="","",Raw_Data!B890)</f>
        <v/>
      </c>
      <c r="B887" s="12">
        <f>IF(Raw_Data!X890&lt;&gt;"",Raw_Data!X890,Raw_Data!C890)</f>
        <v>0</v>
      </c>
      <c r="C887" s="12" t="str">
        <f>IF(Raw_Data!G890="","",Raw_Data!G890)</f>
        <v/>
      </c>
      <c r="D887" s="12" t="str">
        <f>IF(Raw_Data!H890="","",Raw_Data!H890)</f>
        <v/>
      </c>
      <c r="E887" s="12" t="str">
        <f>IF(Raw_Data!I890="","",Raw_Data!I890)</f>
        <v/>
      </c>
      <c r="F887" s="12" t="str">
        <f>IF(Raw_Data!J890="","",Raw_Data!J890)</f>
        <v/>
      </c>
      <c r="G887" s="12" t="str">
        <f>IF(Raw_Data!AH890&lt;&gt;"",Raw_Data!AH890,IF(Raw_Data!K890&lt;&gt;"",Raw_Data!K890,""))</f>
        <v/>
      </c>
      <c r="H887" s="12" t="str">
        <f>IF(Raw_Data!AI890&lt;&gt;"",Raw_Data!AI890,IF(Raw_Data!L890&lt;&gt;"",Raw_Data!L890,""))</f>
        <v/>
      </c>
      <c r="I887" s="12" t="str">
        <f t="shared" si="117"/>
        <v/>
      </c>
      <c r="J887" s="12" t="str">
        <f>IF(Raw_Data!M890="","",Raw_Data!M890)</f>
        <v/>
      </c>
      <c r="K887" s="12">
        <f>IF(Raw_Data!AJ890&lt;&gt;"",Raw_Data!AJ890,Raw_Data!N890)</f>
        <v>0</v>
      </c>
      <c r="L887" s="12">
        <f t="shared" si="118"/>
        <v>1</v>
      </c>
      <c r="M887" s="12" t="str">
        <f>IF(Raw_Data!AK890="","",Raw_Data!AK890)</f>
        <v/>
      </c>
      <c r="N887" s="12" t="str">
        <f>IF(Raw_Data!T890="","",Raw_Data!T890)</f>
        <v/>
      </c>
      <c r="O887" s="12" t="str">
        <f>IF(Raw_Data!AB890&lt;&gt;"",Raw_Data!AB890,IF(N887="tres_insatisfait",1,IF(N887="insatisfait",2,IF(N887="neutre",3,IF(N887="satisfait",4,IF(N887="tres_satisfait",5,""))))))</f>
        <v/>
      </c>
      <c r="P887" s="12">
        <f>IF(Raw_Data!AL890&lt;&gt;"",Raw_Data!AL890,Raw_Data!R890)</f>
        <v>0</v>
      </c>
      <c r="Q887" s="12">
        <f t="shared" si="119"/>
        <v>0</v>
      </c>
      <c r="R887" s="12" t="str">
        <f>IF(Raw_Data!AM890="","",Raw_Data!AM890)</f>
        <v/>
      </c>
      <c r="S887" s="12" t="str">
        <f t="shared" si="120"/>
        <v/>
      </c>
      <c r="T887" s="12" t="str">
        <f>IF(Raw_Data!AN890="","",Raw_Data!AN890)</f>
        <v/>
      </c>
      <c r="U887" s="12" t="str">
        <f t="shared" si="121"/>
        <v/>
      </c>
      <c r="V887" s="12" t="str">
        <f>IF(Raw_Data!AP890="","",IF(Raw_Data!AP890="oui",1,0))</f>
        <v/>
      </c>
      <c r="W887" s="12" t="str">
        <f>IF(Raw_Data!AQ890="","",IF(Raw_Data!AQ890="oui",1,0))</f>
        <v/>
      </c>
      <c r="X887" s="12" t="str">
        <f>IF(Raw_Data!AR890="","",IF(Raw_Data!AR890="oui",1,0))</f>
        <v/>
      </c>
      <c r="Y887" s="12" t="str">
        <f>IF(Raw_Data!AS890="","",IF(Raw_Data!AS890="oui",1,0))</f>
        <v/>
      </c>
      <c r="Z887" s="12" t="str">
        <f>IF(Raw_Data!V890="","",IF(Raw_Data!V890="oui",1,0))</f>
        <v/>
      </c>
      <c r="AA887" s="12" t="str">
        <f>IF(Raw_Data!W890="","",IF(Raw_Data!W890="oui",1,0))</f>
        <v/>
      </c>
      <c r="AB887" s="12" t="str">
        <f>IF(Raw_Data!Q890="","",IF(Raw_Data!Q890="oui",1,0))</f>
        <v/>
      </c>
      <c r="AC887" s="12">
        <f>Raw_Data!AF890</f>
        <v>0</v>
      </c>
      <c r="AD887" s="12" t="str">
        <f t="shared" si="122"/>
        <v/>
      </c>
      <c r="AE887" s="12" t="str">
        <f t="shared" si="123"/>
        <v/>
      </c>
      <c r="AF887" s="12" t="str">
        <f t="shared" si="124"/>
        <v/>
      </c>
      <c r="AG887" s="12">
        <f t="shared" si="125"/>
        <v>0</v>
      </c>
    </row>
    <row r="888" spans="1:33" ht="15" customHeight="1" x14ac:dyDescent="0.25">
      <c r="A888" s="12" t="str">
        <f>IF(Raw_Data!B891="","",Raw_Data!B891)</f>
        <v/>
      </c>
      <c r="B888" s="12">
        <f>IF(Raw_Data!X891&lt;&gt;"",Raw_Data!X891,Raw_Data!C891)</f>
        <v>0</v>
      </c>
      <c r="C888" s="12" t="str">
        <f>IF(Raw_Data!G891="","",Raw_Data!G891)</f>
        <v/>
      </c>
      <c r="D888" s="12" t="str">
        <f>IF(Raw_Data!H891="","",Raw_Data!H891)</f>
        <v/>
      </c>
      <c r="E888" s="12" t="str">
        <f>IF(Raw_Data!I891="","",Raw_Data!I891)</f>
        <v/>
      </c>
      <c r="F888" s="12" t="str">
        <f>IF(Raw_Data!J891="","",Raw_Data!J891)</f>
        <v/>
      </c>
      <c r="G888" s="12" t="str">
        <f>IF(Raw_Data!AH891&lt;&gt;"",Raw_Data!AH891,IF(Raw_Data!K891&lt;&gt;"",Raw_Data!K891,""))</f>
        <v/>
      </c>
      <c r="H888" s="12" t="str">
        <f>IF(Raw_Data!AI891&lt;&gt;"",Raw_Data!AI891,IF(Raw_Data!L891&lt;&gt;"",Raw_Data!L891,""))</f>
        <v/>
      </c>
      <c r="I888" s="12" t="str">
        <f t="shared" si="117"/>
        <v/>
      </c>
      <c r="J888" s="12" t="str">
        <f>IF(Raw_Data!M891="","",Raw_Data!M891)</f>
        <v/>
      </c>
      <c r="K888" s="12">
        <f>IF(Raw_Data!AJ891&lt;&gt;"",Raw_Data!AJ891,Raw_Data!N891)</f>
        <v>0</v>
      </c>
      <c r="L888" s="12">
        <f t="shared" si="118"/>
        <v>1</v>
      </c>
      <c r="M888" s="12" t="str">
        <f>IF(Raw_Data!AK891="","",Raw_Data!AK891)</f>
        <v/>
      </c>
      <c r="N888" s="12" t="str">
        <f>IF(Raw_Data!T891="","",Raw_Data!T891)</f>
        <v/>
      </c>
      <c r="O888" s="12" t="str">
        <f>IF(Raw_Data!AB891&lt;&gt;"",Raw_Data!AB891,IF(N888="tres_insatisfait",1,IF(N888="insatisfait",2,IF(N888="neutre",3,IF(N888="satisfait",4,IF(N888="tres_satisfait",5,""))))))</f>
        <v/>
      </c>
      <c r="P888" s="12">
        <f>IF(Raw_Data!AL891&lt;&gt;"",Raw_Data!AL891,Raw_Data!R891)</f>
        <v>0</v>
      </c>
      <c r="Q888" s="12">
        <f t="shared" si="119"/>
        <v>0</v>
      </c>
      <c r="R888" s="12" t="str">
        <f>IF(Raw_Data!AM891="","",Raw_Data!AM891)</f>
        <v/>
      </c>
      <c r="S888" s="12" t="str">
        <f t="shared" si="120"/>
        <v/>
      </c>
      <c r="T888" s="12" t="str">
        <f>IF(Raw_Data!AN891="","",Raw_Data!AN891)</f>
        <v/>
      </c>
      <c r="U888" s="12" t="str">
        <f t="shared" si="121"/>
        <v/>
      </c>
      <c r="V888" s="12" t="str">
        <f>IF(Raw_Data!AP891="","",IF(Raw_Data!AP891="oui",1,0))</f>
        <v/>
      </c>
      <c r="W888" s="12" t="str">
        <f>IF(Raw_Data!AQ891="","",IF(Raw_Data!AQ891="oui",1,0))</f>
        <v/>
      </c>
      <c r="X888" s="12" t="str">
        <f>IF(Raw_Data!AR891="","",IF(Raw_Data!AR891="oui",1,0))</f>
        <v/>
      </c>
      <c r="Y888" s="12" t="str">
        <f>IF(Raw_Data!AS891="","",IF(Raw_Data!AS891="oui",1,0))</f>
        <v/>
      </c>
      <c r="Z888" s="12" t="str">
        <f>IF(Raw_Data!V891="","",IF(Raw_Data!V891="oui",1,0))</f>
        <v/>
      </c>
      <c r="AA888" s="12" t="str">
        <f>IF(Raw_Data!W891="","",IF(Raw_Data!W891="oui",1,0))</f>
        <v/>
      </c>
      <c r="AB888" s="12" t="str">
        <f>IF(Raw_Data!Q891="","",IF(Raw_Data!Q891="oui",1,0))</f>
        <v/>
      </c>
      <c r="AC888" s="12">
        <f>Raw_Data!AF891</f>
        <v>0</v>
      </c>
      <c r="AD888" s="12" t="str">
        <f t="shared" si="122"/>
        <v/>
      </c>
      <c r="AE888" s="12" t="str">
        <f t="shared" si="123"/>
        <v/>
      </c>
      <c r="AF888" s="12" t="str">
        <f t="shared" si="124"/>
        <v/>
      </c>
      <c r="AG888" s="12">
        <f t="shared" si="125"/>
        <v>0</v>
      </c>
    </row>
    <row r="889" spans="1:33" ht="15" customHeight="1" x14ac:dyDescent="0.25">
      <c r="A889" s="12" t="str">
        <f>IF(Raw_Data!B892="","",Raw_Data!B892)</f>
        <v/>
      </c>
      <c r="B889" s="12">
        <f>IF(Raw_Data!X892&lt;&gt;"",Raw_Data!X892,Raw_Data!C892)</f>
        <v>0</v>
      </c>
      <c r="C889" s="12" t="str">
        <f>IF(Raw_Data!G892="","",Raw_Data!G892)</f>
        <v/>
      </c>
      <c r="D889" s="12" t="str">
        <f>IF(Raw_Data!H892="","",Raw_Data!H892)</f>
        <v/>
      </c>
      <c r="E889" s="12" t="str">
        <f>IF(Raw_Data!I892="","",Raw_Data!I892)</f>
        <v/>
      </c>
      <c r="F889" s="12" t="str">
        <f>IF(Raw_Data!J892="","",Raw_Data!J892)</f>
        <v/>
      </c>
      <c r="G889" s="12" t="str">
        <f>IF(Raw_Data!AH892&lt;&gt;"",Raw_Data!AH892,IF(Raw_Data!K892&lt;&gt;"",Raw_Data!K892,""))</f>
        <v/>
      </c>
      <c r="H889" s="12" t="str">
        <f>IF(Raw_Data!AI892&lt;&gt;"",Raw_Data!AI892,IF(Raw_Data!L892&lt;&gt;"",Raw_Data!L892,""))</f>
        <v/>
      </c>
      <c r="I889" s="12" t="str">
        <f t="shared" si="117"/>
        <v/>
      </c>
      <c r="J889" s="12" t="str">
        <f>IF(Raw_Data!M892="","",Raw_Data!M892)</f>
        <v/>
      </c>
      <c r="K889" s="12">
        <f>IF(Raw_Data!AJ892&lt;&gt;"",Raw_Data!AJ892,Raw_Data!N892)</f>
        <v>0</v>
      </c>
      <c r="L889" s="12">
        <f t="shared" si="118"/>
        <v>1</v>
      </c>
      <c r="M889" s="12" t="str">
        <f>IF(Raw_Data!AK892="","",Raw_Data!AK892)</f>
        <v/>
      </c>
      <c r="N889" s="12" t="str">
        <f>IF(Raw_Data!T892="","",Raw_Data!T892)</f>
        <v/>
      </c>
      <c r="O889" s="12" t="str">
        <f>IF(Raw_Data!AB892&lt;&gt;"",Raw_Data!AB892,IF(N889="tres_insatisfait",1,IF(N889="insatisfait",2,IF(N889="neutre",3,IF(N889="satisfait",4,IF(N889="tres_satisfait",5,""))))))</f>
        <v/>
      </c>
      <c r="P889" s="12">
        <f>IF(Raw_Data!AL892&lt;&gt;"",Raw_Data!AL892,Raw_Data!R892)</f>
        <v>0</v>
      </c>
      <c r="Q889" s="12">
        <f t="shared" si="119"/>
        <v>0</v>
      </c>
      <c r="R889" s="12" t="str">
        <f>IF(Raw_Data!AM892="","",Raw_Data!AM892)</f>
        <v/>
      </c>
      <c r="S889" s="12" t="str">
        <f t="shared" si="120"/>
        <v/>
      </c>
      <c r="T889" s="12" t="str">
        <f>IF(Raw_Data!AN892="","",Raw_Data!AN892)</f>
        <v/>
      </c>
      <c r="U889" s="12" t="str">
        <f t="shared" si="121"/>
        <v/>
      </c>
      <c r="V889" s="12" t="str">
        <f>IF(Raw_Data!AP892="","",IF(Raw_Data!AP892="oui",1,0))</f>
        <v/>
      </c>
      <c r="W889" s="12" t="str">
        <f>IF(Raw_Data!AQ892="","",IF(Raw_Data!AQ892="oui",1,0))</f>
        <v/>
      </c>
      <c r="X889" s="12" t="str">
        <f>IF(Raw_Data!AR892="","",IF(Raw_Data!AR892="oui",1,0))</f>
        <v/>
      </c>
      <c r="Y889" s="12" t="str">
        <f>IF(Raw_Data!AS892="","",IF(Raw_Data!AS892="oui",1,0))</f>
        <v/>
      </c>
      <c r="Z889" s="12" t="str">
        <f>IF(Raw_Data!V892="","",IF(Raw_Data!V892="oui",1,0))</f>
        <v/>
      </c>
      <c r="AA889" s="12" t="str">
        <f>IF(Raw_Data!W892="","",IF(Raw_Data!W892="oui",1,0))</f>
        <v/>
      </c>
      <c r="AB889" s="12" t="str">
        <f>IF(Raw_Data!Q892="","",IF(Raw_Data!Q892="oui",1,0))</f>
        <v/>
      </c>
      <c r="AC889" s="12">
        <f>Raw_Data!AF892</f>
        <v>0</v>
      </c>
      <c r="AD889" s="12" t="str">
        <f t="shared" si="122"/>
        <v/>
      </c>
      <c r="AE889" s="12" t="str">
        <f t="shared" si="123"/>
        <v/>
      </c>
      <c r="AF889" s="12" t="str">
        <f t="shared" si="124"/>
        <v/>
      </c>
      <c r="AG889" s="12">
        <f t="shared" si="125"/>
        <v>0</v>
      </c>
    </row>
    <row r="890" spans="1:33" ht="15" customHeight="1" x14ac:dyDescent="0.25">
      <c r="A890" s="12" t="str">
        <f>IF(Raw_Data!B893="","",Raw_Data!B893)</f>
        <v/>
      </c>
      <c r="B890" s="12">
        <f>IF(Raw_Data!X893&lt;&gt;"",Raw_Data!X893,Raw_Data!C893)</f>
        <v>0</v>
      </c>
      <c r="C890" s="12" t="str">
        <f>IF(Raw_Data!G893="","",Raw_Data!G893)</f>
        <v/>
      </c>
      <c r="D890" s="12" t="str">
        <f>IF(Raw_Data!H893="","",Raw_Data!H893)</f>
        <v/>
      </c>
      <c r="E890" s="12" t="str">
        <f>IF(Raw_Data!I893="","",Raw_Data!I893)</f>
        <v/>
      </c>
      <c r="F890" s="12" t="str">
        <f>IF(Raw_Data!J893="","",Raw_Data!J893)</f>
        <v/>
      </c>
      <c r="G890" s="12" t="str">
        <f>IF(Raw_Data!AH893&lt;&gt;"",Raw_Data!AH893,IF(Raw_Data!K893&lt;&gt;"",Raw_Data!K893,""))</f>
        <v/>
      </c>
      <c r="H890" s="12" t="str">
        <f>IF(Raw_Data!AI893&lt;&gt;"",Raw_Data!AI893,IF(Raw_Data!L893&lt;&gt;"",Raw_Data!L893,""))</f>
        <v/>
      </c>
      <c r="I890" s="12" t="str">
        <f t="shared" si="117"/>
        <v/>
      </c>
      <c r="J890" s="12" t="str">
        <f>IF(Raw_Data!M893="","",Raw_Data!M893)</f>
        <v/>
      </c>
      <c r="K890" s="12">
        <f>IF(Raw_Data!AJ893&lt;&gt;"",Raw_Data!AJ893,Raw_Data!N893)</f>
        <v>0</v>
      </c>
      <c r="L890" s="12">
        <f t="shared" si="118"/>
        <v>1</v>
      </c>
      <c r="M890" s="12" t="str">
        <f>IF(Raw_Data!AK893="","",Raw_Data!AK893)</f>
        <v/>
      </c>
      <c r="N890" s="12" t="str">
        <f>IF(Raw_Data!T893="","",Raw_Data!T893)</f>
        <v/>
      </c>
      <c r="O890" s="12" t="str">
        <f>IF(Raw_Data!AB893&lt;&gt;"",Raw_Data!AB893,IF(N890="tres_insatisfait",1,IF(N890="insatisfait",2,IF(N890="neutre",3,IF(N890="satisfait",4,IF(N890="tres_satisfait",5,""))))))</f>
        <v/>
      </c>
      <c r="P890" s="12">
        <f>IF(Raw_Data!AL893&lt;&gt;"",Raw_Data!AL893,Raw_Data!R893)</f>
        <v>0</v>
      </c>
      <c r="Q890" s="12">
        <f t="shared" si="119"/>
        <v>0</v>
      </c>
      <c r="R890" s="12" t="str">
        <f>IF(Raw_Data!AM893="","",Raw_Data!AM893)</f>
        <v/>
      </c>
      <c r="S890" s="12" t="str">
        <f t="shared" si="120"/>
        <v/>
      </c>
      <c r="T890" s="12" t="str">
        <f>IF(Raw_Data!AN893="","",Raw_Data!AN893)</f>
        <v/>
      </c>
      <c r="U890" s="12" t="str">
        <f t="shared" si="121"/>
        <v/>
      </c>
      <c r="V890" s="12" t="str">
        <f>IF(Raw_Data!AP893="","",IF(Raw_Data!AP893="oui",1,0))</f>
        <v/>
      </c>
      <c r="W890" s="12" t="str">
        <f>IF(Raw_Data!AQ893="","",IF(Raw_Data!AQ893="oui",1,0))</f>
        <v/>
      </c>
      <c r="X890" s="12" t="str">
        <f>IF(Raw_Data!AR893="","",IF(Raw_Data!AR893="oui",1,0))</f>
        <v/>
      </c>
      <c r="Y890" s="12" t="str">
        <f>IF(Raw_Data!AS893="","",IF(Raw_Data!AS893="oui",1,0))</f>
        <v/>
      </c>
      <c r="Z890" s="12" t="str">
        <f>IF(Raw_Data!V893="","",IF(Raw_Data!V893="oui",1,0))</f>
        <v/>
      </c>
      <c r="AA890" s="12" t="str">
        <f>IF(Raw_Data!W893="","",IF(Raw_Data!W893="oui",1,0))</f>
        <v/>
      </c>
      <c r="AB890" s="12" t="str">
        <f>IF(Raw_Data!Q893="","",IF(Raw_Data!Q893="oui",1,0))</f>
        <v/>
      </c>
      <c r="AC890" s="12">
        <f>Raw_Data!AF893</f>
        <v>0</v>
      </c>
      <c r="AD890" s="12" t="str">
        <f t="shared" si="122"/>
        <v/>
      </c>
      <c r="AE890" s="12" t="str">
        <f t="shared" si="123"/>
        <v/>
      </c>
      <c r="AF890" s="12" t="str">
        <f t="shared" si="124"/>
        <v/>
      </c>
      <c r="AG890" s="12">
        <f t="shared" si="125"/>
        <v>0</v>
      </c>
    </row>
    <row r="891" spans="1:33" ht="15" customHeight="1" x14ac:dyDescent="0.25">
      <c r="A891" s="12" t="str">
        <f>IF(Raw_Data!B894="","",Raw_Data!B894)</f>
        <v/>
      </c>
      <c r="B891" s="12">
        <f>IF(Raw_Data!X894&lt;&gt;"",Raw_Data!X894,Raw_Data!C894)</f>
        <v>0</v>
      </c>
      <c r="C891" s="12" t="str">
        <f>IF(Raw_Data!G894="","",Raw_Data!G894)</f>
        <v/>
      </c>
      <c r="D891" s="12" t="str">
        <f>IF(Raw_Data!H894="","",Raw_Data!H894)</f>
        <v/>
      </c>
      <c r="E891" s="12" t="str">
        <f>IF(Raw_Data!I894="","",Raw_Data!I894)</f>
        <v/>
      </c>
      <c r="F891" s="12" t="str">
        <f>IF(Raw_Data!J894="","",Raw_Data!J894)</f>
        <v/>
      </c>
      <c r="G891" s="12" t="str">
        <f>IF(Raw_Data!AH894&lt;&gt;"",Raw_Data!AH894,IF(Raw_Data!K894&lt;&gt;"",Raw_Data!K894,""))</f>
        <v/>
      </c>
      <c r="H891" s="12" t="str">
        <f>IF(Raw_Data!AI894&lt;&gt;"",Raw_Data!AI894,IF(Raw_Data!L894&lt;&gt;"",Raw_Data!L894,""))</f>
        <v/>
      </c>
      <c r="I891" s="12" t="str">
        <f t="shared" si="117"/>
        <v/>
      </c>
      <c r="J891" s="12" t="str">
        <f>IF(Raw_Data!M894="","",Raw_Data!M894)</f>
        <v/>
      </c>
      <c r="K891" s="12">
        <f>IF(Raw_Data!AJ894&lt;&gt;"",Raw_Data!AJ894,Raw_Data!N894)</f>
        <v>0</v>
      </c>
      <c r="L891" s="12">
        <f t="shared" si="118"/>
        <v>1</v>
      </c>
      <c r="M891" s="12" t="str">
        <f>IF(Raw_Data!AK894="","",Raw_Data!AK894)</f>
        <v/>
      </c>
      <c r="N891" s="12" t="str">
        <f>IF(Raw_Data!T894="","",Raw_Data!T894)</f>
        <v/>
      </c>
      <c r="O891" s="12" t="str">
        <f>IF(Raw_Data!AB894&lt;&gt;"",Raw_Data!AB894,IF(N891="tres_insatisfait",1,IF(N891="insatisfait",2,IF(N891="neutre",3,IF(N891="satisfait",4,IF(N891="tres_satisfait",5,""))))))</f>
        <v/>
      </c>
      <c r="P891" s="12">
        <f>IF(Raw_Data!AL894&lt;&gt;"",Raw_Data!AL894,Raw_Data!R894)</f>
        <v>0</v>
      </c>
      <c r="Q891" s="12">
        <f t="shared" si="119"/>
        <v>0</v>
      </c>
      <c r="R891" s="12" t="str">
        <f>IF(Raw_Data!AM894="","",Raw_Data!AM894)</f>
        <v/>
      </c>
      <c r="S891" s="12" t="str">
        <f t="shared" si="120"/>
        <v/>
      </c>
      <c r="T891" s="12" t="str">
        <f>IF(Raw_Data!AN894="","",Raw_Data!AN894)</f>
        <v/>
      </c>
      <c r="U891" s="12" t="str">
        <f t="shared" si="121"/>
        <v/>
      </c>
      <c r="V891" s="12" t="str">
        <f>IF(Raw_Data!AP894="","",IF(Raw_Data!AP894="oui",1,0))</f>
        <v/>
      </c>
      <c r="W891" s="12" t="str">
        <f>IF(Raw_Data!AQ894="","",IF(Raw_Data!AQ894="oui",1,0))</f>
        <v/>
      </c>
      <c r="X891" s="12" t="str">
        <f>IF(Raw_Data!AR894="","",IF(Raw_Data!AR894="oui",1,0))</f>
        <v/>
      </c>
      <c r="Y891" s="12" t="str">
        <f>IF(Raw_Data!AS894="","",IF(Raw_Data!AS894="oui",1,0))</f>
        <v/>
      </c>
      <c r="Z891" s="12" t="str">
        <f>IF(Raw_Data!V894="","",IF(Raw_Data!V894="oui",1,0))</f>
        <v/>
      </c>
      <c r="AA891" s="12" t="str">
        <f>IF(Raw_Data!W894="","",IF(Raw_Data!W894="oui",1,0))</f>
        <v/>
      </c>
      <c r="AB891" s="12" t="str">
        <f>IF(Raw_Data!Q894="","",IF(Raw_Data!Q894="oui",1,0))</f>
        <v/>
      </c>
      <c r="AC891" s="12">
        <f>Raw_Data!AF894</f>
        <v>0</v>
      </c>
      <c r="AD891" s="12" t="str">
        <f t="shared" si="122"/>
        <v/>
      </c>
      <c r="AE891" s="12" t="str">
        <f t="shared" si="123"/>
        <v/>
      </c>
      <c r="AF891" s="12" t="str">
        <f t="shared" si="124"/>
        <v/>
      </c>
      <c r="AG891" s="12">
        <f t="shared" si="125"/>
        <v>0</v>
      </c>
    </row>
    <row r="892" spans="1:33" ht="15" customHeight="1" x14ac:dyDescent="0.25">
      <c r="A892" s="12" t="str">
        <f>IF(Raw_Data!B895="","",Raw_Data!B895)</f>
        <v/>
      </c>
      <c r="B892" s="12">
        <f>IF(Raw_Data!X895&lt;&gt;"",Raw_Data!X895,Raw_Data!C895)</f>
        <v>0</v>
      </c>
      <c r="C892" s="12" t="str">
        <f>IF(Raw_Data!G895="","",Raw_Data!G895)</f>
        <v/>
      </c>
      <c r="D892" s="12" t="str">
        <f>IF(Raw_Data!H895="","",Raw_Data!H895)</f>
        <v/>
      </c>
      <c r="E892" s="12" t="str">
        <f>IF(Raw_Data!I895="","",Raw_Data!I895)</f>
        <v/>
      </c>
      <c r="F892" s="12" t="str">
        <f>IF(Raw_Data!J895="","",Raw_Data!J895)</f>
        <v/>
      </c>
      <c r="G892" s="12" t="str">
        <f>IF(Raw_Data!AH895&lt;&gt;"",Raw_Data!AH895,IF(Raw_Data!K895&lt;&gt;"",Raw_Data!K895,""))</f>
        <v/>
      </c>
      <c r="H892" s="12" t="str">
        <f>IF(Raw_Data!AI895&lt;&gt;"",Raw_Data!AI895,IF(Raw_Data!L895&lt;&gt;"",Raw_Data!L895,""))</f>
        <v/>
      </c>
      <c r="I892" s="12" t="str">
        <f t="shared" si="117"/>
        <v/>
      </c>
      <c r="J892" s="12" t="str">
        <f>IF(Raw_Data!M895="","",Raw_Data!M895)</f>
        <v/>
      </c>
      <c r="K892" s="12">
        <f>IF(Raw_Data!AJ895&lt;&gt;"",Raw_Data!AJ895,Raw_Data!N895)</f>
        <v>0</v>
      </c>
      <c r="L892" s="12">
        <f t="shared" si="118"/>
        <v>1</v>
      </c>
      <c r="M892" s="12" t="str">
        <f>IF(Raw_Data!AK895="","",Raw_Data!AK895)</f>
        <v/>
      </c>
      <c r="N892" s="12" t="str">
        <f>IF(Raw_Data!T895="","",Raw_Data!T895)</f>
        <v/>
      </c>
      <c r="O892" s="12" t="str">
        <f>IF(Raw_Data!AB895&lt;&gt;"",Raw_Data!AB895,IF(N892="tres_insatisfait",1,IF(N892="insatisfait",2,IF(N892="neutre",3,IF(N892="satisfait",4,IF(N892="tres_satisfait",5,""))))))</f>
        <v/>
      </c>
      <c r="P892" s="12">
        <f>IF(Raw_Data!AL895&lt;&gt;"",Raw_Data!AL895,Raw_Data!R895)</f>
        <v>0</v>
      </c>
      <c r="Q892" s="12">
        <f t="shared" si="119"/>
        <v>0</v>
      </c>
      <c r="R892" s="12" t="str">
        <f>IF(Raw_Data!AM895="","",Raw_Data!AM895)</f>
        <v/>
      </c>
      <c r="S892" s="12" t="str">
        <f t="shared" si="120"/>
        <v/>
      </c>
      <c r="T892" s="12" t="str">
        <f>IF(Raw_Data!AN895="","",Raw_Data!AN895)</f>
        <v/>
      </c>
      <c r="U892" s="12" t="str">
        <f t="shared" si="121"/>
        <v/>
      </c>
      <c r="V892" s="12" t="str">
        <f>IF(Raw_Data!AP895="","",IF(Raw_Data!AP895="oui",1,0))</f>
        <v/>
      </c>
      <c r="W892" s="12" t="str">
        <f>IF(Raw_Data!AQ895="","",IF(Raw_Data!AQ895="oui",1,0))</f>
        <v/>
      </c>
      <c r="X892" s="12" t="str">
        <f>IF(Raw_Data!AR895="","",IF(Raw_Data!AR895="oui",1,0))</f>
        <v/>
      </c>
      <c r="Y892" s="12" t="str">
        <f>IF(Raw_Data!AS895="","",IF(Raw_Data!AS895="oui",1,0))</f>
        <v/>
      </c>
      <c r="Z892" s="12" t="str">
        <f>IF(Raw_Data!V895="","",IF(Raw_Data!V895="oui",1,0))</f>
        <v/>
      </c>
      <c r="AA892" s="12" t="str">
        <f>IF(Raw_Data!W895="","",IF(Raw_Data!W895="oui",1,0))</f>
        <v/>
      </c>
      <c r="AB892" s="12" t="str">
        <f>IF(Raw_Data!Q895="","",IF(Raw_Data!Q895="oui",1,0))</f>
        <v/>
      </c>
      <c r="AC892" s="12">
        <f>Raw_Data!AF895</f>
        <v>0</v>
      </c>
      <c r="AD892" s="12" t="str">
        <f t="shared" si="122"/>
        <v/>
      </c>
      <c r="AE892" s="12" t="str">
        <f t="shared" si="123"/>
        <v/>
      </c>
      <c r="AF892" s="12" t="str">
        <f t="shared" si="124"/>
        <v/>
      </c>
      <c r="AG892" s="12">
        <f t="shared" si="125"/>
        <v>0</v>
      </c>
    </row>
    <row r="893" spans="1:33" ht="15" customHeight="1" x14ac:dyDescent="0.25">
      <c r="A893" s="12" t="str">
        <f>IF(Raw_Data!B896="","",Raw_Data!B896)</f>
        <v/>
      </c>
      <c r="B893" s="12">
        <f>IF(Raw_Data!X896&lt;&gt;"",Raw_Data!X896,Raw_Data!C896)</f>
        <v>0</v>
      </c>
      <c r="C893" s="12" t="str">
        <f>IF(Raw_Data!G896="","",Raw_Data!G896)</f>
        <v/>
      </c>
      <c r="D893" s="12" t="str">
        <f>IF(Raw_Data!H896="","",Raw_Data!H896)</f>
        <v/>
      </c>
      <c r="E893" s="12" t="str">
        <f>IF(Raw_Data!I896="","",Raw_Data!I896)</f>
        <v/>
      </c>
      <c r="F893" s="12" t="str">
        <f>IF(Raw_Data!J896="","",Raw_Data!J896)</f>
        <v/>
      </c>
      <c r="G893" s="12" t="str">
        <f>IF(Raw_Data!AH896&lt;&gt;"",Raw_Data!AH896,IF(Raw_Data!K896&lt;&gt;"",Raw_Data!K896,""))</f>
        <v/>
      </c>
      <c r="H893" s="12" t="str">
        <f>IF(Raw_Data!AI896&lt;&gt;"",Raw_Data!AI896,IF(Raw_Data!L896&lt;&gt;"",Raw_Data!L896,""))</f>
        <v/>
      </c>
      <c r="I893" s="12" t="str">
        <f t="shared" si="117"/>
        <v/>
      </c>
      <c r="J893" s="12" t="str">
        <f>IF(Raw_Data!M896="","",Raw_Data!M896)</f>
        <v/>
      </c>
      <c r="K893" s="12">
        <f>IF(Raw_Data!AJ896&lt;&gt;"",Raw_Data!AJ896,Raw_Data!N896)</f>
        <v>0</v>
      </c>
      <c r="L893" s="12">
        <f t="shared" si="118"/>
        <v>1</v>
      </c>
      <c r="M893" s="12" t="str">
        <f>IF(Raw_Data!AK896="","",Raw_Data!AK896)</f>
        <v/>
      </c>
      <c r="N893" s="12" t="str">
        <f>IF(Raw_Data!T896="","",Raw_Data!T896)</f>
        <v/>
      </c>
      <c r="O893" s="12" t="str">
        <f>IF(Raw_Data!AB896&lt;&gt;"",Raw_Data!AB896,IF(N893="tres_insatisfait",1,IF(N893="insatisfait",2,IF(N893="neutre",3,IF(N893="satisfait",4,IF(N893="tres_satisfait",5,""))))))</f>
        <v/>
      </c>
      <c r="P893" s="12">
        <f>IF(Raw_Data!AL896&lt;&gt;"",Raw_Data!AL896,Raw_Data!R896)</f>
        <v>0</v>
      </c>
      <c r="Q893" s="12">
        <f t="shared" si="119"/>
        <v>0</v>
      </c>
      <c r="R893" s="12" t="str">
        <f>IF(Raw_Data!AM896="","",Raw_Data!AM896)</f>
        <v/>
      </c>
      <c r="S893" s="12" t="str">
        <f t="shared" si="120"/>
        <v/>
      </c>
      <c r="T893" s="12" t="str">
        <f>IF(Raw_Data!AN896="","",Raw_Data!AN896)</f>
        <v/>
      </c>
      <c r="U893" s="12" t="str">
        <f t="shared" si="121"/>
        <v/>
      </c>
      <c r="V893" s="12" t="str">
        <f>IF(Raw_Data!AP896="","",IF(Raw_Data!AP896="oui",1,0))</f>
        <v/>
      </c>
      <c r="W893" s="12" t="str">
        <f>IF(Raw_Data!AQ896="","",IF(Raw_Data!AQ896="oui",1,0))</f>
        <v/>
      </c>
      <c r="X893" s="12" t="str">
        <f>IF(Raw_Data!AR896="","",IF(Raw_Data!AR896="oui",1,0))</f>
        <v/>
      </c>
      <c r="Y893" s="12" t="str">
        <f>IF(Raw_Data!AS896="","",IF(Raw_Data!AS896="oui",1,0))</f>
        <v/>
      </c>
      <c r="Z893" s="12" t="str">
        <f>IF(Raw_Data!V896="","",IF(Raw_Data!V896="oui",1,0))</f>
        <v/>
      </c>
      <c r="AA893" s="12" t="str">
        <f>IF(Raw_Data!W896="","",IF(Raw_Data!W896="oui",1,0))</f>
        <v/>
      </c>
      <c r="AB893" s="12" t="str">
        <f>IF(Raw_Data!Q896="","",IF(Raw_Data!Q896="oui",1,0))</f>
        <v/>
      </c>
      <c r="AC893" s="12">
        <f>Raw_Data!AF896</f>
        <v>0</v>
      </c>
      <c r="AD893" s="12" t="str">
        <f t="shared" si="122"/>
        <v/>
      </c>
      <c r="AE893" s="12" t="str">
        <f t="shared" si="123"/>
        <v/>
      </c>
      <c r="AF893" s="12" t="str">
        <f t="shared" si="124"/>
        <v/>
      </c>
      <c r="AG893" s="12">
        <f t="shared" si="125"/>
        <v>0</v>
      </c>
    </row>
    <row r="894" spans="1:33" ht="15" customHeight="1" x14ac:dyDescent="0.25">
      <c r="A894" s="12" t="str">
        <f>IF(Raw_Data!B897="","",Raw_Data!B897)</f>
        <v/>
      </c>
      <c r="B894" s="12">
        <f>IF(Raw_Data!X897&lt;&gt;"",Raw_Data!X897,Raw_Data!C897)</f>
        <v>0</v>
      </c>
      <c r="C894" s="12" t="str">
        <f>IF(Raw_Data!G897="","",Raw_Data!G897)</f>
        <v/>
      </c>
      <c r="D894" s="12" t="str">
        <f>IF(Raw_Data!H897="","",Raw_Data!H897)</f>
        <v/>
      </c>
      <c r="E894" s="12" t="str">
        <f>IF(Raw_Data!I897="","",Raw_Data!I897)</f>
        <v/>
      </c>
      <c r="F894" s="12" t="str">
        <f>IF(Raw_Data!J897="","",Raw_Data!J897)</f>
        <v/>
      </c>
      <c r="G894" s="12" t="str">
        <f>IF(Raw_Data!AH897&lt;&gt;"",Raw_Data!AH897,IF(Raw_Data!K897&lt;&gt;"",Raw_Data!K897,""))</f>
        <v/>
      </c>
      <c r="H894" s="12" t="str">
        <f>IF(Raw_Data!AI897&lt;&gt;"",Raw_Data!AI897,IF(Raw_Data!L897&lt;&gt;"",Raw_Data!L897,""))</f>
        <v/>
      </c>
      <c r="I894" s="12" t="str">
        <f t="shared" si="117"/>
        <v/>
      </c>
      <c r="J894" s="12" t="str">
        <f>IF(Raw_Data!M897="","",Raw_Data!M897)</f>
        <v/>
      </c>
      <c r="K894" s="12">
        <f>IF(Raw_Data!AJ897&lt;&gt;"",Raw_Data!AJ897,Raw_Data!N897)</f>
        <v>0</v>
      </c>
      <c r="L894" s="12">
        <f t="shared" si="118"/>
        <v>1</v>
      </c>
      <c r="M894" s="12" t="str">
        <f>IF(Raw_Data!AK897="","",Raw_Data!AK897)</f>
        <v/>
      </c>
      <c r="N894" s="12" t="str">
        <f>IF(Raw_Data!T897="","",Raw_Data!T897)</f>
        <v/>
      </c>
      <c r="O894" s="12" t="str">
        <f>IF(Raw_Data!AB897&lt;&gt;"",Raw_Data!AB897,IF(N894="tres_insatisfait",1,IF(N894="insatisfait",2,IF(N894="neutre",3,IF(N894="satisfait",4,IF(N894="tres_satisfait",5,""))))))</f>
        <v/>
      </c>
      <c r="P894" s="12">
        <f>IF(Raw_Data!AL897&lt;&gt;"",Raw_Data!AL897,Raw_Data!R897)</f>
        <v>0</v>
      </c>
      <c r="Q894" s="12">
        <f t="shared" si="119"/>
        <v>0</v>
      </c>
      <c r="R894" s="12" t="str">
        <f>IF(Raw_Data!AM897="","",Raw_Data!AM897)</f>
        <v/>
      </c>
      <c r="S894" s="12" t="str">
        <f t="shared" si="120"/>
        <v/>
      </c>
      <c r="T894" s="12" t="str">
        <f>IF(Raw_Data!AN897="","",Raw_Data!AN897)</f>
        <v/>
      </c>
      <c r="U894" s="12" t="str">
        <f t="shared" si="121"/>
        <v/>
      </c>
      <c r="V894" s="12" t="str">
        <f>IF(Raw_Data!AP897="","",IF(Raw_Data!AP897="oui",1,0))</f>
        <v/>
      </c>
      <c r="W894" s="12" t="str">
        <f>IF(Raw_Data!AQ897="","",IF(Raw_Data!AQ897="oui",1,0))</f>
        <v/>
      </c>
      <c r="X894" s="12" t="str">
        <f>IF(Raw_Data!AR897="","",IF(Raw_Data!AR897="oui",1,0))</f>
        <v/>
      </c>
      <c r="Y894" s="12" t="str">
        <f>IF(Raw_Data!AS897="","",IF(Raw_Data!AS897="oui",1,0))</f>
        <v/>
      </c>
      <c r="Z894" s="12" t="str">
        <f>IF(Raw_Data!V897="","",IF(Raw_Data!V897="oui",1,0))</f>
        <v/>
      </c>
      <c r="AA894" s="12" t="str">
        <f>IF(Raw_Data!W897="","",IF(Raw_Data!W897="oui",1,0))</f>
        <v/>
      </c>
      <c r="AB894" s="12" t="str">
        <f>IF(Raw_Data!Q897="","",IF(Raw_Data!Q897="oui",1,0))</f>
        <v/>
      </c>
      <c r="AC894" s="12">
        <f>Raw_Data!AF897</f>
        <v>0</v>
      </c>
      <c r="AD894" s="12" t="str">
        <f t="shared" si="122"/>
        <v/>
      </c>
      <c r="AE894" s="12" t="str">
        <f t="shared" si="123"/>
        <v/>
      </c>
      <c r="AF894" s="12" t="str">
        <f t="shared" si="124"/>
        <v/>
      </c>
      <c r="AG894" s="12">
        <f t="shared" si="125"/>
        <v>0</v>
      </c>
    </row>
    <row r="895" spans="1:33" ht="15" customHeight="1" x14ac:dyDescent="0.25">
      <c r="A895" s="12" t="str">
        <f>IF(Raw_Data!B898="","",Raw_Data!B898)</f>
        <v/>
      </c>
      <c r="B895" s="12">
        <f>IF(Raw_Data!X898&lt;&gt;"",Raw_Data!X898,Raw_Data!C898)</f>
        <v>0</v>
      </c>
      <c r="C895" s="12" t="str">
        <f>IF(Raw_Data!G898="","",Raw_Data!G898)</f>
        <v/>
      </c>
      <c r="D895" s="12" t="str">
        <f>IF(Raw_Data!H898="","",Raw_Data!H898)</f>
        <v/>
      </c>
      <c r="E895" s="12" t="str">
        <f>IF(Raw_Data!I898="","",Raw_Data!I898)</f>
        <v/>
      </c>
      <c r="F895" s="12" t="str">
        <f>IF(Raw_Data!J898="","",Raw_Data!J898)</f>
        <v/>
      </c>
      <c r="G895" s="12" t="str">
        <f>IF(Raw_Data!AH898&lt;&gt;"",Raw_Data!AH898,IF(Raw_Data!K898&lt;&gt;"",Raw_Data!K898,""))</f>
        <v/>
      </c>
      <c r="H895" s="12" t="str">
        <f>IF(Raw_Data!AI898&lt;&gt;"",Raw_Data!AI898,IF(Raw_Data!L898&lt;&gt;"",Raw_Data!L898,""))</f>
        <v/>
      </c>
      <c r="I895" s="12" t="str">
        <f t="shared" si="117"/>
        <v/>
      </c>
      <c r="J895" s="12" t="str">
        <f>IF(Raw_Data!M898="","",Raw_Data!M898)</f>
        <v/>
      </c>
      <c r="K895" s="12">
        <f>IF(Raw_Data!AJ898&lt;&gt;"",Raw_Data!AJ898,Raw_Data!N898)</f>
        <v>0</v>
      </c>
      <c r="L895" s="12">
        <f t="shared" si="118"/>
        <v>1</v>
      </c>
      <c r="M895" s="12" t="str">
        <f>IF(Raw_Data!AK898="","",Raw_Data!AK898)</f>
        <v/>
      </c>
      <c r="N895" s="12" t="str">
        <f>IF(Raw_Data!T898="","",Raw_Data!T898)</f>
        <v/>
      </c>
      <c r="O895" s="12" t="str">
        <f>IF(Raw_Data!AB898&lt;&gt;"",Raw_Data!AB898,IF(N895="tres_insatisfait",1,IF(N895="insatisfait",2,IF(N895="neutre",3,IF(N895="satisfait",4,IF(N895="tres_satisfait",5,""))))))</f>
        <v/>
      </c>
      <c r="P895" s="12">
        <f>IF(Raw_Data!AL898&lt;&gt;"",Raw_Data!AL898,Raw_Data!R898)</f>
        <v>0</v>
      </c>
      <c r="Q895" s="12">
        <f t="shared" si="119"/>
        <v>0</v>
      </c>
      <c r="R895" s="12" t="str">
        <f>IF(Raw_Data!AM898="","",Raw_Data!AM898)</f>
        <v/>
      </c>
      <c r="S895" s="12" t="str">
        <f t="shared" si="120"/>
        <v/>
      </c>
      <c r="T895" s="12" t="str">
        <f>IF(Raw_Data!AN898="","",Raw_Data!AN898)</f>
        <v/>
      </c>
      <c r="U895" s="12" t="str">
        <f t="shared" si="121"/>
        <v/>
      </c>
      <c r="V895" s="12" t="str">
        <f>IF(Raw_Data!AP898="","",IF(Raw_Data!AP898="oui",1,0))</f>
        <v/>
      </c>
      <c r="W895" s="12" t="str">
        <f>IF(Raw_Data!AQ898="","",IF(Raw_Data!AQ898="oui",1,0))</f>
        <v/>
      </c>
      <c r="X895" s="12" t="str">
        <f>IF(Raw_Data!AR898="","",IF(Raw_Data!AR898="oui",1,0))</f>
        <v/>
      </c>
      <c r="Y895" s="12" t="str">
        <f>IF(Raw_Data!AS898="","",IF(Raw_Data!AS898="oui",1,0))</f>
        <v/>
      </c>
      <c r="Z895" s="12" t="str">
        <f>IF(Raw_Data!V898="","",IF(Raw_Data!V898="oui",1,0))</f>
        <v/>
      </c>
      <c r="AA895" s="12" t="str">
        <f>IF(Raw_Data!W898="","",IF(Raw_Data!W898="oui",1,0))</f>
        <v/>
      </c>
      <c r="AB895" s="12" t="str">
        <f>IF(Raw_Data!Q898="","",IF(Raw_Data!Q898="oui",1,0))</f>
        <v/>
      </c>
      <c r="AC895" s="12">
        <f>Raw_Data!AF898</f>
        <v>0</v>
      </c>
      <c r="AD895" s="12" t="str">
        <f t="shared" si="122"/>
        <v/>
      </c>
      <c r="AE895" s="12" t="str">
        <f t="shared" si="123"/>
        <v/>
      </c>
      <c r="AF895" s="12" t="str">
        <f t="shared" si="124"/>
        <v/>
      </c>
      <c r="AG895" s="12">
        <f t="shared" si="125"/>
        <v>0</v>
      </c>
    </row>
    <row r="896" spans="1:33" ht="15" customHeight="1" x14ac:dyDescent="0.25">
      <c r="A896" s="12" t="str">
        <f>IF(Raw_Data!B899="","",Raw_Data!B899)</f>
        <v/>
      </c>
      <c r="B896" s="12">
        <f>IF(Raw_Data!X899&lt;&gt;"",Raw_Data!X899,Raw_Data!C899)</f>
        <v>0</v>
      </c>
      <c r="C896" s="12" t="str">
        <f>IF(Raw_Data!G899="","",Raw_Data!G899)</f>
        <v/>
      </c>
      <c r="D896" s="12" t="str">
        <f>IF(Raw_Data!H899="","",Raw_Data!H899)</f>
        <v/>
      </c>
      <c r="E896" s="12" t="str">
        <f>IF(Raw_Data!I899="","",Raw_Data!I899)</f>
        <v/>
      </c>
      <c r="F896" s="12" t="str">
        <f>IF(Raw_Data!J899="","",Raw_Data!J899)</f>
        <v/>
      </c>
      <c r="G896" s="12" t="str">
        <f>IF(Raw_Data!AH899&lt;&gt;"",Raw_Data!AH899,IF(Raw_Data!K899&lt;&gt;"",Raw_Data!K899,""))</f>
        <v/>
      </c>
      <c r="H896" s="12" t="str">
        <f>IF(Raw_Data!AI899&lt;&gt;"",Raw_Data!AI899,IF(Raw_Data!L899&lt;&gt;"",Raw_Data!L899,""))</f>
        <v/>
      </c>
      <c r="I896" s="12" t="str">
        <f t="shared" si="117"/>
        <v/>
      </c>
      <c r="J896" s="12" t="str">
        <f>IF(Raw_Data!M899="","",Raw_Data!M899)</f>
        <v/>
      </c>
      <c r="K896" s="12">
        <f>IF(Raw_Data!AJ899&lt;&gt;"",Raw_Data!AJ899,Raw_Data!N899)</f>
        <v>0</v>
      </c>
      <c r="L896" s="12">
        <f t="shared" si="118"/>
        <v>1</v>
      </c>
      <c r="M896" s="12" t="str">
        <f>IF(Raw_Data!AK899="","",Raw_Data!AK899)</f>
        <v/>
      </c>
      <c r="N896" s="12" t="str">
        <f>IF(Raw_Data!T899="","",Raw_Data!T899)</f>
        <v/>
      </c>
      <c r="O896" s="12" t="str">
        <f>IF(Raw_Data!AB899&lt;&gt;"",Raw_Data!AB899,IF(N896="tres_insatisfait",1,IF(N896="insatisfait",2,IF(N896="neutre",3,IF(N896="satisfait",4,IF(N896="tres_satisfait",5,""))))))</f>
        <v/>
      </c>
      <c r="P896" s="12">
        <f>IF(Raw_Data!AL899&lt;&gt;"",Raw_Data!AL899,Raw_Data!R899)</f>
        <v>0</v>
      </c>
      <c r="Q896" s="12">
        <f t="shared" si="119"/>
        <v>0</v>
      </c>
      <c r="R896" s="12" t="str">
        <f>IF(Raw_Data!AM899="","",Raw_Data!AM899)</f>
        <v/>
      </c>
      <c r="S896" s="12" t="str">
        <f t="shared" si="120"/>
        <v/>
      </c>
      <c r="T896" s="12" t="str">
        <f>IF(Raw_Data!AN899="","",Raw_Data!AN899)</f>
        <v/>
      </c>
      <c r="U896" s="12" t="str">
        <f t="shared" si="121"/>
        <v/>
      </c>
      <c r="V896" s="12" t="str">
        <f>IF(Raw_Data!AP899="","",IF(Raw_Data!AP899="oui",1,0))</f>
        <v/>
      </c>
      <c r="W896" s="12" t="str">
        <f>IF(Raw_Data!AQ899="","",IF(Raw_Data!AQ899="oui",1,0))</f>
        <v/>
      </c>
      <c r="X896" s="12" t="str">
        <f>IF(Raw_Data!AR899="","",IF(Raw_Data!AR899="oui",1,0))</f>
        <v/>
      </c>
      <c r="Y896" s="12" t="str">
        <f>IF(Raw_Data!AS899="","",IF(Raw_Data!AS899="oui",1,0))</f>
        <v/>
      </c>
      <c r="Z896" s="12" t="str">
        <f>IF(Raw_Data!V899="","",IF(Raw_Data!V899="oui",1,0))</f>
        <v/>
      </c>
      <c r="AA896" s="12" t="str">
        <f>IF(Raw_Data!W899="","",IF(Raw_Data!W899="oui",1,0))</f>
        <v/>
      </c>
      <c r="AB896" s="12" t="str">
        <f>IF(Raw_Data!Q899="","",IF(Raw_Data!Q899="oui",1,0))</f>
        <v/>
      </c>
      <c r="AC896" s="12">
        <f>Raw_Data!AF899</f>
        <v>0</v>
      </c>
      <c r="AD896" s="12" t="str">
        <f t="shared" si="122"/>
        <v/>
      </c>
      <c r="AE896" s="12" t="str">
        <f t="shared" si="123"/>
        <v/>
      </c>
      <c r="AF896" s="12" t="str">
        <f t="shared" si="124"/>
        <v/>
      </c>
      <c r="AG896" s="12">
        <f t="shared" si="125"/>
        <v>0</v>
      </c>
    </row>
    <row r="897" spans="1:33" ht="15" customHeight="1" x14ac:dyDescent="0.25">
      <c r="A897" s="12" t="str">
        <f>IF(Raw_Data!B900="","",Raw_Data!B900)</f>
        <v/>
      </c>
      <c r="B897" s="12">
        <f>IF(Raw_Data!X900&lt;&gt;"",Raw_Data!X900,Raw_Data!C900)</f>
        <v>0</v>
      </c>
      <c r="C897" s="12" t="str">
        <f>IF(Raw_Data!G900="","",Raw_Data!G900)</f>
        <v/>
      </c>
      <c r="D897" s="12" t="str">
        <f>IF(Raw_Data!H900="","",Raw_Data!H900)</f>
        <v/>
      </c>
      <c r="E897" s="12" t="str">
        <f>IF(Raw_Data!I900="","",Raw_Data!I900)</f>
        <v/>
      </c>
      <c r="F897" s="12" t="str">
        <f>IF(Raw_Data!J900="","",Raw_Data!J900)</f>
        <v/>
      </c>
      <c r="G897" s="12" t="str">
        <f>IF(Raw_Data!AH900&lt;&gt;"",Raw_Data!AH900,IF(Raw_Data!K900&lt;&gt;"",Raw_Data!K900,""))</f>
        <v/>
      </c>
      <c r="H897" s="12" t="str">
        <f>IF(Raw_Data!AI900&lt;&gt;"",Raw_Data!AI900,IF(Raw_Data!L900&lt;&gt;"",Raw_Data!L900,""))</f>
        <v/>
      </c>
      <c r="I897" s="12" t="str">
        <f t="shared" si="117"/>
        <v/>
      </c>
      <c r="J897" s="12" t="str">
        <f>IF(Raw_Data!M900="","",Raw_Data!M900)</f>
        <v/>
      </c>
      <c r="K897" s="12">
        <f>IF(Raw_Data!AJ900&lt;&gt;"",Raw_Data!AJ900,Raw_Data!N900)</f>
        <v>0</v>
      </c>
      <c r="L897" s="12">
        <f t="shared" si="118"/>
        <v>1</v>
      </c>
      <c r="M897" s="12" t="str">
        <f>IF(Raw_Data!AK900="","",Raw_Data!AK900)</f>
        <v/>
      </c>
      <c r="N897" s="12" t="str">
        <f>IF(Raw_Data!T900="","",Raw_Data!T900)</f>
        <v/>
      </c>
      <c r="O897" s="12" t="str">
        <f>IF(Raw_Data!AB900&lt;&gt;"",Raw_Data!AB900,IF(N897="tres_insatisfait",1,IF(N897="insatisfait",2,IF(N897="neutre",3,IF(N897="satisfait",4,IF(N897="tres_satisfait",5,""))))))</f>
        <v/>
      </c>
      <c r="P897" s="12">
        <f>IF(Raw_Data!AL900&lt;&gt;"",Raw_Data!AL900,Raw_Data!R900)</f>
        <v>0</v>
      </c>
      <c r="Q897" s="12">
        <f t="shared" si="119"/>
        <v>0</v>
      </c>
      <c r="R897" s="12" t="str">
        <f>IF(Raw_Data!AM900="","",Raw_Data!AM900)</f>
        <v/>
      </c>
      <c r="S897" s="12" t="str">
        <f t="shared" si="120"/>
        <v/>
      </c>
      <c r="T897" s="12" t="str">
        <f>IF(Raw_Data!AN900="","",Raw_Data!AN900)</f>
        <v/>
      </c>
      <c r="U897" s="12" t="str">
        <f t="shared" si="121"/>
        <v/>
      </c>
      <c r="V897" s="12" t="str">
        <f>IF(Raw_Data!AP900="","",IF(Raw_Data!AP900="oui",1,0))</f>
        <v/>
      </c>
      <c r="W897" s="12" t="str">
        <f>IF(Raw_Data!AQ900="","",IF(Raw_Data!AQ900="oui",1,0))</f>
        <v/>
      </c>
      <c r="X897" s="12" t="str">
        <f>IF(Raw_Data!AR900="","",IF(Raw_Data!AR900="oui",1,0))</f>
        <v/>
      </c>
      <c r="Y897" s="12" t="str">
        <f>IF(Raw_Data!AS900="","",IF(Raw_Data!AS900="oui",1,0))</f>
        <v/>
      </c>
      <c r="Z897" s="12" t="str">
        <f>IF(Raw_Data!V900="","",IF(Raw_Data!V900="oui",1,0))</f>
        <v/>
      </c>
      <c r="AA897" s="12" t="str">
        <f>IF(Raw_Data!W900="","",IF(Raw_Data!W900="oui",1,0))</f>
        <v/>
      </c>
      <c r="AB897" s="12" t="str">
        <f>IF(Raw_Data!Q900="","",IF(Raw_Data!Q900="oui",1,0))</f>
        <v/>
      </c>
      <c r="AC897" s="12">
        <f>Raw_Data!AF900</f>
        <v>0</v>
      </c>
      <c r="AD897" s="12" t="str">
        <f t="shared" si="122"/>
        <v/>
      </c>
      <c r="AE897" s="12" t="str">
        <f t="shared" si="123"/>
        <v/>
      </c>
      <c r="AF897" s="12" t="str">
        <f t="shared" si="124"/>
        <v/>
      </c>
      <c r="AG897" s="12">
        <f t="shared" si="125"/>
        <v>0</v>
      </c>
    </row>
    <row r="898" spans="1:33" ht="15" customHeight="1" x14ac:dyDescent="0.25">
      <c r="A898" s="12" t="str">
        <f>IF(Raw_Data!B901="","",Raw_Data!B901)</f>
        <v/>
      </c>
      <c r="B898" s="12">
        <f>IF(Raw_Data!X901&lt;&gt;"",Raw_Data!X901,Raw_Data!C901)</f>
        <v>0</v>
      </c>
      <c r="C898" s="12" t="str">
        <f>IF(Raw_Data!G901="","",Raw_Data!G901)</f>
        <v/>
      </c>
      <c r="D898" s="12" t="str">
        <f>IF(Raw_Data!H901="","",Raw_Data!H901)</f>
        <v/>
      </c>
      <c r="E898" s="12" t="str">
        <f>IF(Raw_Data!I901="","",Raw_Data!I901)</f>
        <v/>
      </c>
      <c r="F898" s="12" t="str">
        <f>IF(Raw_Data!J901="","",Raw_Data!J901)</f>
        <v/>
      </c>
      <c r="G898" s="12" t="str">
        <f>IF(Raw_Data!AH901&lt;&gt;"",Raw_Data!AH901,IF(Raw_Data!K901&lt;&gt;"",Raw_Data!K901,""))</f>
        <v/>
      </c>
      <c r="H898" s="12" t="str">
        <f>IF(Raw_Data!AI901&lt;&gt;"",Raw_Data!AI901,IF(Raw_Data!L901&lt;&gt;"",Raw_Data!L901,""))</f>
        <v/>
      </c>
      <c r="I898" s="12" t="str">
        <f t="shared" ref="I898:I961" si="126">IF(H898="","",IF(H898&lt;18,"&lt;18 ans",IF(H898&lt;60,"18-59 ans","60 ans et +")))</f>
        <v/>
      </c>
      <c r="J898" s="12" t="str">
        <f>IF(Raw_Data!M901="","",Raw_Data!M901)</f>
        <v/>
      </c>
      <c r="K898" s="12">
        <f>IF(Raw_Data!AJ901&lt;&gt;"",Raw_Data!AJ901,Raw_Data!N901)</f>
        <v>0</v>
      </c>
      <c r="L898" s="12">
        <f t="shared" ref="L898:L961" si="127">IF(K898="",0,1)</f>
        <v>1</v>
      </c>
      <c r="M898" s="12" t="str">
        <f>IF(Raw_Data!AK901="","",Raw_Data!AK901)</f>
        <v/>
      </c>
      <c r="N898" s="12" t="str">
        <f>IF(Raw_Data!T901="","",Raw_Data!T901)</f>
        <v/>
      </c>
      <c r="O898" s="12" t="str">
        <f>IF(Raw_Data!AB901&lt;&gt;"",Raw_Data!AB901,IF(N898="tres_insatisfait",1,IF(N898="insatisfait",2,IF(N898="neutre",3,IF(N898="satisfait",4,IF(N898="tres_satisfait",5,""))))))</f>
        <v/>
      </c>
      <c r="P898" s="12">
        <f>IF(Raw_Data!AL901&lt;&gt;"",Raw_Data!AL901,Raw_Data!R901)</f>
        <v>0</v>
      </c>
      <c r="Q898" s="12">
        <f t="shared" ref="Q898:Q961" si="128">IF(P898="","",IF(P898="oui",1,0))</f>
        <v>0</v>
      </c>
      <c r="R898" s="12" t="str">
        <f>IF(Raw_Data!AM901="","",Raw_Data!AM901)</f>
        <v/>
      </c>
      <c r="S898" s="12" t="str">
        <f t="shared" ref="S898:S961" si="129">IF(R898="","",IF(R898="oui",1,0))</f>
        <v/>
      </c>
      <c r="T898" s="12" t="str">
        <f>IF(Raw_Data!AN901="","",Raw_Data!AN901)</f>
        <v/>
      </c>
      <c r="U898" s="12" t="str">
        <f t="shared" ref="U898:U961" si="130">IF(T898="","",IF(T898="oui",1,0))</f>
        <v/>
      </c>
      <c r="V898" s="12" t="str">
        <f>IF(Raw_Data!AP901="","",IF(Raw_Data!AP901="oui",1,0))</f>
        <v/>
      </c>
      <c r="W898" s="12" t="str">
        <f>IF(Raw_Data!AQ901="","",IF(Raw_Data!AQ901="oui",1,0))</f>
        <v/>
      </c>
      <c r="X898" s="12" t="str">
        <f>IF(Raw_Data!AR901="","",IF(Raw_Data!AR901="oui",1,0))</f>
        <v/>
      </c>
      <c r="Y898" s="12" t="str">
        <f>IF(Raw_Data!AS901="","",IF(Raw_Data!AS901="oui",1,0))</f>
        <v/>
      </c>
      <c r="Z898" s="12" t="str">
        <f>IF(Raw_Data!V901="","",IF(Raw_Data!V901="oui",1,0))</f>
        <v/>
      </c>
      <c r="AA898" s="12" t="str">
        <f>IF(Raw_Data!W901="","",IF(Raw_Data!W901="oui",1,0))</f>
        <v/>
      </c>
      <c r="AB898" s="12" t="str">
        <f>IF(Raw_Data!Q901="","",IF(Raw_Data!Q901="oui",1,0))</f>
        <v/>
      </c>
      <c r="AC898" s="12">
        <f>Raw_Data!AF901</f>
        <v>0</v>
      </c>
      <c r="AD898" s="12" t="str">
        <f t="shared" ref="AD898:AD961" si="131">IF(A898="","",F898&amp;"|"&amp;E898&amp;"|"&amp;TEXT(B898,"YYYY-MM-DD"))</f>
        <v/>
      </c>
      <c r="AE898" s="12" t="str">
        <f t="shared" ref="AE898:AE961" si="132">IF(AD898="","",IF(COUNTIF($AD$2:$AD$1000,AD898)&gt;1,1,0))</f>
        <v/>
      </c>
      <c r="AF898" s="12" t="str">
        <f t="shared" ref="AF898:AF961" si="133">IF(A898="","",IF(OR(C898="",D898="",G898="",H898="",N898=""),1,0))</f>
        <v/>
      </c>
      <c r="AG898" s="12">
        <f t="shared" ref="AG898:AG961" si="134">IF(A898="",0,1)</f>
        <v>0</v>
      </c>
    </row>
    <row r="899" spans="1:33" ht="15" customHeight="1" x14ac:dyDescent="0.25">
      <c r="A899" s="12" t="str">
        <f>IF(Raw_Data!B902="","",Raw_Data!B902)</f>
        <v/>
      </c>
      <c r="B899" s="12">
        <f>IF(Raw_Data!X902&lt;&gt;"",Raw_Data!X902,Raw_Data!C902)</f>
        <v>0</v>
      </c>
      <c r="C899" s="12" t="str">
        <f>IF(Raw_Data!G902="","",Raw_Data!G902)</f>
        <v/>
      </c>
      <c r="D899" s="12" t="str">
        <f>IF(Raw_Data!H902="","",Raw_Data!H902)</f>
        <v/>
      </c>
      <c r="E899" s="12" t="str">
        <f>IF(Raw_Data!I902="","",Raw_Data!I902)</f>
        <v/>
      </c>
      <c r="F899" s="12" t="str">
        <f>IF(Raw_Data!J902="","",Raw_Data!J902)</f>
        <v/>
      </c>
      <c r="G899" s="12" t="str">
        <f>IF(Raw_Data!AH902&lt;&gt;"",Raw_Data!AH902,IF(Raw_Data!K902&lt;&gt;"",Raw_Data!K902,""))</f>
        <v/>
      </c>
      <c r="H899" s="12" t="str">
        <f>IF(Raw_Data!AI902&lt;&gt;"",Raw_Data!AI902,IF(Raw_Data!L902&lt;&gt;"",Raw_Data!L902,""))</f>
        <v/>
      </c>
      <c r="I899" s="12" t="str">
        <f t="shared" si="126"/>
        <v/>
      </c>
      <c r="J899" s="12" t="str">
        <f>IF(Raw_Data!M902="","",Raw_Data!M902)</f>
        <v/>
      </c>
      <c r="K899" s="12">
        <f>IF(Raw_Data!AJ902&lt;&gt;"",Raw_Data!AJ902,Raw_Data!N902)</f>
        <v>0</v>
      </c>
      <c r="L899" s="12">
        <f t="shared" si="127"/>
        <v>1</v>
      </c>
      <c r="M899" s="12" t="str">
        <f>IF(Raw_Data!AK902="","",Raw_Data!AK902)</f>
        <v/>
      </c>
      <c r="N899" s="12" t="str">
        <f>IF(Raw_Data!T902="","",Raw_Data!T902)</f>
        <v/>
      </c>
      <c r="O899" s="12" t="str">
        <f>IF(Raw_Data!AB902&lt;&gt;"",Raw_Data!AB902,IF(N899="tres_insatisfait",1,IF(N899="insatisfait",2,IF(N899="neutre",3,IF(N899="satisfait",4,IF(N899="tres_satisfait",5,""))))))</f>
        <v/>
      </c>
      <c r="P899" s="12">
        <f>IF(Raw_Data!AL902&lt;&gt;"",Raw_Data!AL902,Raw_Data!R902)</f>
        <v>0</v>
      </c>
      <c r="Q899" s="12">
        <f t="shared" si="128"/>
        <v>0</v>
      </c>
      <c r="R899" s="12" t="str">
        <f>IF(Raw_Data!AM902="","",Raw_Data!AM902)</f>
        <v/>
      </c>
      <c r="S899" s="12" t="str">
        <f t="shared" si="129"/>
        <v/>
      </c>
      <c r="T899" s="12" t="str">
        <f>IF(Raw_Data!AN902="","",Raw_Data!AN902)</f>
        <v/>
      </c>
      <c r="U899" s="12" t="str">
        <f t="shared" si="130"/>
        <v/>
      </c>
      <c r="V899" s="12" t="str">
        <f>IF(Raw_Data!AP902="","",IF(Raw_Data!AP902="oui",1,0))</f>
        <v/>
      </c>
      <c r="W899" s="12" t="str">
        <f>IF(Raw_Data!AQ902="","",IF(Raw_Data!AQ902="oui",1,0))</f>
        <v/>
      </c>
      <c r="X899" s="12" t="str">
        <f>IF(Raw_Data!AR902="","",IF(Raw_Data!AR902="oui",1,0))</f>
        <v/>
      </c>
      <c r="Y899" s="12" t="str">
        <f>IF(Raw_Data!AS902="","",IF(Raw_Data!AS902="oui",1,0))</f>
        <v/>
      </c>
      <c r="Z899" s="12" t="str">
        <f>IF(Raw_Data!V902="","",IF(Raw_Data!V902="oui",1,0))</f>
        <v/>
      </c>
      <c r="AA899" s="12" t="str">
        <f>IF(Raw_Data!W902="","",IF(Raw_Data!W902="oui",1,0))</f>
        <v/>
      </c>
      <c r="AB899" s="12" t="str">
        <f>IF(Raw_Data!Q902="","",IF(Raw_Data!Q902="oui",1,0))</f>
        <v/>
      </c>
      <c r="AC899" s="12">
        <f>Raw_Data!AF902</f>
        <v>0</v>
      </c>
      <c r="AD899" s="12" t="str">
        <f t="shared" si="131"/>
        <v/>
      </c>
      <c r="AE899" s="12" t="str">
        <f t="shared" si="132"/>
        <v/>
      </c>
      <c r="AF899" s="12" t="str">
        <f t="shared" si="133"/>
        <v/>
      </c>
      <c r="AG899" s="12">
        <f t="shared" si="134"/>
        <v>0</v>
      </c>
    </row>
    <row r="900" spans="1:33" ht="15" customHeight="1" x14ac:dyDescent="0.25">
      <c r="A900" s="12" t="str">
        <f>IF(Raw_Data!B903="","",Raw_Data!B903)</f>
        <v/>
      </c>
      <c r="B900" s="12">
        <f>IF(Raw_Data!X903&lt;&gt;"",Raw_Data!X903,Raw_Data!C903)</f>
        <v>0</v>
      </c>
      <c r="C900" s="12" t="str">
        <f>IF(Raw_Data!G903="","",Raw_Data!G903)</f>
        <v/>
      </c>
      <c r="D900" s="12" t="str">
        <f>IF(Raw_Data!H903="","",Raw_Data!H903)</f>
        <v/>
      </c>
      <c r="E900" s="12" t="str">
        <f>IF(Raw_Data!I903="","",Raw_Data!I903)</f>
        <v/>
      </c>
      <c r="F900" s="12" t="str">
        <f>IF(Raw_Data!J903="","",Raw_Data!J903)</f>
        <v/>
      </c>
      <c r="G900" s="12" t="str">
        <f>IF(Raw_Data!AH903&lt;&gt;"",Raw_Data!AH903,IF(Raw_Data!K903&lt;&gt;"",Raw_Data!K903,""))</f>
        <v/>
      </c>
      <c r="H900" s="12" t="str">
        <f>IF(Raw_Data!AI903&lt;&gt;"",Raw_Data!AI903,IF(Raw_Data!L903&lt;&gt;"",Raw_Data!L903,""))</f>
        <v/>
      </c>
      <c r="I900" s="12" t="str">
        <f t="shared" si="126"/>
        <v/>
      </c>
      <c r="J900" s="12" t="str">
        <f>IF(Raw_Data!M903="","",Raw_Data!M903)</f>
        <v/>
      </c>
      <c r="K900" s="12">
        <f>IF(Raw_Data!AJ903&lt;&gt;"",Raw_Data!AJ903,Raw_Data!N903)</f>
        <v>0</v>
      </c>
      <c r="L900" s="12">
        <f t="shared" si="127"/>
        <v>1</v>
      </c>
      <c r="M900" s="12" t="str">
        <f>IF(Raw_Data!AK903="","",Raw_Data!AK903)</f>
        <v/>
      </c>
      <c r="N900" s="12" t="str">
        <f>IF(Raw_Data!T903="","",Raw_Data!T903)</f>
        <v/>
      </c>
      <c r="O900" s="12" t="str">
        <f>IF(Raw_Data!AB903&lt;&gt;"",Raw_Data!AB903,IF(N900="tres_insatisfait",1,IF(N900="insatisfait",2,IF(N900="neutre",3,IF(N900="satisfait",4,IF(N900="tres_satisfait",5,""))))))</f>
        <v/>
      </c>
      <c r="P900" s="12">
        <f>IF(Raw_Data!AL903&lt;&gt;"",Raw_Data!AL903,Raw_Data!R903)</f>
        <v>0</v>
      </c>
      <c r="Q900" s="12">
        <f t="shared" si="128"/>
        <v>0</v>
      </c>
      <c r="R900" s="12" t="str">
        <f>IF(Raw_Data!AM903="","",Raw_Data!AM903)</f>
        <v/>
      </c>
      <c r="S900" s="12" t="str">
        <f t="shared" si="129"/>
        <v/>
      </c>
      <c r="T900" s="12" t="str">
        <f>IF(Raw_Data!AN903="","",Raw_Data!AN903)</f>
        <v/>
      </c>
      <c r="U900" s="12" t="str">
        <f t="shared" si="130"/>
        <v/>
      </c>
      <c r="V900" s="12" t="str">
        <f>IF(Raw_Data!AP903="","",IF(Raw_Data!AP903="oui",1,0))</f>
        <v/>
      </c>
      <c r="W900" s="12" t="str">
        <f>IF(Raw_Data!AQ903="","",IF(Raw_Data!AQ903="oui",1,0))</f>
        <v/>
      </c>
      <c r="X900" s="12" t="str">
        <f>IF(Raw_Data!AR903="","",IF(Raw_Data!AR903="oui",1,0))</f>
        <v/>
      </c>
      <c r="Y900" s="12" t="str">
        <f>IF(Raw_Data!AS903="","",IF(Raw_Data!AS903="oui",1,0))</f>
        <v/>
      </c>
      <c r="Z900" s="12" t="str">
        <f>IF(Raw_Data!V903="","",IF(Raw_Data!V903="oui",1,0))</f>
        <v/>
      </c>
      <c r="AA900" s="12" t="str">
        <f>IF(Raw_Data!W903="","",IF(Raw_Data!W903="oui",1,0))</f>
        <v/>
      </c>
      <c r="AB900" s="12" t="str">
        <f>IF(Raw_Data!Q903="","",IF(Raw_Data!Q903="oui",1,0))</f>
        <v/>
      </c>
      <c r="AC900" s="12">
        <f>Raw_Data!AF903</f>
        <v>0</v>
      </c>
      <c r="AD900" s="12" t="str">
        <f t="shared" si="131"/>
        <v/>
      </c>
      <c r="AE900" s="12" t="str">
        <f t="shared" si="132"/>
        <v/>
      </c>
      <c r="AF900" s="12" t="str">
        <f t="shared" si="133"/>
        <v/>
      </c>
      <c r="AG900" s="12">
        <f t="shared" si="134"/>
        <v>0</v>
      </c>
    </row>
    <row r="901" spans="1:33" ht="15" customHeight="1" x14ac:dyDescent="0.25">
      <c r="A901" s="12" t="str">
        <f>IF(Raw_Data!B904="","",Raw_Data!B904)</f>
        <v/>
      </c>
      <c r="B901" s="12">
        <f>IF(Raw_Data!X904&lt;&gt;"",Raw_Data!X904,Raw_Data!C904)</f>
        <v>0</v>
      </c>
      <c r="C901" s="12" t="str">
        <f>IF(Raw_Data!G904="","",Raw_Data!G904)</f>
        <v/>
      </c>
      <c r="D901" s="12" t="str">
        <f>IF(Raw_Data!H904="","",Raw_Data!H904)</f>
        <v/>
      </c>
      <c r="E901" s="12" t="str">
        <f>IF(Raw_Data!I904="","",Raw_Data!I904)</f>
        <v/>
      </c>
      <c r="F901" s="12" t="str">
        <f>IF(Raw_Data!J904="","",Raw_Data!J904)</f>
        <v/>
      </c>
      <c r="G901" s="12" t="str">
        <f>IF(Raw_Data!AH904&lt;&gt;"",Raw_Data!AH904,IF(Raw_Data!K904&lt;&gt;"",Raw_Data!K904,""))</f>
        <v/>
      </c>
      <c r="H901" s="12" t="str">
        <f>IF(Raw_Data!AI904&lt;&gt;"",Raw_Data!AI904,IF(Raw_Data!L904&lt;&gt;"",Raw_Data!L904,""))</f>
        <v/>
      </c>
      <c r="I901" s="12" t="str">
        <f t="shared" si="126"/>
        <v/>
      </c>
      <c r="J901" s="12" t="str">
        <f>IF(Raw_Data!M904="","",Raw_Data!M904)</f>
        <v/>
      </c>
      <c r="K901" s="12">
        <f>IF(Raw_Data!AJ904&lt;&gt;"",Raw_Data!AJ904,Raw_Data!N904)</f>
        <v>0</v>
      </c>
      <c r="L901" s="12">
        <f t="shared" si="127"/>
        <v>1</v>
      </c>
      <c r="M901" s="12" t="str">
        <f>IF(Raw_Data!AK904="","",Raw_Data!AK904)</f>
        <v/>
      </c>
      <c r="N901" s="12" t="str">
        <f>IF(Raw_Data!T904="","",Raw_Data!T904)</f>
        <v/>
      </c>
      <c r="O901" s="12" t="str">
        <f>IF(Raw_Data!AB904&lt;&gt;"",Raw_Data!AB904,IF(N901="tres_insatisfait",1,IF(N901="insatisfait",2,IF(N901="neutre",3,IF(N901="satisfait",4,IF(N901="tres_satisfait",5,""))))))</f>
        <v/>
      </c>
      <c r="P901" s="12">
        <f>IF(Raw_Data!AL904&lt;&gt;"",Raw_Data!AL904,Raw_Data!R904)</f>
        <v>0</v>
      </c>
      <c r="Q901" s="12">
        <f t="shared" si="128"/>
        <v>0</v>
      </c>
      <c r="R901" s="12" t="str">
        <f>IF(Raw_Data!AM904="","",Raw_Data!AM904)</f>
        <v/>
      </c>
      <c r="S901" s="12" t="str">
        <f t="shared" si="129"/>
        <v/>
      </c>
      <c r="T901" s="12" t="str">
        <f>IF(Raw_Data!AN904="","",Raw_Data!AN904)</f>
        <v/>
      </c>
      <c r="U901" s="12" t="str">
        <f t="shared" si="130"/>
        <v/>
      </c>
      <c r="V901" s="12" t="str">
        <f>IF(Raw_Data!AP904="","",IF(Raw_Data!AP904="oui",1,0))</f>
        <v/>
      </c>
      <c r="W901" s="12" t="str">
        <f>IF(Raw_Data!AQ904="","",IF(Raw_Data!AQ904="oui",1,0))</f>
        <v/>
      </c>
      <c r="X901" s="12" t="str">
        <f>IF(Raw_Data!AR904="","",IF(Raw_Data!AR904="oui",1,0))</f>
        <v/>
      </c>
      <c r="Y901" s="12" t="str">
        <f>IF(Raw_Data!AS904="","",IF(Raw_Data!AS904="oui",1,0))</f>
        <v/>
      </c>
      <c r="Z901" s="12" t="str">
        <f>IF(Raw_Data!V904="","",IF(Raw_Data!V904="oui",1,0))</f>
        <v/>
      </c>
      <c r="AA901" s="12" t="str">
        <f>IF(Raw_Data!W904="","",IF(Raw_Data!W904="oui",1,0))</f>
        <v/>
      </c>
      <c r="AB901" s="12" t="str">
        <f>IF(Raw_Data!Q904="","",IF(Raw_Data!Q904="oui",1,0))</f>
        <v/>
      </c>
      <c r="AC901" s="12">
        <f>Raw_Data!AF904</f>
        <v>0</v>
      </c>
      <c r="AD901" s="12" t="str">
        <f t="shared" si="131"/>
        <v/>
      </c>
      <c r="AE901" s="12" t="str">
        <f t="shared" si="132"/>
        <v/>
      </c>
      <c r="AF901" s="12" t="str">
        <f t="shared" si="133"/>
        <v/>
      </c>
      <c r="AG901" s="12">
        <f t="shared" si="134"/>
        <v>0</v>
      </c>
    </row>
    <row r="902" spans="1:33" ht="15" customHeight="1" x14ac:dyDescent="0.25">
      <c r="A902" s="12" t="str">
        <f>IF(Raw_Data!B905="","",Raw_Data!B905)</f>
        <v/>
      </c>
      <c r="B902" s="12">
        <f>IF(Raw_Data!X905&lt;&gt;"",Raw_Data!X905,Raw_Data!C905)</f>
        <v>0</v>
      </c>
      <c r="C902" s="12" t="str">
        <f>IF(Raw_Data!G905="","",Raw_Data!G905)</f>
        <v/>
      </c>
      <c r="D902" s="12" t="str">
        <f>IF(Raw_Data!H905="","",Raw_Data!H905)</f>
        <v/>
      </c>
      <c r="E902" s="12" t="str">
        <f>IF(Raw_Data!I905="","",Raw_Data!I905)</f>
        <v/>
      </c>
      <c r="F902" s="12" t="str">
        <f>IF(Raw_Data!J905="","",Raw_Data!J905)</f>
        <v/>
      </c>
      <c r="G902" s="12" t="str">
        <f>IF(Raw_Data!AH905&lt;&gt;"",Raw_Data!AH905,IF(Raw_Data!K905&lt;&gt;"",Raw_Data!K905,""))</f>
        <v/>
      </c>
      <c r="H902" s="12" t="str">
        <f>IF(Raw_Data!AI905&lt;&gt;"",Raw_Data!AI905,IF(Raw_Data!L905&lt;&gt;"",Raw_Data!L905,""))</f>
        <v/>
      </c>
      <c r="I902" s="12" t="str">
        <f t="shared" si="126"/>
        <v/>
      </c>
      <c r="J902" s="12" t="str">
        <f>IF(Raw_Data!M905="","",Raw_Data!M905)</f>
        <v/>
      </c>
      <c r="K902" s="12">
        <f>IF(Raw_Data!AJ905&lt;&gt;"",Raw_Data!AJ905,Raw_Data!N905)</f>
        <v>0</v>
      </c>
      <c r="L902" s="12">
        <f t="shared" si="127"/>
        <v>1</v>
      </c>
      <c r="M902" s="12" t="str">
        <f>IF(Raw_Data!AK905="","",Raw_Data!AK905)</f>
        <v/>
      </c>
      <c r="N902" s="12" t="str">
        <f>IF(Raw_Data!T905="","",Raw_Data!T905)</f>
        <v/>
      </c>
      <c r="O902" s="12" t="str">
        <f>IF(Raw_Data!AB905&lt;&gt;"",Raw_Data!AB905,IF(N902="tres_insatisfait",1,IF(N902="insatisfait",2,IF(N902="neutre",3,IF(N902="satisfait",4,IF(N902="tres_satisfait",5,""))))))</f>
        <v/>
      </c>
      <c r="P902" s="12">
        <f>IF(Raw_Data!AL905&lt;&gt;"",Raw_Data!AL905,Raw_Data!R905)</f>
        <v>0</v>
      </c>
      <c r="Q902" s="12">
        <f t="shared" si="128"/>
        <v>0</v>
      </c>
      <c r="R902" s="12" t="str">
        <f>IF(Raw_Data!AM905="","",Raw_Data!AM905)</f>
        <v/>
      </c>
      <c r="S902" s="12" t="str">
        <f t="shared" si="129"/>
        <v/>
      </c>
      <c r="T902" s="12" t="str">
        <f>IF(Raw_Data!AN905="","",Raw_Data!AN905)</f>
        <v/>
      </c>
      <c r="U902" s="12" t="str">
        <f t="shared" si="130"/>
        <v/>
      </c>
      <c r="V902" s="12" t="str">
        <f>IF(Raw_Data!AP905="","",IF(Raw_Data!AP905="oui",1,0))</f>
        <v/>
      </c>
      <c r="W902" s="12" t="str">
        <f>IF(Raw_Data!AQ905="","",IF(Raw_Data!AQ905="oui",1,0))</f>
        <v/>
      </c>
      <c r="X902" s="12" t="str">
        <f>IF(Raw_Data!AR905="","",IF(Raw_Data!AR905="oui",1,0))</f>
        <v/>
      </c>
      <c r="Y902" s="12" t="str">
        <f>IF(Raw_Data!AS905="","",IF(Raw_Data!AS905="oui",1,0))</f>
        <v/>
      </c>
      <c r="Z902" s="12" t="str">
        <f>IF(Raw_Data!V905="","",IF(Raw_Data!V905="oui",1,0))</f>
        <v/>
      </c>
      <c r="AA902" s="12" t="str">
        <f>IF(Raw_Data!W905="","",IF(Raw_Data!W905="oui",1,0))</f>
        <v/>
      </c>
      <c r="AB902" s="12" t="str">
        <f>IF(Raw_Data!Q905="","",IF(Raw_Data!Q905="oui",1,0))</f>
        <v/>
      </c>
      <c r="AC902" s="12">
        <f>Raw_Data!AF905</f>
        <v>0</v>
      </c>
      <c r="AD902" s="12" t="str">
        <f t="shared" si="131"/>
        <v/>
      </c>
      <c r="AE902" s="12" t="str">
        <f t="shared" si="132"/>
        <v/>
      </c>
      <c r="AF902" s="12" t="str">
        <f t="shared" si="133"/>
        <v/>
      </c>
      <c r="AG902" s="12">
        <f t="shared" si="134"/>
        <v>0</v>
      </c>
    </row>
    <row r="903" spans="1:33" ht="15" customHeight="1" x14ac:dyDescent="0.25">
      <c r="A903" s="12" t="str">
        <f>IF(Raw_Data!B906="","",Raw_Data!B906)</f>
        <v/>
      </c>
      <c r="B903" s="12">
        <f>IF(Raw_Data!X906&lt;&gt;"",Raw_Data!X906,Raw_Data!C906)</f>
        <v>0</v>
      </c>
      <c r="C903" s="12" t="str">
        <f>IF(Raw_Data!G906="","",Raw_Data!G906)</f>
        <v/>
      </c>
      <c r="D903" s="12" t="str">
        <f>IF(Raw_Data!H906="","",Raw_Data!H906)</f>
        <v/>
      </c>
      <c r="E903" s="12" t="str">
        <f>IF(Raw_Data!I906="","",Raw_Data!I906)</f>
        <v/>
      </c>
      <c r="F903" s="12" t="str">
        <f>IF(Raw_Data!J906="","",Raw_Data!J906)</f>
        <v/>
      </c>
      <c r="G903" s="12" t="str">
        <f>IF(Raw_Data!AH906&lt;&gt;"",Raw_Data!AH906,IF(Raw_Data!K906&lt;&gt;"",Raw_Data!K906,""))</f>
        <v/>
      </c>
      <c r="H903" s="12" t="str">
        <f>IF(Raw_Data!AI906&lt;&gt;"",Raw_Data!AI906,IF(Raw_Data!L906&lt;&gt;"",Raw_Data!L906,""))</f>
        <v/>
      </c>
      <c r="I903" s="12" t="str">
        <f t="shared" si="126"/>
        <v/>
      </c>
      <c r="J903" s="12" t="str">
        <f>IF(Raw_Data!M906="","",Raw_Data!M906)</f>
        <v/>
      </c>
      <c r="K903" s="12">
        <f>IF(Raw_Data!AJ906&lt;&gt;"",Raw_Data!AJ906,Raw_Data!N906)</f>
        <v>0</v>
      </c>
      <c r="L903" s="12">
        <f t="shared" si="127"/>
        <v>1</v>
      </c>
      <c r="M903" s="12" t="str">
        <f>IF(Raw_Data!AK906="","",Raw_Data!AK906)</f>
        <v/>
      </c>
      <c r="N903" s="12" t="str">
        <f>IF(Raw_Data!T906="","",Raw_Data!T906)</f>
        <v/>
      </c>
      <c r="O903" s="12" t="str">
        <f>IF(Raw_Data!AB906&lt;&gt;"",Raw_Data!AB906,IF(N903="tres_insatisfait",1,IF(N903="insatisfait",2,IF(N903="neutre",3,IF(N903="satisfait",4,IF(N903="tres_satisfait",5,""))))))</f>
        <v/>
      </c>
      <c r="P903" s="12">
        <f>IF(Raw_Data!AL906&lt;&gt;"",Raw_Data!AL906,Raw_Data!R906)</f>
        <v>0</v>
      </c>
      <c r="Q903" s="12">
        <f t="shared" si="128"/>
        <v>0</v>
      </c>
      <c r="R903" s="12" t="str">
        <f>IF(Raw_Data!AM906="","",Raw_Data!AM906)</f>
        <v/>
      </c>
      <c r="S903" s="12" t="str">
        <f t="shared" si="129"/>
        <v/>
      </c>
      <c r="T903" s="12" t="str">
        <f>IF(Raw_Data!AN906="","",Raw_Data!AN906)</f>
        <v/>
      </c>
      <c r="U903" s="12" t="str">
        <f t="shared" si="130"/>
        <v/>
      </c>
      <c r="V903" s="12" t="str">
        <f>IF(Raw_Data!AP906="","",IF(Raw_Data!AP906="oui",1,0))</f>
        <v/>
      </c>
      <c r="W903" s="12" t="str">
        <f>IF(Raw_Data!AQ906="","",IF(Raw_Data!AQ906="oui",1,0))</f>
        <v/>
      </c>
      <c r="X903" s="12" t="str">
        <f>IF(Raw_Data!AR906="","",IF(Raw_Data!AR906="oui",1,0))</f>
        <v/>
      </c>
      <c r="Y903" s="12" t="str">
        <f>IF(Raw_Data!AS906="","",IF(Raw_Data!AS906="oui",1,0))</f>
        <v/>
      </c>
      <c r="Z903" s="12" t="str">
        <f>IF(Raw_Data!V906="","",IF(Raw_Data!V906="oui",1,0))</f>
        <v/>
      </c>
      <c r="AA903" s="12" t="str">
        <f>IF(Raw_Data!W906="","",IF(Raw_Data!W906="oui",1,0))</f>
        <v/>
      </c>
      <c r="AB903" s="12" t="str">
        <f>IF(Raw_Data!Q906="","",IF(Raw_Data!Q906="oui",1,0))</f>
        <v/>
      </c>
      <c r="AC903" s="12">
        <f>Raw_Data!AF906</f>
        <v>0</v>
      </c>
      <c r="AD903" s="12" t="str">
        <f t="shared" si="131"/>
        <v/>
      </c>
      <c r="AE903" s="12" t="str">
        <f t="shared" si="132"/>
        <v/>
      </c>
      <c r="AF903" s="12" t="str">
        <f t="shared" si="133"/>
        <v/>
      </c>
      <c r="AG903" s="12">
        <f t="shared" si="134"/>
        <v>0</v>
      </c>
    </row>
    <row r="904" spans="1:33" ht="15" customHeight="1" x14ac:dyDescent="0.25">
      <c r="A904" s="12" t="str">
        <f>IF(Raw_Data!B907="","",Raw_Data!B907)</f>
        <v/>
      </c>
      <c r="B904" s="12">
        <f>IF(Raw_Data!X907&lt;&gt;"",Raw_Data!X907,Raw_Data!C907)</f>
        <v>0</v>
      </c>
      <c r="C904" s="12" t="str">
        <f>IF(Raw_Data!G907="","",Raw_Data!G907)</f>
        <v/>
      </c>
      <c r="D904" s="12" t="str">
        <f>IF(Raw_Data!H907="","",Raw_Data!H907)</f>
        <v/>
      </c>
      <c r="E904" s="12" t="str">
        <f>IF(Raw_Data!I907="","",Raw_Data!I907)</f>
        <v/>
      </c>
      <c r="F904" s="12" t="str">
        <f>IF(Raw_Data!J907="","",Raw_Data!J907)</f>
        <v/>
      </c>
      <c r="G904" s="12" t="str">
        <f>IF(Raw_Data!AH907&lt;&gt;"",Raw_Data!AH907,IF(Raw_Data!K907&lt;&gt;"",Raw_Data!K907,""))</f>
        <v/>
      </c>
      <c r="H904" s="12" t="str">
        <f>IF(Raw_Data!AI907&lt;&gt;"",Raw_Data!AI907,IF(Raw_Data!L907&lt;&gt;"",Raw_Data!L907,""))</f>
        <v/>
      </c>
      <c r="I904" s="12" t="str">
        <f t="shared" si="126"/>
        <v/>
      </c>
      <c r="J904" s="12" t="str">
        <f>IF(Raw_Data!M907="","",Raw_Data!M907)</f>
        <v/>
      </c>
      <c r="K904" s="12">
        <f>IF(Raw_Data!AJ907&lt;&gt;"",Raw_Data!AJ907,Raw_Data!N907)</f>
        <v>0</v>
      </c>
      <c r="L904" s="12">
        <f t="shared" si="127"/>
        <v>1</v>
      </c>
      <c r="M904" s="12" t="str">
        <f>IF(Raw_Data!AK907="","",Raw_Data!AK907)</f>
        <v/>
      </c>
      <c r="N904" s="12" t="str">
        <f>IF(Raw_Data!T907="","",Raw_Data!T907)</f>
        <v/>
      </c>
      <c r="O904" s="12" t="str">
        <f>IF(Raw_Data!AB907&lt;&gt;"",Raw_Data!AB907,IF(N904="tres_insatisfait",1,IF(N904="insatisfait",2,IF(N904="neutre",3,IF(N904="satisfait",4,IF(N904="tres_satisfait",5,""))))))</f>
        <v/>
      </c>
      <c r="P904" s="12">
        <f>IF(Raw_Data!AL907&lt;&gt;"",Raw_Data!AL907,Raw_Data!R907)</f>
        <v>0</v>
      </c>
      <c r="Q904" s="12">
        <f t="shared" si="128"/>
        <v>0</v>
      </c>
      <c r="R904" s="12" t="str">
        <f>IF(Raw_Data!AM907="","",Raw_Data!AM907)</f>
        <v/>
      </c>
      <c r="S904" s="12" t="str">
        <f t="shared" si="129"/>
        <v/>
      </c>
      <c r="T904" s="12" t="str">
        <f>IF(Raw_Data!AN907="","",Raw_Data!AN907)</f>
        <v/>
      </c>
      <c r="U904" s="12" t="str">
        <f t="shared" si="130"/>
        <v/>
      </c>
      <c r="V904" s="12" t="str">
        <f>IF(Raw_Data!AP907="","",IF(Raw_Data!AP907="oui",1,0))</f>
        <v/>
      </c>
      <c r="W904" s="12" t="str">
        <f>IF(Raw_Data!AQ907="","",IF(Raw_Data!AQ907="oui",1,0))</f>
        <v/>
      </c>
      <c r="X904" s="12" t="str">
        <f>IF(Raw_Data!AR907="","",IF(Raw_Data!AR907="oui",1,0))</f>
        <v/>
      </c>
      <c r="Y904" s="12" t="str">
        <f>IF(Raw_Data!AS907="","",IF(Raw_Data!AS907="oui",1,0))</f>
        <v/>
      </c>
      <c r="Z904" s="12" t="str">
        <f>IF(Raw_Data!V907="","",IF(Raw_Data!V907="oui",1,0))</f>
        <v/>
      </c>
      <c r="AA904" s="12" t="str">
        <f>IF(Raw_Data!W907="","",IF(Raw_Data!W907="oui",1,0))</f>
        <v/>
      </c>
      <c r="AB904" s="12" t="str">
        <f>IF(Raw_Data!Q907="","",IF(Raw_Data!Q907="oui",1,0))</f>
        <v/>
      </c>
      <c r="AC904" s="12">
        <f>Raw_Data!AF907</f>
        <v>0</v>
      </c>
      <c r="AD904" s="12" t="str">
        <f t="shared" si="131"/>
        <v/>
      </c>
      <c r="AE904" s="12" t="str">
        <f t="shared" si="132"/>
        <v/>
      </c>
      <c r="AF904" s="12" t="str">
        <f t="shared" si="133"/>
        <v/>
      </c>
      <c r="AG904" s="12">
        <f t="shared" si="134"/>
        <v>0</v>
      </c>
    </row>
    <row r="905" spans="1:33" ht="15" customHeight="1" x14ac:dyDescent="0.25">
      <c r="A905" s="12" t="str">
        <f>IF(Raw_Data!B908="","",Raw_Data!B908)</f>
        <v/>
      </c>
      <c r="B905" s="12">
        <f>IF(Raw_Data!X908&lt;&gt;"",Raw_Data!X908,Raw_Data!C908)</f>
        <v>0</v>
      </c>
      <c r="C905" s="12" t="str">
        <f>IF(Raw_Data!G908="","",Raw_Data!G908)</f>
        <v/>
      </c>
      <c r="D905" s="12" t="str">
        <f>IF(Raw_Data!H908="","",Raw_Data!H908)</f>
        <v/>
      </c>
      <c r="E905" s="12" t="str">
        <f>IF(Raw_Data!I908="","",Raw_Data!I908)</f>
        <v/>
      </c>
      <c r="F905" s="12" t="str">
        <f>IF(Raw_Data!J908="","",Raw_Data!J908)</f>
        <v/>
      </c>
      <c r="G905" s="12" t="str">
        <f>IF(Raw_Data!AH908&lt;&gt;"",Raw_Data!AH908,IF(Raw_Data!K908&lt;&gt;"",Raw_Data!K908,""))</f>
        <v/>
      </c>
      <c r="H905" s="12" t="str">
        <f>IF(Raw_Data!AI908&lt;&gt;"",Raw_Data!AI908,IF(Raw_Data!L908&lt;&gt;"",Raw_Data!L908,""))</f>
        <v/>
      </c>
      <c r="I905" s="12" t="str">
        <f t="shared" si="126"/>
        <v/>
      </c>
      <c r="J905" s="12" t="str">
        <f>IF(Raw_Data!M908="","",Raw_Data!M908)</f>
        <v/>
      </c>
      <c r="K905" s="12">
        <f>IF(Raw_Data!AJ908&lt;&gt;"",Raw_Data!AJ908,Raw_Data!N908)</f>
        <v>0</v>
      </c>
      <c r="L905" s="12">
        <f t="shared" si="127"/>
        <v>1</v>
      </c>
      <c r="M905" s="12" t="str">
        <f>IF(Raw_Data!AK908="","",Raw_Data!AK908)</f>
        <v/>
      </c>
      <c r="N905" s="12" t="str">
        <f>IF(Raw_Data!T908="","",Raw_Data!T908)</f>
        <v/>
      </c>
      <c r="O905" s="12" t="str">
        <f>IF(Raw_Data!AB908&lt;&gt;"",Raw_Data!AB908,IF(N905="tres_insatisfait",1,IF(N905="insatisfait",2,IF(N905="neutre",3,IF(N905="satisfait",4,IF(N905="tres_satisfait",5,""))))))</f>
        <v/>
      </c>
      <c r="P905" s="12">
        <f>IF(Raw_Data!AL908&lt;&gt;"",Raw_Data!AL908,Raw_Data!R908)</f>
        <v>0</v>
      </c>
      <c r="Q905" s="12">
        <f t="shared" si="128"/>
        <v>0</v>
      </c>
      <c r="R905" s="12" t="str">
        <f>IF(Raw_Data!AM908="","",Raw_Data!AM908)</f>
        <v/>
      </c>
      <c r="S905" s="12" t="str">
        <f t="shared" si="129"/>
        <v/>
      </c>
      <c r="T905" s="12" t="str">
        <f>IF(Raw_Data!AN908="","",Raw_Data!AN908)</f>
        <v/>
      </c>
      <c r="U905" s="12" t="str">
        <f t="shared" si="130"/>
        <v/>
      </c>
      <c r="V905" s="12" t="str">
        <f>IF(Raw_Data!AP908="","",IF(Raw_Data!AP908="oui",1,0))</f>
        <v/>
      </c>
      <c r="W905" s="12" t="str">
        <f>IF(Raw_Data!AQ908="","",IF(Raw_Data!AQ908="oui",1,0))</f>
        <v/>
      </c>
      <c r="X905" s="12" t="str">
        <f>IF(Raw_Data!AR908="","",IF(Raw_Data!AR908="oui",1,0))</f>
        <v/>
      </c>
      <c r="Y905" s="12" t="str">
        <f>IF(Raw_Data!AS908="","",IF(Raw_Data!AS908="oui",1,0))</f>
        <v/>
      </c>
      <c r="Z905" s="12" t="str">
        <f>IF(Raw_Data!V908="","",IF(Raw_Data!V908="oui",1,0))</f>
        <v/>
      </c>
      <c r="AA905" s="12" t="str">
        <f>IF(Raw_Data!W908="","",IF(Raw_Data!W908="oui",1,0))</f>
        <v/>
      </c>
      <c r="AB905" s="12" t="str">
        <f>IF(Raw_Data!Q908="","",IF(Raw_Data!Q908="oui",1,0))</f>
        <v/>
      </c>
      <c r="AC905" s="12">
        <f>Raw_Data!AF908</f>
        <v>0</v>
      </c>
      <c r="AD905" s="12" t="str">
        <f t="shared" si="131"/>
        <v/>
      </c>
      <c r="AE905" s="12" t="str">
        <f t="shared" si="132"/>
        <v/>
      </c>
      <c r="AF905" s="12" t="str">
        <f t="shared" si="133"/>
        <v/>
      </c>
      <c r="AG905" s="12">
        <f t="shared" si="134"/>
        <v>0</v>
      </c>
    </row>
    <row r="906" spans="1:33" ht="15" customHeight="1" x14ac:dyDescent="0.25">
      <c r="A906" s="12" t="str">
        <f>IF(Raw_Data!B909="","",Raw_Data!B909)</f>
        <v/>
      </c>
      <c r="B906" s="12">
        <f>IF(Raw_Data!X909&lt;&gt;"",Raw_Data!X909,Raw_Data!C909)</f>
        <v>0</v>
      </c>
      <c r="C906" s="12" t="str">
        <f>IF(Raw_Data!G909="","",Raw_Data!G909)</f>
        <v/>
      </c>
      <c r="D906" s="12" t="str">
        <f>IF(Raw_Data!H909="","",Raw_Data!H909)</f>
        <v/>
      </c>
      <c r="E906" s="12" t="str">
        <f>IF(Raw_Data!I909="","",Raw_Data!I909)</f>
        <v/>
      </c>
      <c r="F906" s="12" t="str">
        <f>IF(Raw_Data!J909="","",Raw_Data!J909)</f>
        <v/>
      </c>
      <c r="G906" s="12" t="str">
        <f>IF(Raw_Data!AH909&lt;&gt;"",Raw_Data!AH909,IF(Raw_Data!K909&lt;&gt;"",Raw_Data!K909,""))</f>
        <v/>
      </c>
      <c r="H906" s="12" t="str">
        <f>IF(Raw_Data!AI909&lt;&gt;"",Raw_Data!AI909,IF(Raw_Data!L909&lt;&gt;"",Raw_Data!L909,""))</f>
        <v/>
      </c>
      <c r="I906" s="12" t="str">
        <f t="shared" si="126"/>
        <v/>
      </c>
      <c r="J906" s="12" t="str">
        <f>IF(Raw_Data!M909="","",Raw_Data!M909)</f>
        <v/>
      </c>
      <c r="K906" s="12">
        <f>IF(Raw_Data!AJ909&lt;&gt;"",Raw_Data!AJ909,Raw_Data!N909)</f>
        <v>0</v>
      </c>
      <c r="L906" s="12">
        <f t="shared" si="127"/>
        <v>1</v>
      </c>
      <c r="M906" s="12" t="str">
        <f>IF(Raw_Data!AK909="","",Raw_Data!AK909)</f>
        <v/>
      </c>
      <c r="N906" s="12" t="str">
        <f>IF(Raw_Data!T909="","",Raw_Data!T909)</f>
        <v/>
      </c>
      <c r="O906" s="12" t="str">
        <f>IF(Raw_Data!AB909&lt;&gt;"",Raw_Data!AB909,IF(N906="tres_insatisfait",1,IF(N906="insatisfait",2,IF(N906="neutre",3,IF(N906="satisfait",4,IF(N906="tres_satisfait",5,""))))))</f>
        <v/>
      </c>
      <c r="P906" s="12">
        <f>IF(Raw_Data!AL909&lt;&gt;"",Raw_Data!AL909,Raw_Data!R909)</f>
        <v>0</v>
      </c>
      <c r="Q906" s="12">
        <f t="shared" si="128"/>
        <v>0</v>
      </c>
      <c r="R906" s="12" t="str">
        <f>IF(Raw_Data!AM909="","",Raw_Data!AM909)</f>
        <v/>
      </c>
      <c r="S906" s="12" t="str">
        <f t="shared" si="129"/>
        <v/>
      </c>
      <c r="T906" s="12" t="str">
        <f>IF(Raw_Data!AN909="","",Raw_Data!AN909)</f>
        <v/>
      </c>
      <c r="U906" s="12" t="str">
        <f t="shared" si="130"/>
        <v/>
      </c>
      <c r="V906" s="12" t="str">
        <f>IF(Raw_Data!AP909="","",IF(Raw_Data!AP909="oui",1,0))</f>
        <v/>
      </c>
      <c r="W906" s="12" t="str">
        <f>IF(Raw_Data!AQ909="","",IF(Raw_Data!AQ909="oui",1,0))</f>
        <v/>
      </c>
      <c r="X906" s="12" t="str">
        <f>IF(Raw_Data!AR909="","",IF(Raw_Data!AR909="oui",1,0))</f>
        <v/>
      </c>
      <c r="Y906" s="12" t="str">
        <f>IF(Raw_Data!AS909="","",IF(Raw_Data!AS909="oui",1,0))</f>
        <v/>
      </c>
      <c r="Z906" s="12" t="str">
        <f>IF(Raw_Data!V909="","",IF(Raw_Data!V909="oui",1,0))</f>
        <v/>
      </c>
      <c r="AA906" s="12" t="str">
        <f>IF(Raw_Data!W909="","",IF(Raw_Data!W909="oui",1,0))</f>
        <v/>
      </c>
      <c r="AB906" s="12" t="str">
        <f>IF(Raw_Data!Q909="","",IF(Raw_Data!Q909="oui",1,0))</f>
        <v/>
      </c>
      <c r="AC906" s="12">
        <f>Raw_Data!AF909</f>
        <v>0</v>
      </c>
      <c r="AD906" s="12" t="str">
        <f t="shared" si="131"/>
        <v/>
      </c>
      <c r="AE906" s="12" t="str">
        <f t="shared" si="132"/>
        <v/>
      </c>
      <c r="AF906" s="12" t="str">
        <f t="shared" si="133"/>
        <v/>
      </c>
      <c r="AG906" s="12">
        <f t="shared" si="134"/>
        <v>0</v>
      </c>
    </row>
    <row r="907" spans="1:33" ht="15" customHeight="1" x14ac:dyDescent="0.25">
      <c r="A907" s="12" t="str">
        <f>IF(Raw_Data!B910="","",Raw_Data!B910)</f>
        <v/>
      </c>
      <c r="B907" s="12">
        <f>IF(Raw_Data!X910&lt;&gt;"",Raw_Data!X910,Raw_Data!C910)</f>
        <v>0</v>
      </c>
      <c r="C907" s="12" t="str">
        <f>IF(Raw_Data!G910="","",Raw_Data!G910)</f>
        <v/>
      </c>
      <c r="D907" s="12" t="str">
        <f>IF(Raw_Data!H910="","",Raw_Data!H910)</f>
        <v/>
      </c>
      <c r="E907" s="12" t="str">
        <f>IF(Raw_Data!I910="","",Raw_Data!I910)</f>
        <v/>
      </c>
      <c r="F907" s="12" t="str">
        <f>IF(Raw_Data!J910="","",Raw_Data!J910)</f>
        <v/>
      </c>
      <c r="G907" s="12" t="str">
        <f>IF(Raw_Data!AH910&lt;&gt;"",Raw_Data!AH910,IF(Raw_Data!K910&lt;&gt;"",Raw_Data!K910,""))</f>
        <v/>
      </c>
      <c r="H907" s="12" t="str">
        <f>IF(Raw_Data!AI910&lt;&gt;"",Raw_Data!AI910,IF(Raw_Data!L910&lt;&gt;"",Raw_Data!L910,""))</f>
        <v/>
      </c>
      <c r="I907" s="12" t="str">
        <f t="shared" si="126"/>
        <v/>
      </c>
      <c r="J907" s="12" t="str">
        <f>IF(Raw_Data!M910="","",Raw_Data!M910)</f>
        <v/>
      </c>
      <c r="K907" s="12">
        <f>IF(Raw_Data!AJ910&lt;&gt;"",Raw_Data!AJ910,Raw_Data!N910)</f>
        <v>0</v>
      </c>
      <c r="L907" s="12">
        <f t="shared" si="127"/>
        <v>1</v>
      </c>
      <c r="M907" s="12" t="str">
        <f>IF(Raw_Data!AK910="","",Raw_Data!AK910)</f>
        <v/>
      </c>
      <c r="N907" s="12" t="str">
        <f>IF(Raw_Data!T910="","",Raw_Data!T910)</f>
        <v/>
      </c>
      <c r="O907" s="12" t="str">
        <f>IF(Raw_Data!AB910&lt;&gt;"",Raw_Data!AB910,IF(N907="tres_insatisfait",1,IF(N907="insatisfait",2,IF(N907="neutre",3,IF(N907="satisfait",4,IF(N907="tres_satisfait",5,""))))))</f>
        <v/>
      </c>
      <c r="P907" s="12">
        <f>IF(Raw_Data!AL910&lt;&gt;"",Raw_Data!AL910,Raw_Data!R910)</f>
        <v>0</v>
      </c>
      <c r="Q907" s="12">
        <f t="shared" si="128"/>
        <v>0</v>
      </c>
      <c r="R907" s="12" t="str">
        <f>IF(Raw_Data!AM910="","",Raw_Data!AM910)</f>
        <v/>
      </c>
      <c r="S907" s="12" t="str">
        <f t="shared" si="129"/>
        <v/>
      </c>
      <c r="T907" s="12" t="str">
        <f>IF(Raw_Data!AN910="","",Raw_Data!AN910)</f>
        <v/>
      </c>
      <c r="U907" s="12" t="str">
        <f t="shared" si="130"/>
        <v/>
      </c>
      <c r="V907" s="12" t="str">
        <f>IF(Raw_Data!AP910="","",IF(Raw_Data!AP910="oui",1,0))</f>
        <v/>
      </c>
      <c r="W907" s="12" t="str">
        <f>IF(Raw_Data!AQ910="","",IF(Raw_Data!AQ910="oui",1,0))</f>
        <v/>
      </c>
      <c r="X907" s="12" t="str">
        <f>IF(Raw_Data!AR910="","",IF(Raw_Data!AR910="oui",1,0))</f>
        <v/>
      </c>
      <c r="Y907" s="12" t="str">
        <f>IF(Raw_Data!AS910="","",IF(Raw_Data!AS910="oui",1,0))</f>
        <v/>
      </c>
      <c r="Z907" s="12" t="str">
        <f>IF(Raw_Data!V910="","",IF(Raw_Data!V910="oui",1,0))</f>
        <v/>
      </c>
      <c r="AA907" s="12" t="str">
        <f>IF(Raw_Data!W910="","",IF(Raw_Data!W910="oui",1,0))</f>
        <v/>
      </c>
      <c r="AB907" s="12" t="str">
        <f>IF(Raw_Data!Q910="","",IF(Raw_Data!Q910="oui",1,0))</f>
        <v/>
      </c>
      <c r="AC907" s="12">
        <f>Raw_Data!AF910</f>
        <v>0</v>
      </c>
      <c r="AD907" s="12" t="str">
        <f t="shared" si="131"/>
        <v/>
      </c>
      <c r="AE907" s="12" t="str">
        <f t="shared" si="132"/>
        <v/>
      </c>
      <c r="AF907" s="12" t="str">
        <f t="shared" si="133"/>
        <v/>
      </c>
      <c r="AG907" s="12">
        <f t="shared" si="134"/>
        <v>0</v>
      </c>
    </row>
    <row r="908" spans="1:33" ht="15" customHeight="1" x14ac:dyDescent="0.25">
      <c r="A908" s="12" t="str">
        <f>IF(Raw_Data!B911="","",Raw_Data!B911)</f>
        <v/>
      </c>
      <c r="B908" s="12">
        <f>IF(Raw_Data!X911&lt;&gt;"",Raw_Data!X911,Raw_Data!C911)</f>
        <v>0</v>
      </c>
      <c r="C908" s="12" t="str">
        <f>IF(Raw_Data!G911="","",Raw_Data!G911)</f>
        <v/>
      </c>
      <c r="D908" s="12" t="str">
        <f>IF(Raw_Data!H911="","",Raw_Data!H911)</f>
        <v/>
      </c>
      <c r="E908" s="12" t="str">
        <f>IF(Raw_Data!I911="","",Raw_Data!I911)</f>
        <v/>
      </c>
      <c r="F908" s="12" t="str">
        <f>IF(Raw_Data!J911="","",Raw_Data!J911)</f>
        <v/>
      </c>
      <c r="G908" s="12" t="str">
        <f>IF(Raw_Data!AH911&lt;&gt;"",Raw_Data!AH911,IF(Raw_Data!K911&lt;&gt;"",Raw_Data!K911,""))</f>
        <v/>
      </c>
      <c r="H908" s="12" t="str">
        <f>IF(Raw_Data!AI911&lt;&gt;"",Raw_Data!AI911,IF(Raw_Data!L911&lt;&gt;"",Raw_Data!L911,""))</f>
        <v/>
      </c>
      <c r="I908" s="12" t="str">
        <f t="shared" si="126"/>
        <v/>
      </c>
      <c r="J908" s="12" t="str">
        <f>IF(Raw_Data!M911="","",Raw_Data!M911)</f>
        <v/>
      </c>
      <c r="K908" s="12">
        <f>IF(Raw_Data!AJ911&lt;&gt;"",Raw_Data!AJ911,Raw_Data!N911)</f>
        <v>0</v>
      </c>
      <c r="L908" s="12">
        <f t="shared" si="127"/>
        <v>1</v>
      </c>
      <c r="M908" s="12" t="str">
        <f>IF(Raw_Data!AK911="","",Raw_Data!AK911)</f>
        <v/>
      </c>
      <c r="N908" s="12" t="str">
        <f>IF(Raw_Data!T911="","",Raw_Data!T911)</f>
        <v/>
      </c>
      <c r="O908" s="12" t="str">
        <f>IF(Raw_Data!AB911&lt;&gt;"",Raw_Data!AB911,IF(N908="tres_insatisfait",1,IF(N908="insatisfait",2,IF(N908="neutre",3,IF(N908="satisfait",4,IF(N908="tres_satisfait",5,""))))))</f>
        <v/>
      </c>
      <c r="P908" s="12">
        <f>IF(Raw_Data!AL911&lt;&gt;"",Raw_Data!AL911,Raw_Data!R911)</f>
        <v>0</v>
      </c>
      <c r="Q908" s="12">
        <f t="shared" si="128"/>
        <v>0</v>
      </c>
      <c r="R908" s="12" t="str">
        <f>IF(Raw_Data!AM911="","",Raw_Data!AM911)</f>
        <v/>
      </c>
      <c r="S908" s="12" t="str">
        <f t="shared" si="129"/>
        <v/>
      </c>
      <c r="T908" s="12" t="str">
        <f>IF(Raw_Data!AN911="","",Raw_Data!AN911)</f>
        <v/>
      </c>
      <c r="U908" s="12" t="str">
        <f t="shared" si="130"/>
        <v/>
      </c>
      <c r="V908" s="12" t="str">
        <f>IF(Raw_Data!AP911="","",IF(Raw_Data!AP911="oui",1,0))</f>
        <v/>
      </c>
      <c r="W908" s="12" t="str">
        <f>IF(Raw_Data!AQ911="","",IF(Raw_Data!AQ911="oui",1,0))</f>
        <v/>
      </c>
      <c r="X908" s="12" t="str">
        <f>IF(Raw_Data!AR911="","",IF(Raw_Data!AR911="oui",1,0))</f>
        <v/>
      </c>
      <c r="Y908" s="12" t="str">
        <f>IF(Raw_Data!AS911="","",IF(Raw_Data!AS911="oui",1,0))</f>
        <v/>
      </c>
      <c r="Z908" s="12" t="str">
        <f>IF(Raw_Data!V911="","",IF(Raw_Data!V911="oui",1,0))</f>
        <v/>
      </c>
      <c r="AA908" s="12" t="str">
        <f>IF(Raw_Data!W911="","",IF(Raw_Data!W911="oui",1,0))</f>
        <v/>
      </c>
      <c r="AB908" s="12" t="str">
        <f>IF(Raw_Data!Q911="","",IF(Raw_Data!Q911="oui",1,0))</f>
        <v/>
      </c>
      <c r="AC908" s="12">
        <f>Raw_Data!AF911</f>
        <v>0</v>
      </c>
      <c r="AD908" s="12" t="str">
        <f t="shared" si="131"/>
        <v/>
      </c>
      <c r="AE908" s="12" t="str">
        <f t="shared" si="132"/>
        <v/>
      </c>
      <c r="AF908" s="12" t="str">
        <f t="shared" si="133"/>
        <v/>
      </c>
      <c r="AG908" s="12">
        <f t="shared" si="134"/>
        <v>0</v>
      </c>
    </row>
    <row r="909" spans="1:33" ht="15" customHeight="1" x14ac:dyDescent="0.25">
      <c r="A909" s="12" t="str">
        <f>IF(Raw_Data!B912="","",Raw_Data!B912)</f>
        <v/>
      </c>
      <c r="B909" s="12">
        <f>IF(Raw_Data!X912&lt;&gt;"",Raw_Data!X912,Raw_Data!C912)</f>
        <v>0</v>
      </c>
      <c r="C909" s="12" t="str">
        <f>IF(Raw_Data!G912="","",Raw_Data!G912)</f>
        <v/>
      </c>
      <c r="D909" s="12" t="str">
        <f>IF(Raw_Data!H912="","",Raw_Data!H912)</f>
        <v/>
      </c>
      <c r="E909" s="12" t="str">
        <f>IF(Raw_Data!I912="","",Raw_Data!I912)</f>
        <v/>
      </c>
      <c r="F909" s="12" t="str">
        <f>IF(Raw_Data!J912="","",Raw_Data!J912)</f>
        <v/>
      </c>
      <c r="G909" s="12" t="str">
        <f>IF(Raw_Data!AH912&lt;&gt;"",Raw_Data!AH912,IF(Raw_Data!K912&lt;&gt;"",Raw_Data!K912,""))</f>
        <v/>
      </c>
      <c r="H909" s="12" t="str">
        <f>IF(Raw_Data!AI912&lt;&gt;"",Raw_Data!AI912,IF(Raw_Data!L912&lt;&gt;"",Raw_Data!L912,""))</f>
        <v/>
      </c>
      <c r="I909" s="12" t="str">
        <f t="shared" si="126"/>
        <v/>
      </c>
      <c r="J909" s="12" t="str">
        <f>IF(Raw_Data!M912="","",Raw_Data!M912)</f>
        <v/>
      </c>
      <c r="K909" s="12">
        <f>IF(Raw_Data!AJ912&lt;&gt;"",Raw_Data!AJ912,Raw_Data!N912)</f>
        <v>0</v>
      </c>
      <c r="L909" s="12">
        <f t="shared" si="127"/>
        <v>1</v>
      </c>
      <c r="M909" s="12" t="str">
        <f>IF(Raw_Data!AK912="","",Raw_Data!AK912)</f>
        <v/>
      </c>
      <c r="N909" s="12" t="str">
        <f>IF(Raw_Data!T912="","",Raw_Data!T912)</f>
        <v/>
      </c>
      <c r="O909" s="12" t="str">
        <f>IF(Raw_Data!AB912&lt;&gt;"",Raw_Data!AB912,IF(N909="tres_insatisfait",1,IF(N909="insatisfait",2,IF(N909="neutre",3,IF(N909="satisfait",4,IF(N909="tres_satisfait",5,""))))))</f>
        <v/>
      </c>
      <c r="P909" s="12">
        <f>IF(Raw_Data!AL912&lt;&gt;"",Raw_Data!AL912,Raw_Data!R912)</f>
        <v>0</v>
      </c>
      <c r="Q909" s="12">
        <f t="shared" si="128"/>
        <v>0</v>
      </c>
      <c r="R909" s="12" t="str">
        <f>IF(Raw_Data!AM912="","",Raw_Data!AM912)</f>
        <v/>
      </c>
      <c r="S909" s="12" t="str">
        <f t="shared" si="129"/>
        <v/>
      </c>
      <c r="T909" s="12" t="str">
        <f>IF(Raw_Data!AN912="","",Raw_Data!AN912)</f>
        <v/>
      </c>
      <c r="U909" s="12" t="str">
        <f t="shared" si="130"/>
        <v/>
      </c>
      <c r="V909" s="12" t="str">
        <f>IF(Raw_Data!AP912="","",IF(Raw_Data!AP912="oui",1,0))</f>
        <v/>
      </c>
      <c r="W909" s="12" t="str">
        <f>IF(Raw_Data!AQ912="","",IF(Raw_Data!AQ912="oui",1,0))</f>
        <v/>
      </c>
      <c r="X909" s="12" t="str">
        <f>IF(Raw_Data!AR912="","",IF(Raw_Data!AR912="oui",1,0))</f>
        <v/>
      </c>
      <c r="Y909" s="12" t="str">
        <f>IF(Raw_Data!AS912="","",IF(Raw_Data!AS912="oui",1,0))</f>
        <v/>
      </c>
      <c r="Z909" s="12" t="str">
        <f>IF(Raw_Data!V912="","",IF(Raw_Data!V912="oui",1,0))</f>
        <v/>
      </c>
      <c r="AA909" s="12" t="str">
        <f>IF(Raw_Data!W912="","",IF(Raw_Data!W912="oui",1,0))</f>
        <v/>
      </c>
      <c r="AB909" s="12" t="str">
        <f>IF(Raw_Data!Q912="","",IF(Raw_Data!Q912="oui",1,0))</f>
        <v/>
      </c>
      <c r="AC909" s="12">
        <f>Raw_Data!AF912</f>
        <v>0</v>
      </c>
      <c r="AD909" s="12" t="str">
        <f t="shared" si="131"/>
        <v/>
      </c>
      <c r="AE909" s="12" t="str">
        <f t="shared" si="132"/>
        <v/>
      </c>
      <c r="AF909" s="12" t="str">
        <f t="shared" si="133"/>
        <v/>
      </c>
      <c r="AG909" s="12">
        <f t="shared" si="134"/>
        <v>0</v>
      </c>
    </row>
    <row r="910" spans="1:33" ht="15" customHeight="1" x14ac:dyDescent="0.25">
      <c r="A910" s="12" t="str">
        <f>IF(Raw_Data!B913="","",Raw_Data!B913)</f>
        <v/>
      </c>
      <c r="B910" s="12">
        <f>IF(Raw_Data!X913&lt;&gt;"",Raw_Data!X913,Raw_Data!C913)</f>
        <v>0</v>
      </c>
      <c r="C910" s="12" t="str">
        <f>IF(Raw_Data!G913="","",Raw_Data!G913)</f>
        <v/>
      </c>
      <c r="D910" s="12" t="str">
        <f>IF(Raw_Data!H913="","",Raw_Data!H913)</f>
        <v/>
      </c>
      <c r="E910" s="12" t="str">
        <f>IF(Raw_Data!I913="","",Raw_Data!I913)</f>
        <v/>
      </c>
      <c r="F910" s="12" t="str">
        <f>IF(Raw_Data!J913="","",Raw_Data!J913)</f>
        <v/>
      </c>
      <c r="G910" s="12" t="str">
        <f>IF(Raw_Data!AH913&lt;&gt;"",Raw_Data!AH913,IF(Raw_Data!K913&lt;&gt;"",Raw_Data!K913,""))</f>
        <v/>
      </c>
      <c r="H910" s="12" t="str">
        <f>IF(Raw_Data!AI913&lt;&gt;"",Raw_Data!AI913,IF(Raw_Data!L913&lt;&gt;"",Raw_Data!L913,""))</f>
        <v/>
      </c>
      <c r="I910" s="12" t="str">
        <f t="shared" si="126"/>
        <v/>
      </c>
      <c r="J910" s="12" t="str">
        <f>IF(Raw_Data!M913="","",Raw_Data!M913)</f>
        <v/>
      </c>
      <c r="K910" s="12">
        <f>IF(Raw_Data!AJ913&lt;&gt;"",Raw_Data!AJ913,Raw_Data!N913)</f>
        <v>0</v>
      </c>
      <c r="L910" s="12">
        <f t="shared" si="127"/>
        <v>1</v>
      </c>
      <c r="M910" s="12" t="str">
        <f>IF(Raw_Data!AK913="","",Raw_Data!AK913)</f>
        <v/>
      </c>
      <c r="N910" s="12" t="str">
        <f>IF(Raw_Data!T913="","",Raw_Data!T913)</f>
        <v/>
      </c>
      <c r="O910" s="12" t="str">
        <f>IF(Raw_Data!AB913&lt;&gt;"",Raw_Data!AB913,IF(N910="tres_insatisfait",1,IF(N910="insatisfait",2,IF(N910="neutre",3,IF(N910="satisfait",4,IF(N910="tres_satisfait",5,""))))))</f>
        <v/>
      </c>
      <c r="P910" s="12">
        <f>IF(Raw_Data!AL913&lt;&gt;"",Raw_Data!AL913,Raw_Data!R913)</f>
        <v>0</v>
      </c>
      <c r="Q910" s="12">
        <f t="shared" si="128"/>
        <v>0</v>
      </c>
      <c r="R910" s="12" t="str">
        <f>IF(Raw_Data!AM913="","",Raw_Data!AM913)</f>
        <v/>
      </c>
      <c r="S910" s="12" t="str">
        <f t="shared" si="129"/>
        <v/>
      </c>
      <c r="T910" s="12" t="str">
        <f>IF(Raw_Data!AN913="","",Raw_Data!AN913)</f>
        <v/>
      </c>
      <c r="U910" s="12" t="str">
        <f t="shared" si="130"/>
        <v/>
      </c>
      <c r="V910" s="12" t="str">
        <f>IF(Raw_Data!AP913="","",IF(Raw_Data!AP913="oui",1,0))</f>
        <v/>
      </c>
      <c r="W910" s="12" t="str">
        <f>IF(Raw_Data!AQ913="","",IF(Raw_Data!AQ913="oui",1,0))</f>
        <v/>
      </c>
      <c r="X910" s="12" t="str">
        <f>IF(Raw_Data!AR913="","",IF(Raw_Data!AR913="oui",1,0))</f>
        <v/>
      </c>
      <c r="Y910" s="12" t="str">
        <f>IF(Raw_Data!AS913="","",IF(Raw_Data!AS913="oui",1,0))</f>
        <v/>
      </c>
      <c r="Z910" s="12" t="str">
        <f>IF(Raw_Data!V913="","",IF(Raw_Data!V913="oui",1,0))</f>
        <v/>
      </c>
      <c r="AA910" s="12" t="str">
        <f>IF(Raw_Data!W913="","",IF(Raw_Data!W913="oui",1,0))</f>
        <v/>
      </c>
      <c r="AB910" s="12" t="str">
        <f>IF(Raw_Data!Q913="","",IF(Raw_Data!Q913="oui",1,0))</f>
        <v/>
      </c>
      <c r="AC910" s="12">
        <f>Raw_Data!AF913</f>
        <v>0</v>
      </c>
      <c r="AD910" s="12" t="str">
        <f t="shared" si="131"/>
        <v/>
      </c>
      <c r="AE910" s="12" t="str">
        <f t="shared" si="132"/>
        <v/>
      </c>
      <c r="AF910" s="12" t="str">
        <f t="shared" si="133"/>
        <v/>
      </c>
      <c r="AG910" s="12">
        <f t="shared" si="134"/>
        <v>0</v>
      </c>
    </row>
    <row r="911" spans="1:33" ht="15" customHeight="1" x14ac:dyDescent="0.25">
      <c r="A911" s="12" t="str">
        <f>IF(Raw_Data!B914="","",Raw_Data!B914)</f>
        <v/>
      </c>
      <c r="B911" s="12">
        <f>IF(Raw_Data!X914&lt;&gt;"",Raw_Data!X914,Raw_Data!C914)</f>
        <v>0</v>
      </c>
      <c r="C911" s="12" t="str">
        <f>IF(Raw_Data!G914="","",Raw_Data!G914)</f>
        <v/>
      </c>
      <c r="D911" s="12" t="str">
        <f>IF(Raw_Data!H914="","",Raw_Data!H914)</f>
        <v/>
      </c>
      <c r="E911" s="12" t="str">
        <f>IF(Raw_Data!I914="","",Raw_Data!I914)</f>
        <v/>
      </c>
      <c r="F911" s="12" t="str">
        <f>IF(Raw_Data!J914="","",Raw_Data!J914)</f>
        <v/>
      </c>
      <c r="G911" s="12" t="str">
        <f>IF(Raw_Data!AH914&lt;&gt;"",Raw_Data!AH914,IF(Raw_Data!K914&lt;&gt;"",Raw_Data!K914,""))</f>
        <v/>
      </c>
      <c r="H911" s="12" t="str">
        <f>IF(Raw_Data!AI914&lt;&gt;"",Raw_Data!AI914,IF(Raw_Data!L914&lt;&gt;"",Raw_Data!L914,""))</f>
        <v/>
      </c>
      <c r="I911" s="12" t="str">
        <f t="shared" si="126"/>
        <v/>
      </c>
      <c r="J911" s="12" t="str">
        <f>IF(Raw_Data!M914="","",Raw_Data!M914)</f>
        <v/>
      </c>
      <c r="K911" s="12">
        <f>IF(Raw_Data!AJ914&lt;&gt;"",Raw_Data!AJ914,Raw_Data!N914)</f>
        <v>0</v>
      </c>
      <c r="L911" s="12">
        <f t="shared" si="127"/>
        <v>1</v>
      </c>
      <c r="M911" s="12" t="str">
        <f>IF(Raw_Data!AK914="","",Raw_Data!AK914)</f>
        <v/>
      </c>
      <c r="N911" s="12" t="str">
        <f>IF(Raw_Data!T914="","",Raw_Data!T914)</f>
        <v/>
      </c>
      <c r="O911" s="12" t="str">
        <f>IF(Raw_Data!AB914&lt;&gt;"",Raw_Data!AB914,IF(N911="tres_insatisfait",1,IF(N911="insatisfait",2,IF(N911="neutre",3,IF(N911="satisfait",4,IF(N911="tres_satisfait",5,""))))))</f>
        <v/>
      </c>
      <c r="P911" s="12">
        <f>IF(Raw_Data!AL914&lt;&gt;"",Raw_Data!AL914,Raw_Data!R914)</f>
        <v>0</v>
      </c>
      <c r="Q911" s="12">
        <f t="shared" si="128"/>
        <v>0</v>
      </c>
      <c r="R911" s="12" t="str">
        <f>IF(Raw_Data!AM914="","",Raw_Data!AM914)</f>
        <v/>
      </c>
      <c r="S911" s="12" t="str">
        <f t="shared" si="129"/>
        <v/>
      </c>
      <c r="T911" s="12" t="str">
        <f>IF(Raw_Data!AN914="","",Raw_Data!AN914)</f>
        <v/>
      </c>
      <c r="U911" s="12" t="str">
        <f t="shared" si="130"/>
        <v/>
      </c>
      <c r="V911" s="12" t="str">
        <f>IF(Raw_Data!AP914="","",IF(Raw_Data!AP914="oui",1,0))</f>
        <v/>
      </c>
      <c r="W911" s="12" t="str">
        <f>IF(Raw_Data!AQ914="","",IF(Raw_Data!AQ914="oui",1,0))</f>
        <v/>
      </c>
      <c r="X911" s="12" t="str">
        <f>IF(Raw_Data!AR914="","",IF(Raw_Data!AR914="oui",1,0))</f>
        <v/>
      </c>
      <c r="Y911" s="12" t="str">
        <f>IF(Raw_Data!AS914="","",IF(Raw_Data!AS914="oui",1,0))</f>
        <v/>
      </c>
      <c r="Z911" s="12" t="str">
        <f>IF(Raw_Data!V914="","",IF(Raw_Data!V914="oui",1,0))</f>
        <v/>
      </c>
      <c r="AA911" s="12" t="str">
        <f>IF(Raw_Data!W914="","",IF(Raw_Data!W914="oui",1,0))</f>
        <v/>
      </c>
      <c r="AB911" s="12" t="str">
        <f>IF(Raw_Data!Q914="","",IF(Raw_Data!Q914="oui",1,0))</f>
        <v/>
      </c>
      <c r="AC911" s="12">
        <f>Raw_Data!AF914</f>
        <v>0</v>
      </c>
      <c r="AD911" s="12" t="str">
        <f t="shared" si="131"/>
        <v/>
      </c>
      <c r="AE911" s="12" t="str">
        <f t="shared" si="132"/>
        <v/>
      </c>
      <c r="AF911" s="12" t="str">
        <f t="shared" si="133"/>
        <v/>
      </c>
      <c r="AG911" s="12">
        <f t="shared" si="134"/>
        <v>0</v>
      </c>
    </row>
    <row r="912" spans="1:33" ht="15" customHeight="1" x14ac:dyDescent="0.25">
      <c r="A912" s="12" t="str">
        <f>IF(Raw_Data!B915="","",Raw_Data!B915)</f>
        <v/>
      </c>
      <c r="B912" s="12">
        <f>IF(Raw_Data!X915&lt;&gt;"",Raw_Data!X915,Raw_Data!C915)</f>
        <v>0</v>
      </c>
      <c r="C912" s="12" t="str">
        <f>IF(Raw_Data!G915="","",Raw_Data!G915)</f>
        <v/>
      </c>
      <c r="D912" s="12" t="str">
        <f>IF(Raw_Data!H915="","",Raw_Data!H915)</f>
        <v/>
      </c>
      <c r="E912" s="12" t="str">
        <f>IF(Raw_Data!I915="","",Raw_Data!I915)</f>
        <v/>
      </c>
      <c r="F912" s="12" t="str">
        <f>IF(Raw_Data!J915="","",Raw_Data!J915)</f>
        <v/>
      </c>
      <c r="G912" s="12" t="str">
        <f>IF(Raw_Data!AH915&lt;&gt;"",Raw_Data!AH915,IF(Raw_Data!K915&lt;&gt;"",Raw_Data!K915,""))</f>
        <v/>
      </c>
      <c r="H912" s="12" t="str">
        <f>IF(Raw_Data!AI915&lt;&gt;"",Raw_Data!AI915,IF(Raw_Data!L915&lt;&gt;"",Raw_Data!L915,""))</f>
        <v/>
      </c>
      <c r="I912" s="12" t="str">
        <f t="shared" si="126"/>
        <v/>
      </c>
      <c r="J912" s="12" t="str">
        <f>IF(Raw_Data!M915="","",Raw_Data!M915)</f>
        <v/>
      </c>
      <c r="K912" s="12">
        <f>IF(Raw_Data!AJ915&lt;&gt;"",Raw_Data!AJ915,Raw_Data!N915)</f>
        <v>0</v>
      </c>
      <c r="L912" s="12">
        <f t="shared" si="127"/>
        <v>1</v>
      </c>
      <c r="M912" s="12" t="str">
        <f>IF(Raw_Data!AK915="","",Raw_Data!AK915)</f>
        <v/>
      </c>
      <c r="N912" s="12" t="str">
        <f>IF(Raw_Data!T915="","",Raw_Data!T915)</f>
        <v/>
      </c>
      <c r="O912" s="12" t="str">
        <f>IF(Raw_Data!AB915&lt;&gt;"",Raw_Data!AB915,IF(N912="tres_insatisfait",1,IF(N912="insatisfait",2,IF(N912="neutre",3,IF(N912="satisfait",4,IF(N912="tres_satisfait",5,""))))))</f>
        <v/>
      </c>
      <c r="P912" s="12">
        <f>IF(Raw_Data!AL915&lt;&gt;"",Raw_Data!AL915,Raw_Data!R915)</f>
        <v>0</v>
      </c>
      <c r="Q912" s="12">
        <f t="shared" si="128"/>
        <v>0</v>
      </c>
      <c r="R912" s="12" t="str">
        <f>IF(Raw_Data!AM915="","",Raw_Data!AM915)</f>
        <v/>
      </c>
      <c r="S912" s="12" t="str">
        <f t="shared" si="129"/>
        <v/>
      </c>
      <c r="T912" s="12" t="str">
        <f>IF(Raw_Data!AN915="","",Raw_Data!AN915)</f>
        <v/>
      </c>
      <c r="U912" s="12" t="str">
        <f t="shared" si="130"/>
        <v/>
      </c>
      <c r="V912" s="12" t="str">
        <f>IF(Raw_Data!AP915="","",IF(Raw_Data!AP915="oui",1,0))</f>
        <v/>
      </c>
      <c r="W912" s="12" t="str">
        <f>IF(Raw_Data!AQ915="","",IF(Raw_Data!AQ915="oui",1,0))</f>
        <v/>
      </c>
      <c r="X912" s="12" t="str">
        <f>IF(Raw_Data!AR915="","",IF(Raw_Data!AR915="oui",1,0))</f>
        <v/>
      </c>
      <c r="Y912" s="12" t="str">
        <f>IF(Raw_Data!AS915="","",IF(Raw_Data!AS915="oui",1,0))</f>
        <v/>
      </c>
      <c r="Z912" s="12" t="str">
        <f>IF(Raw_Data!V915="","",IF(Raw_Data!V915="oui",1,0))</f>
        <v/>
      </c>
      <c r="AA912" s="12" t="str">
        <f>IF(Raw_Data!W915="","",IF(Raw_Data!W915="oui",1,0))</f>
        <v/>
      </c>
      <c r="AB912" s="12" t="str">
        <f>IF(Raw_Data!Q915="","",IF(Raw_Data!Q915="oui",1,0))</f>
        <v/>
      </c>
      <c r="AC912" s="12">
        <f>Raw_Data!AF915</f>
        <v>0</v>
      </c>
      <c r="AD912" s="12" t="str">
        <f t="shared" si="131"/>
        <v/>
      </c>
      <c r="AE912" s="12" t="str">
        <f t="shared" si="132"/>
        <v/>
      </c>
      <c r="AF912" s="12" t="str">
        <f t="shared" si="133"/>
        <v/>
      </c>
      <c r="AG912" s="12">
        <f t="shared" si="134"/>
        <v>0</v>
      </c>
    </row>
    <row r="913" spans="1:33" ht="15" customHeight="1" x14ac:dyDescent="0.25">
      <c r="A913" s="12" t="str">
        <f>IF(Raw_Data!B916="","",Raw_Data!B916)</f>
        <v/>
      </c>
      <c r="B913" s="12">
        <f>IF(Raw_Data!X916&lt;&gt;"",Raw_Data!X916,Raw_Data!C916)</f>
        <v>0</v>
      </c>
      <c r="C913" s="12" t="str">
        <f>IF(Raw_Data!G916="","",Raw_Data!G916)</f>
        <v/>
      </c>
      <c r="D913" s="12" t="str">
        <f>IF(Raw_Data!H916="","",Raw_Data!H916)</f>
        <v/>
      </c>
      <c r="E913" s="12" t="str">
        <f>IF(Raw_Data!I916="","",Raw_Data!I916)</f>
        <v/>
      </c>
      <c r="F913" s="12" t="str">
        <f>IF(Raw_Data!J916="","",Raw_Data!J916)</f>
        <v/>
      </c>
      <c r="G913" s="12" t="str">
        <f>IF(Raw_Data!AH916&lt;&gt;"",Raw_Data!AH916,IF(Raw_Data!K916&lt;&gt;"",Raw_Data!K916,""))</f>
        <v/>
      </c>
      <c r="H913" s="12" t="str">
        <f>IF(Raw_Data!AI916&lt;&gt;"",Raw_Data!AI916,IF(Raw_Data!L916&lt;&gt;"",Raw_Data!L916,""))</f>
        <v/>
      </c>
      <c r="I913" s="12" t="str">
        <f t="shared" si="126"/>
        <v/>
      </c>
      <c r="J913" s="12" t="str">
        <f>IF(Raw_Data!M916="","",Raw_Data!M916)</f>
        <v/>
      </c>
      <c r="K913" s="12">
        <f>IF(Raw_Data!AJ916&lt;&gt;"",Raw_Data!AJ916,Raw_Data!N916)</f>
        <v>0</v>
      </c>
      <c r="L913" s="12">
        <f t="shared" si="127"/>
        <v>1</v>
      </c>
      <c r="M913" s="12" t="str">
        <f>IF(Raw_Data!AK916="","",Raw_Data!AK916)</f>
        <v/>
      </c>
      <c r="N913" s="12" t="str">
        <f>IF(Raw_Data!T916="","",Raw_Data!T916)</f>
        <v/>
      </c>
      <c r="O913" s="12" t="str">
        <f>IF(Raw_Data!AB916&lt;&gt;"",Raw_Data!AB916,IF(N913="tres_insatisfait",1,IF(N913="insatisfait",2,IF(N913="neutre",3,IF(N913="satisfait",4,IF(N913="tres_satisfait",5,""))))))</f>
        <v/>
      </c>
      <c r="P913" s="12">
        <f>IF(Raw_Data!AL916&lt;&gt;"",Raw_Data!AL916,Raw_Data!R916)</f>
        <v>0</v>
      </c>
      <c r="Q913" s="12">
        <f t="shared" si="128"/>
        <v>0</v>
      </c>
      <c r="R913" s="12" t="str">
        <f>IF(Raw_Data!AM916="","",Raw_Data!AM916)</f>
        <v/>
      </c>
      <c r="S913" s="12" t="str">
        <f t="shared" si="129"/>
        <v/>
      </c>
      <c r="T913" s="12" t="str">
        <f>IF(Raw_Data!AN916="","",Raw_Data!AN916)</f>
        <v/>
      </c>
      <c r="U913" s="12" t="str">
        <f t="shared" si="130"/>
        <v/>
      </c>
      <c r="V913" s="12" t="str">
        <f>IF(Raw_Data!AP916="","",IF(Raw_Data!AP916="oui",1,0))</f>
        <v/>
      </c>
      <c r="W913" s="12" t="str">
        <f>IF(Raw_Data!AQ916="","",IF(Raw_Data!AQ916="oui",1,0))</f>
        <v/>
      </c>
      <c r="X913" s="12" t="str">
        <f>IF(Raw_Data!AR916="","",IF(Raw_Data!AR916="oui",1,0))</f>
        <v/>
      </c>
      <c r="Y913" s="12" t="str">
        <f>IF(Raw_Data!AS916="","",IF(Raw_Data!AS916="oui",1,0))</f>
        <v/>
      </c>
      <c r="Z913" s="12" t="str">
        <f>IF(Raw_Data!V916="","",IF(Raw_Data!V916="oui",1,0))</f>
        <v/>
      </c>
      <c r="AA913" s="12" t="str">
        <f>IF(Raw_Data!W916="","",IF(Raw_Data!W916="oui",1,0))</f>
        <v/>
      </c>
      <c r="AB913" s="12" t="str">
        <f>IF(Raw_Data!Q916="","",IF(Raw_Data!Q916="oui",1,0))</f>
        <v/>
      </c>
      <c r="AC913" s="12">
        <f>Raw_Data!AF916</f>
        <v>0</v>
      </c>
      <c r="AD913" s="12" t="str">
        <f t="shared" si="131"/>
        <v/>
      </c>
      <c r="AE913" s="12" t="str">
        <f t="shared" si="132"/>
        <v/>
      </c>
      <c r="AF913" s="12" t="str">
        <f t="shared" si="133"/>
        <v/>
      </c>
      <c r="AG913" s="12">
        <f t="shared" si="134"/>
        <v>0</v>
      </c>
    </row>
    <row r="914" spans="1:33" ht="15" customHeight="1" x14ac:dyDescent="0.25">
      <c r="A914" s="12" t="str">
        <f>IF(Raw_Data!B917="","",Raw_Data!B917)</f>
        <v/>
      </c>
      <c r="B914" s="12">
        <f>IF(Raw_Data!X917&lt;&gt;"",Raw_Data!X917,Raw_Data!C917)</f>
        <v>0</v>
      </c>
      <c r="C914" s="12" t="str">
        <f>IF(Raw_Data!G917="","",Raw_Data!G917)</f>
        <v/>
      </c>
      <c r="D914" s="12" t="str">
        <f>IF(Raw_Data!H917="","",Raw_Data!H917)</f>
        <v/>
      </c>
      <c r="E914" s="12" t="str">
        <f>IF(Raw_Data!I917="","",Raw_Data!I917)</f>
        <v/>
      </c>
      <c r="F914" s="12" t="str">
        <f>IF(Raw_Data!J917="","",Raw_Data!J917)</f>
        <v/>
      </c>
      <c r="G914" s="12" t="str">
        <f>IF(Raw_Data!AH917&lt;&gt;"",Raw_Data!AH917,IF(Raw_Data!K917&lt;&gt;"",Raw_Data!K917,""))</f>
        <v/>
      </c>
      <c r="H914" s="12" t="str">
        <f>IF(Raw_Data!AI917&lt;&gt;"",Raw_Data!AI917,IF(Raw_Data!L917&lt;&gt;"",Raw_Data!L917,""))</f>
        <v/>
      </c>
      <c r="I914" s="12" t="str">
        <f t="shared" si="126"/>
        <v/>
      </c>
      <c r="J914" s="12" t="str">
        <f>IF(Raw_Data!M917="","",Raw_Data!M917)</f>
        <v/>
      </c>
      <c r="K914" s="12">
        <f>IF(Raw_Data!AJ917&lt;&gt;"",Raw_Data!AJ917,Raw_Data!N917)</f>
        <v>0</v>
      </c>
      <c r="L914" s="12">
        <f t="shared" si="127"/>
        <v>1</v>
      </c>
      <c r="M914" s="12" t="str">
        <f>IF(Raw_Data!AK917="","",Raw_Data!AK917)</f>
        <v/>
      </c>
      <c r="N914" s="12" t="str">
        <f>IF(Raw_Data!T917="","",Raw_Data!T917)</f>
        <v/>
      </c>
      <c r="O914" s="12" t="str">
        <f>IF(Raw_Data!AB917&lt;&gt;"",Raw_Data!AB917,IF(N914="tres_insatisfait",1,IF(N914="insatisfait",2,IF(N914="neutre",3,IF(N914="satisfait",4,IF(N914="tres_satisfait",5,""))))))</f>
        <v/>
      </c>
      <c r="P914" s="12">
        <f>IF(Raw_Data!AL917&lt;&gt;"",Raw_Data!AL917,Raw_Data!R917)</f>
        <v>0</v>
      </c>
      <c r="Q914" s="12">
        <f t="shared" si="128"/>
        <v>0</v>
      </c>
      <c r="R914" s="12" t="str">
        <f>IF(Raw_Data!AM917="","",Raw_Data!AM917)</f>
        <v/>
      </c>
      <c r="S914" s="12" t="str">
        <f t="shared" si="129"/>
        <v/>
      </c>
      <c r="T914" s="12" t="str">
        <f>IF(Raw_Data!AN917="","",Raw_Data!AN917)</f>
        <v/>
      </c>
      <c r="U914" s="12" t="str">
        <f t="shared" si="130"/>
        <v/>
      </c>
      <c r="V914" s="12" t="str">
        <f>IF(Raw_Data!AP917="","",IF(Raw_Data!AP917="oui",1,0))</f>
        <v/>
      </c>
      <c r="W914" s="12" t="str">
        <f>IF(Raw_Data!AQ917="","",IF(Raw_Data!AQ917="oui",1,0))</f>
        <v/>
      </c>
      <c r="X914" s="12" t="str">
        <f>IF(Raw_Data!AR917="","",IF(Raw_Data!AR917="oui",1,0))</f>
        <v/>
      </c>
      <c r="Y914" s="12" t="str">
        <f>IF(Raw_Data!AS917="","",IF(Raw_Data!AS917="oui",1,0))</f>
        <v/>
      </c>
      <c r="Z914" s="12" t="str">
        <f>IF(Raw_Data!V917="","",IF(Raw_Data!V917="oui",1,0))</f>
        <v/>
      </c>
      <c r="AA914" s="12" t="str">
        <f>IF(Raw_Data!W917="","",IF(Raw_Data!W917="oui",1,0))</f>
        <v/>
      </c>
      <c r="AB914" s="12" t="str">
        <f>IF(Raw_Data!Q917="","",IF(Raw_Data!Q917="oui",1,0))</f>
        <v/>
      </c>
      <c r="AC914" s="12">
        <f>Raw_Data!AF917</f>
        <v>0</v>
      </c>
      <c r="AD914" s="12" t="str">
        <f t="shared" si="131"/>
        <v/>
      </c>
      <c r="AE914" s="12" t="str">
        <f t="shared" si="132"/>
        <v/>
      </c>
      <c r="AF914" s="12" t="str">
        <f t="shared" si="133"/>
        <v/>
      </c>
      <c r="AG914" s="12">
        <f t="shared" si="134"/>
        <v>0</v>
      </c>
    </row>
    <row r="915" spans="1:33" ht="15" customHeight="1" x14ac:dyDescent="0.25">
      <c r="A915" s="12" t="str">
        <f>IF(Raw_Data!B918="","",Raw_Data!B918)</f>
        <v/>
      </c>
      <c r="B915" s="12">
        <f>IF(Raw_Data!X918&lt;&gt;"",Raw_Data!X918,Raw_Data!C918)</f>
        <v>0</v>
      </c>
      <c r="C915" s="12" t="str">
        <f>IF(Raw_Data!G918="","",Raw_Data!G918)</f>
        <v/>
      </c>
      <c r="D915" s="12" t="str">
        <f>IF(Raw_Data!H918="","",Raw_Data!H918)</f>
        <v/>
      </c>
      <c r="E915" s="12" t="str">
        <f>IF(Raw_Data!I918="","",Raw_Data!I918)</f>
        <v/>
      </c>
      <c r="F915" s="12" t="str">
        <f>IF(Raw_Data!J918="","",Raw_Data!J918)</f>
        <v/>
      </c>
      <c r="G915" s="12" t="str">
        <f>IF(Raw_Data!AH918&lt;&gt;"",Raw_Data!AH918,IF(Raw_Data!K918&lt;&gt;"",Raw_Data!K918,""))</f>
        <v/>
      </c>
      <c r="H915" s="12" t="str">
        <f>IF(Raw_Data!AI918&lt;&gt;"",Raw_Data!AI918,IF(Raw_Data!L918&lt;&gt;"",Raw_Data!L918,""))</f>
        <v/>
      </c>
      <c r="I915" s="12" t="str">
        <f t="shared" si="126"/>
        <v/>
      </c>
      <c r="J915" s="12" t="str">
        <f>IF(Raw_Data!M918="","",Raw_Data!M918)</f>
        <v/>
      </c>
      <c r="K915" s="12">
        <f>IF(Raw_Data!AJ918&lt;&gt;"",Raw_Data!AJ918,Raw_Data!N918)</f>
        <v>0</v>
      </c>
      <c r="L915" s="12">
        <f t="shared" si="127"/>
        <v>1</v>
      </c>
      <c r="M915" s="12" t="str">
        <f>IF(Raw_Data!AK918="","",Raw_Data!AK918)</f>
        <v/>
      </c>
      <c r="N915" s="12" t="str">
        <f>IF(Raw_Data!T918="","",Raw_Data!T918)</f>
        <v/>
      </c>
      <c r="O915" s="12" t="str">
        <f>IF(Raw_Data!AB918&lt;&gt;"",Raw_Data!AB918,IF(N915="tres_insatisfait",1,IF(N915="insatisfait",2,IF(N915="neutre",3,IF(N915="satisfait",4,IF(N915="tres_satisfait",5,""))))))</f>
        <v/>
      </c>
      <c r="P915" s="12">
        <f>IF(Raw_Data!AL918&lt;&gt;"",Raw_Data!AL918,Raw_Data!R918)</f>
        <v>0</v>
      </c>
      <c r="Q915" s="12">
        <f t="shared" si="128"/>
        <v>0</v>
      </c>
      <c r="R915" s="12" t="str">
        <f>IF(Raw_Data!AM918="","",Raw_Data!AM918)</f>
        <v/>
      </c>
      <c r="S915" s="12" t="str">
        <f t="shared" si="129"/>
        <v/>
      </c>
      <c r="T915" s="12" t="str">
        <f>IF(Raw_Data!AN918="","",Raw_Data!AN918)</f>
        <v/>
      </c>
      <c r="U915" s="12" t="str">
        <f t="shared" si="130"/>
        <v/>
      </c>
      <c r="V915" s="12" t="str">
        <f>IF(Raw_Data!AP918="","",IF(Raw_Data!AP918="oui",1,0))</f>
        <v/>
      </c>
      <c r="W915" s="12" t="str">
        <f>IF(Raw_Data!AQ918="","",IF(Raw_Data!AQ918="oui",1,0))</f>
        <v/>
      </c>
      <c r="X915" s="12" t="str">
        <f>IF(Raw_Data!AR918="","",IF(Raw_Data!AR918="oui",1,0))</f>
        <v/>
      </c>
      <c r="Y915" s="12" t="str">
        <f>IF(Raw_Data!AS918="","",IF(Raw_Data!AS918="oui",1,0))</f>
        <v/>
      </c>
      <c r="Z915" s="12" t="str">
        <f>IF(Raw_Data!V918="","",IF(Raw_Data!V918="oui",1,0))</f>
        <v/>
      </c>
      <c r="AA915" s="12" t="str">
        <f>IF(Raw_Data!W918="","",IF(Raw_Data!W918="oui",1,0))</f>
        <v/>
      </c>
      <c r="AB915" s="12" t="str">
        <f>IF(Raw_Data!Q918="","",IF(Raw_Data!Q918="oui",1,0))</f>
        <v/>
      </c>
      <c r="AC915" s="12">
        <f>Raw_Data!AF918</f>
        <v>0</v>
      </c>
      <c r="AD915" s="12" t="str">
        <f t="shared" si="131"/>
        <v/>
      </c>
      <c r="AE915" s="12" t="str">
        <f t="shared" si="132"/>
        <v/>
      </c>
      <c r="AF915" s="12" t="str">
        <f t="shared" si="133"/>
        <v/>
      </c>
      <c r="AG915" s="12">
        <f t="shared" si="134"/>
        <v>0</v>
      </c>
    </row>
    <row r="916" spans="1:33" ht="15" customHeight="1" x14ac:dyDescent="0.25">
      <c r="A916" s="12" t="str">
        <f>IF(Raw_Data!B919="","",Raw_Data!B919)</f>
        <v/>
      </c>
      <c r="B916" s="12">
        <f>IF(Raw_Data!X919&lt;&gt;"",Raw_Data!X919,Raw_Data!C919)</f>
        <v>0</v>
      </c>
      <c r="C916" s="12" t="str">
        <f>IF(Raw_Data!G919="","",Raw_Data!G919)</f>
        <v/>
      </c>
      <c r="D916" s="12" t="str">
        <f>IF(Raw_Data!H919="","",Raw_Data!H919)</f>
        <v/>
      </c>
      <c r="E916" s="12" t="str">
        <f>IF(Raw_Data!I919="","",Raw_Data!I919)</f>
        <v/>
      </c>
      <c r="F916" s="12" t="str">
        <f>IF(Raw_Data!J919="","",Raw_Data!J919)</f>
        <v/>
      </c>
      <c r="G916" s="12" t="str">
        <f>IF(Raw_Data!AH919&lt;&gt;"",Raw_Data!AH919,IF(Raw_Data!K919&lt;&gt;"",Raw_Data!K919,""))</f>
        <v/>
      </c>
      <c r="H916" s="12" t="str">
        <f>IF(Raw_Data!AI919&lt;&gt;"",Raw_Data!AI919,IF(Raw_Data!L919&lt;&gt;"",Raw_Data!L919,""))</f>
        <v/>
      </c>
      <c r="I916" s="12" t="str">
        <f t="shared" si="126"/>
        <v/>
      </c>
      <c r="J916" s="12" t="str">
        <f>IF(Raw_Data!M919="","",Raw_Data!M919)</f>
        <v/>
      </c>
      <c r="K916" s="12">
        <f>IF(Raw_Data!AJ919&lt;&gt;"",Raw_Data!AJ919,Raw_Data!N919)</f>
        <v>0</v>
      </c>
      <c r="L916" s="12">
        <f t="shared" si="127"/>
        <v>1</v>
      </c>
      <c r="M916" s="12" t="str">
        <f>IF(Raw_Data!AK919="","",Raw_Data!AK919)</f>
        <v/>
      </c>
      <c r="N916" s="12" t="str">
        <f>IF(Raw_Data!T919="","",Raw_Data!T919)</f>
        <v/>
      </c>
      <c r="O916" s="12" t="str">
        <f>IF(Raw_Data!AB919&lt;&gt;"",Raw_Data!AB919,IF(N916="tres_insatisfait",1,IF(N916="insatisfait",2,IF(N916="neutre",3,IF(N916="satisfait",4,IF(N916="tres_satisfait",5,""))))))</f>
        <v/>
      </c>
      <c r="P916" s="12">
        <f>IF(Raw_Data!AL919&lt;&gt;"",Raw_Data!AL919,Raw_Data!R919)</f>
        <v>0</v>
      </c>
      <c r="Q916" s="12">
        <f t="shared" si="128"/>
        <v>0</v>
      </c>
      <c r="R916" s="12" t="str">
        <f>IF(Raw_Data!AM919="","",Raw_Data!AM919)</f>
        <v/>
      </c>
      <c r="S916" s="12" t="str">
        <f t="shared" si="129"/>
        <v/>
      </c>
      <c r="T916" s="12" t="str">
        <f>IF(Raw_Data!AN919="","",Raw_Data!AN919)</f>
        <v/>
      </c>
      <c r="U916" s="12" t="str">
        <f t="shared" si="130"/>
        <v/>
      </c>
      <c r="V916" s="12" t="str">
        <f>IF(Raw_Data!AP919="","",IF(Raw_Data!AP919="oui",1,0))</f>
        <v/>
      </c>
      <c r="W916" s="12" t="str">
        <f>IF(Raw_Data!AQ919="","",IF(Raw_Data!AQ919="oui",1,0))</f>
        <v/>
      </c>
      <c r="X916" s="12" t="str">
        <f>IF(Raw_Data!AR919="","",IF(Raw_Data!AR919="oui",1,0))</f>
        <v/>
      </c>
      <c r="Y916" s="12" t="str">
        <f>IF(Raw_Data!AS919="","",IF(Raw_Data!AS919="oui",1,0))</f>
        <v/>
      </c>
      <c r="Z916" s="12" t="str">
        <f>IF(Raw_Data!V919="","",IF(Raw_Data!V919="oui",1,0))</f>
        <v/>
      </c>
      <c r="AA916" s="12" t="str">
        <f>IF(Raw_Data!W919="","",IF(Raw_Data!W919="oui",1,0))</f>
        <v/>
      </c>
      <c r="AB916" s="12" t="str">
        <f>IF(Raw_Data!Q919="","",IF(Raw_Data!Q919="oui",1,0))</f>
        <v/>
      </c>
      <c r="AC916" s="12">
        <f>Raw_Data!AF919</f>
        <v>0</v>
      </c>
      <c r="AD916" s="12" t="str">
        <f t="shared" si="131"/>
        <v/>
      </c>
      <c r="AE916" s="12" t="str">
        <f t="shared" si="132"/>
        <v/>
      </c>
      <c r="AF916" s="12" t="str">
        <f t="shared" si="133"/>
        <v/>
      </c>
      <c r="AG916" s="12">
        <f t="shared" si="134"/>
        <v>0</v>
      </c>
    </row>
    <row r="917" spans="1:33" ht="15" customHeight="1" x14ac:dyDescent="0.25">
      <c r="A917" s="12" t="str">
        <f>IF(Raw_Data!B920="","",Raw_Data!B920)</f>
        <v/>
      </c>
      <c r="B917" s="12">
        <f>IF(Raw_Data!X920&lt;&gt;"",Raw_Data!X920,Raw_Data!C920)</f>
        <v>0</v>
      </c>
      <c r="C917" s="12" t="str">
        <f>IF(Raw_Data!G920="","",Raw_Data!G920)</f>
        <v/>
      </c>
      <c r="D917" s="12" t="str">
        <f>IF(Raw_Data!H920="","",Raw_Data!H920)</f>
        <v/>
      </c>
      <c r="E917" s="12" t="str">
        <f>IF(Raw_Data!I920="","",Raw_Data!I920)</f>
        <v/>
      </c>
      <c r="F917" s="12" t="str">
        <f>IF(Raw_Data!J920="","",Raw_Data!J920)</f>
        <v/>
      </c>
      <c r="G917" s="12" t="str">
        <f>IF(Raw_Data!AH920&lt;&gt;"",Raw_Data!AH920,IF(Raw_Data!K920&lt;&gt;"",Raw_Data!K920,""))</f>
        <v/>
      </c>
      <c r="H917" s="12" t="str">
        <f>IF(Raw_Data!AI920&lt;&gt;"",Raw_Data!AI920,IF(Raw_Data!L920&lt;&gt;"",Raw_Data!L920,""))</f>
        <v/>
      </c>
      <c r="I917" s="12" t="str">
        <f t="shared" si="126"/>
        <v/>
      </c>
      <c r="J917" s="12" t="str">
        <f>IF(Raw_Data!M920="","",Raw_Data!M920)</f>
        <v/>
      </c>
      <c r="K917" s="12">
        <f>IF(Raw_Data!AJ920&lt;&gt;"",Raw_Data!AJ920,Raw_Data!N920)</f>
        <v>0</v>
      </c>
      <c r="L917" s="12">
        <f t="shared" si="127"/>
        <v>1</v>
      </c>
      <c r="M917" s="12" t="str">
        <f>IF(Raw_Data!AK920="","",Raw_Data!AK920)</f>
        <v/>
      </c>
      <c r="N917" s="12" t="str">
        <f>IF(Raw_Data!T920="","",Raw_Data!T920)</f>
        <v/>
      </c>
      <c r="O917" s="12" t="str">
        <f>IF(Raw_Data!AB920&lt;&gt;"",Raw_Data!AB920,IF(N917="tres_insatisfait",1,IF(N917="insatisfait",2,IF(N917="neutre",3,IF(N917="satisfait",4,IF(N917="tres_satisfait",5,""))))))</f>
        <v/>
      </c>
      <c r="P917" s="12">
        <f>IF(Raw_Data!AL920&lt;&gt;"",Raw_Data!AL920,Raw_Data!R920)</f>
        <v>0</v>
      </c>
      <c r="Q917" s="12">
        <f t="shared" si="128"/>
        <v>0</v>
      </c>
      <c r="R917" s="12" t="str">
        <f>IF(Raw_Data!AM920="","",Raw_Data!AM920)</f>
        <v/>
      </c>
      <c r="S917" s="12" t="str">
        <f t="shared" si="129"/>
        <v/>
      </c>
      <c r="T917" s="12" t="str">
        <f>IF(Raw_Data!AN920="","",Raw_Data!AN920)</f>
        <v/>
      </c>
      <c r="U917" s="12" t="str">
        <f t="shared" si="130"/>
        <v/>
      </c>
      <c r="V917" s="12" t="str">
        <f>IF(Raw_Data!AP920="","",IF(Raw_Data!AP920="oui",1,0))</f>
        <v/>
      </c>
      <c r="W917" s="12" t="str">
        <f>IF(Raw_Data!AQ920="","",IF(Raw_Data!AQ920="oui",1,0))</f>
        <v/>
      </c>
      <c r="X917" s="12" t="str">
        <f>IF(Raw_Data!AR920="","",IF(Raw_Data!AR920="oui",1,0))</f>
        <v/>
      </c>
      <c r="Y917" s="12" t="str">
        <f>IF(Raw_Data!AS920="","",IF(Raw_Data!AS920="oui",1,0))</f>
        <v/>
      </c>
      <c r="Z917" s="12" t="str">
        <f>IF(Raw_Data!V920="","",IF(Raw_Data!V920="oui",1,0))</f>
        <v/>
      </c>
      <c r="AA917" s="12" t="str">
        <f>IF(Raw_Data!W920="","",IF(Raw_Data!W920="oui",1,0))</f>
        <v/>
      </c>
      <c r="AB917" s="12" t="str">
        <f>IF(Raw_Data!Q920="","",IF(Raw_Data!Q920="oui",1,0))</f>
        <v/>
      </c>
      <c r="AC917" s="12">
        <f>Raw_Data!AF920</f>
        <v>0</v>
      </c>
      <c r="AD917" s="12" t="str">
        <f t="shared" si="131"/>
        <v/>
      </c>
      <c r="AE917" s="12" t="str">
        <f t="shared" si="132"/>
        <v/>
      </c>
      <c r="AF917" s="12" t="str">
        <f t="shared" si="133"/>
        <v/>
      </c>
      <c r="AG917" s="12">
        <f t="shared" si="134"/>
        <v>0</v>
      </c>
    </row>
    <row r="918" spans="1:33" ht="15" customHeight="1" x14ac:dyDescent="0.25">
      <c r="A918" s="12" t="str">
        <f>IF(Raw_Data!B921="","",Raw_Data!B921)</f>
        <v/>
      </c>
      <c r="B918" s="12">
        <f>IF(Raw_Data!X921&lt;&gt;"",Raw_Data!X921,Raw_Data!C921)</f>
        <v>0</v>
      </c>
      <c r="C918" s="12" t="str">
        <f>IF(Raw_Data!G921="","",Raw_Data!G921)</f>
        <v/>
      </c>
      <c r="D918" s="12" t="str">
        <f>IF(Raw_Data!H921="","",Raw_Data!H921)</f>
        <v/>
      </c>
      <c r="E918" s="12" t="str">
        <f>IF(Raw_Data!I921="","",Raw_Data!I921)</f>
        <v/>
      </c>
      <c r="F918" s="12" t="str">
        <f>IF(Raw_Data!J921="","",Raw_Data!J921)</f>
        <v/>
      </c>
      <c r="G918" s="12" t="str">
        <f>IF(Raw_Data!AH921&lt;&gt;"",Raw_Data!AH921,IF(Raw_Data!K921&lt;&gt;"",Raw_Data!K921,""))</f>
        <v/>
      </c>
      <c r="H918" s="12" t="str">
        <f>IF(Raw_Data!AI921&lt;&gt;"",Raw_Data!AI921,IF(Raw_Data!L921&lt;&gt;"",Raw_Data!L921,""))</f>
        <v/>
      </c>
      <c r="I918" s="12" t="str">
        <f t="shared" si="126"/>
        <v/>
      </c>
      <c r="J918" s="12" t="str">
        <f>IF(Raw_Data!M921="","",Raw_Data!M921)</f>
        <v/>
      </c>
      <c r="K918" s="12">
        <f>IF(Raw_Data!AJ921&lt;&gt;"",Raw_Data!AJ921,Raw_Data!N921)</f>
        <v>0</v>
      </c>
      <c r="L918" s="12">
        <f t="shared" si="127"/>
        <v>1</v>
      </c>
      <c r="M918" s="12" t="str">
        <f>IF(Raw_Data!AK921="","",Raw_Data!AK921)</f>
        <v/>
      </c>
      <c r="N918" s="12" t="str">
        <f>IF(Raw_Data!T921="","",Raw_Data!T921)</f>
        <v/>
      </c>
      <c r="O918" s="12" t="str">
        <f>IF(Raw_Data!AB921&lt;&gt;"",Raw_Data!AB921,IF(N918="tres_insatisfait",1,IF(N918="insatisfait",2,IF(N918="neutre",3,IF(N918="satisfait",4,IF(N918="tres_satisfait",5,""))))))</f>
        <v/>
      </c>
      <c r="P918" s="12">
        <f>IF(Raw_Data!AL921&lt;&gt;"",Raw_Data!AL921,Raw_Data!R921)</f>
        <v>0</v>
      </c>
      <c r="Q918" s="12">
        <f t="shared" si="128"/>
        <v>0</v>
      </c>
      <c r="R918" s="12" t="str">
        <f>IF(Raw_Data!AM921="","",Raw_Data!AM921)</f>
        <v/>
      </c>
      <c r="S918" s="12" t="str">
        <f t="shared" si="129"/>
        <v/>
      </c>
      <c r="T918" s="12" t="str">
        <f>IF(Raw_Data!AN921="","",Raw_Data!AN921)</f>
        <v/>
      </c>
      <c r="U918" s="12" t="str">
        <f t="shared" si="130"/>
        <v/>
      </c>
      <c r="V918" s="12" t="str">
        <f>IF(Raw_Data!AP921="","",IF(Raw_Data!AP921="oui",1,0))</f>
        <v/>
      </c>
      <c r="W918" s="12" t="str">
        <f>IF(Raw_Data!AQ921="","",IF(Raw_Data!AQ921="oui",1,0))</f>
        <v/>
      </c>
      <c r="X918" s="12" t="str">
        <f>IF(Raw_Data!AR921="","",IF(Raw_Data!AR921="oui",1,0))</f>
        <v/>
      </c>
      <c r="Y918" s="12" t="str">
        <f>IF(Raw_Data!AS921="","",IF(Raw_Data!AS921="oui",1,0))</f>
        <v/>
      </c>
      <c r="Z918" s="12" t="str">
        <f>IF(Raw_Data!V921="","",IF(Raw_Data!V921="oui",1,0))</f>
        <v/>
      </c>
      <c r="AA918" s="12" t="str">
        <f>IF(Raw_Data!W921="","",IF(Raw_Data!W921="oui",1,0))</f>
        <v/>
      </c>
      <c r="AB918" s="12" t="str">
        <f>IF(Raw_Data!Q921="","",IF(Raw_Data!Q921="oui",1,0))</f>
        <v/>
      </c>
      <c r="AC918" s="12">
        <f>Raw_Data!AF921</f>
        <v>0</v>
      </c>
      <c r="AD918" s="12" t="str">
        <f t="shared" si="131"/>
        <v/>
      </c>
      <c r="AE918" s="12" t="str">
        <f t="shared" si="132"/>
        <v/>
      </c>
      <c r="AF918" s="12" t="str">
        <f t="shared" si="133"/>
        <v/>
      </c>
      <c r="AG918" s="12">
        <f t="shared" si="134"/>
        <v>0</v>
      </c>
    </row>
    <row r="919" spans="1:33" ht="15" customHeight="1" x14ac:dyDescent="0.25">
      <c r="A919" s="12" t="str">
        <f>IF(Raw_Data!B922="","",Raw_Data!B922)</f>
        <v/>
      </c>
      <c r="B919" s="12">
        <f>IF(Raw_Data!X922&lt;&gt;"",Raw_Data!X922,Raw_Data!C922)</f>
        <v>0</v>
      </c>
      <c r="C919" s="12" t="str">
        <f>IF(Raw_Data!G922="","",Raw_Data!G922)</f>
        <v/>
      </c>
      <c r="D919" s="12" t="str">
        <f>IF(Raw_Data!H922="","",Raw_Data!H922)</f>
        <v/>
      </c>
      <c r="E919" s="12" t="str">
        <f>IF(Raw_Data!I922="","",Raw_Data!I922)</f>
        <v/>
      </c>
      <c r="F919" s="12" t="str">
        <f>IF(Raw_Data!J922="","",Raw_Data!J922)</f>
        <v/>
      </c>
      <c r="G919" s="12" t="str">
        <f>IF(Raw_Data!AH922&lt;&gt;"",Raw_Data!AH922,IF(Raw_Data!K922&lt;&gt;"",Raw_Data!K922,""))</f>
        <v/>
      </c>
      <c r="H919" s="12" t="str">
        <f>IF(Raw_Data!AI922&lt;&gt;"",Raw_Data!AI922,IF(Raw_Data!L922&lt;&gt;"",Raw_Data!L922,""))</f>
        <v/>
      </c>
      <c r="I919" s="12" t="str">
        <f t="shared" si="126"/>
        <v/>
      </c>
      <c r="J919" s="12" t="str">
        <f>IF(Raw_Data!M922="","",Raw_Data!M922)</f>
        <v/>
      </c>
      <c r="K919" s="12">
        <f>IF(Raw_Data!AJ922&lt;&gt;"",Raw_Data!AJ922,Raw_Data!N922)</f>
        <v>0</v>
      </c>
      <c r="L919" s="12">
        <f t="shared" si="127"/>
        <v>1</v>
      </c>
      <c r="M919" s="12" t="str">
        <f>IF(Raw_Data!AK922="","",Raw_Data!AK922)</f>
        <v/>
      </c>
      <c r="N919" s="12" t="str">
        <f>IF(Raw_Data!T922="","",Raw_Data!T922)</f>
        <v/>
      </c>
      <c r="O919" s="12" t="str">
        <f>IF(Raw_Data!AB922&lt;&gt;"",Raw_Data!AB922,IF(N919="tres_insatisfait",1,IF(N919="insatisfait",2,IF(N919="neutre",3,IF(N919="satisfait",4,IF(N919="tres_satisfait",5,""))))))</f>
        <v/>
      </c>
      <c r="P919" s="12">
        <f>IF(Raw_Data!AL922&lt;&gt;"",Raw_Data!AL922,Raw_Data!R922)</f>
        <v>0</v>
      </c>
      <c r="Q919" s="12">
        <f t="shared" si="128"/>
        <v>0</v>
      </c>
      <c r="R919" s="12" t="str">
        <f>IF(Raw_Data!AM922="","",Raw_Data!AM922)</f>
        <v/>
      </c>
      <c r="S919" s="12" t="str">
        <f t="shared" si="129"/>
        <v/>
      </c>
      <c r="T919" s="12" t="str">
        <f>IF(Raw_Data!AN922="","",Raw_Data!AN922)</f>
        <v/>
      </c>
      <c r="U919" s="12" t="str">
        <f t="shared" si="130"/>
        <v/>
      </c>
      <c r="V919" s="12" t="str">
        <f>IF(Raw_Data!AP922="","",IF(Raw_Data!AP922="oui",1,0))</f>
        <v/>
      </c>
      <c r="W919" s="12" t="str">
        <f>IF(Raw_Data!AQ922="","",IF(Raw_Data!AQ922="oui",1,0))</f>
        <v/>
      </c>
      <c r="X919" s="12" t="str">
        <f>IF(Raw_Data!AR922="","",IF(Raw_Data!AR922="oui",1,0))</f>
        <v/>
      </c>
      <c r="Y919" s="12" t="str">
        <f>IF(Raw_Data!AS922="","",IF(Raw_Data!AS922="oui",1,0))</f>
        <v/>
      </c>
      <c r="Z919" s="12" t="str">
        <f>IF(Raw_Data!V922="","",IF(Raw_Data!V922="oui",1,0))</f>
        <v/>
      </c>
      <c r="AA919" s="12" t="str">
        <f>IF(Raw_Data!W922="","",IF(Raw_Data!W922="oui",1,0))</f>
        <v/>
      </c>
      <c r="AB919" s="12" t="str">
        <f>IF(Raw_Data!Q922="","",IF(Raw_Data!Q922="oui",1,0))</f>
        <v/>
      </c>
      <c r="AC919" s="12">
        <f>Raw_Data!AF922</f>
        <v>0</v>
      </c>
      <c r="AD919" s="12" t="str">
        <f t="shared" si="131"/>
        <v/>
      </c>
      <c r="AE919" s="12" t="str">
        <f t="shared" si="132"/>
        <v/>
      </c>
      <c r="AF919" s="12" t="str">
        <f t="shared" si="133"/>
        <v/>
      </c>
      <c r="AG919" s="12">
        <f t="shared" si="134"/>
        <v>0</v>
      </c>
    </row>
    <row r="920" spans="1:33" ht="15" customHeight="1" x14ac:dyDescent="0.25">
      <c r="A920" s="12" t="str">
        <f>IF(Raw_Data!B923="","",Raw_Data!B923)</f>
        <v/>
      </c>
      <c r="B920" s="12">
        <f>IF(Raw_Data!X923&lt;&gt;"",Raw_Data!X923,Raw_Data!C923)</f>
        <v>0</v>
      </c>
      <c r="C920" s="12" t="str">
        <f>IF(Raw_Data!G923="","",Raw_Data!G923)</f>
        <v/>
      </c>
      <c r="D920" s="12" t="str">
        <f>IF(Raw_Data!H923="","",Raw_Data!H923)</f>
        <v/>
      </c>
      <c r="E920" s="12" t="str">
        <f>IF(Raw_Data!I923="","",Raw_Data!I923)</f>
        <v/>
      </c>
      <c r="F920" s="12" t="str">
        <f>IF(Raw_Data!J923="","",Raw_Data!J923)</f>
        <v/>
      </c>
      <c r="G920" s="12" t="str">
        <f>IF(Raw_Data!AH923&lt;&gt;"",Raw_Data!AH923,IF(Raw_Data!K923&lt;&gt;"",Raw_Data!K923,""))</f>
        <v/>
      </c>
      <c r="H920" s="12" t="str">
        <f>IF(Raw_Data!AI923&lt;&gt;"",Raw_Data!AI923,IF(Raw_Data!L923&lt;&gt;"",Raw_Data!L923,""))</f>
        <v/>
      </c>
      <c r="I920" s="12" t="str">
        <f t="shared" si="126"/>
        <v/>
      </c>
      <c r="J920" s="12" t="str">
        <f>IF(Raw_Data!M923="","",Raw_Data!M923)</f>
        <v/>
      </c>
      <c r="K920" s="12">
        <f>IF(Raw_Data!AJ923&lt;&gt;"",Raw_Data!AJ923,Raw_Data!N923)</f>
        <v>0</v>
      </c>
      <c r="L920" s="12">
        <f t="shared" si="127"/>
        <v>1</v>
      </c>
      <c r="M920" s="12" t="str">
        <f>IF(Raw_Data!AK923="","",Raw_Data!AK923)</f>
        <v/>
      </c>
      <c r="N920" s="12" t="str">
        <f>IF(Raw_Data!T923="","",Raw_Data!T923)</f>
        <v/>
      </c>
      <c r="O920" s="12" t="str">
        <f>IF(Raw_Data!AB923&lt;&gt;"",Raw_Data!AB923,IF(N920="tres_insatisfait",1,IF(N920="insatisfait",2,IF(N920="neutre",3,IF(N920="satisfait",4,IF(N920="tres_satisfait",5,""))))))</f>
        <v/>
      </c>
      <c r="P920" s="12">
        <f>IF(Raw_Data!AL923&lt;&gt;"",Raw_Data!AL923,Raw_Data!R923)</f>
        <v>0</v>
      </c>
      <c r="Q920" s="12">
        <f t="shared" si="128"/>
        <v>0</v>
      </c>
      <c r="R920" s="12" t="str">
        <f>IF(Raw_Data!AM923="","",Raw_Data!AM923)</f>
        <v/>
      </c>
      <c r="S920" s="12" t="str">
        <f t="shared" si="129"/>
        <v/>
      </c>
      <c r="T920" s="12" t="str">
        <f>IF(Raw_Data!AN923="","",Raw_Data!AN923)</f>
        <v/>
      </c>
      <c r="U920" s="12" t="str">
        <f t="shared" si="130"/>
        <v/>
      </c>
      <c r="V920" s="12" t="str">
        <f>IF(Raw_Data!AP923="","",IF(Raw_Data!AP923="oui",1,0))</f>
        <v/>
      </c>
      <c r="W920" s="12" t="str">
        <f>IF(Raw_Data!AQ923="","",IF(Raw_Data!AQ923="oui",1,0))</f>
        <v/>
      </c>
      <c r="X920" s="12" t="str">
        <f>IF(Raw_Data!AR923="","",IF(Raw_Data!AR923="oui",1,0))</f>
        <v/>
      </c>
      <c r="Y920" s="12" t="str">
        <f>IF(Raw_Data!AS923="","",IF(Raw_Data!AS923="oui",1,0))</f>
        <v/>
      </c>
      <c r="Z920" s="12" t="str">
        <f>IF(Raw_Data!V923="","",IF(Raw_Data!V923="oui",1,0))</f>
        <v/>
      </c>
      <c r="AA920" s="12" t="str">
        <f>IF(Raw_Data!W923="","",IF(Raw_Data!W923="oui",1,0))</f>
        <v/>
      </c>
      <c r="AB920" s="12" t="str">
        <f>IF(Raw_Data!Q923="","",IF(Raw_Data!Q923="oui",1,0))</f>
        <v/>
      </c>
      <c r="AC920" s="12">
        <f>Raw_Data!AF923</f>
        <v>0</v>
      </c>
      <c r="AD920" s="12" t="str">
        <f t="shared" si="131"/>
        <v/>
      </c>
      <c r="AE920" s="12" t="str">
        <f t="shared" si="132"/>
        <v/>
      </c>
      <c r="AF920" s="12" t="str">
        <f t="shared" si="133"/>
        <v/>
      </c>
      <c r="AG920" s="12">
        <f t="shared" si="134"/>
        <v>0</v>
      </c>
    </row>
    <row r="921" spans="1:33" ht="15" customHeight="1" x14ac:dyDescent="0.25">
      <c r="A921" s="12" t="str">
        <f>IF(Raw_Data!B924="","",Raw_Data!B924)</f>
        <v/>
      </c>
      <c r="B921" s="12">
        <f>IF(Raw_Data!X924&lt;&gt;"",Raw_Data!X924,Raw_Data!C924)</f>
        <v>0</v>
      </c>
      <c r="C921" s="12" t="str">
        <f>IF(Raw_Data!G924="","",Raw_Data!G924)</f>
        <v/>
      </c>
      <c r="D921" s="12" t="str">
        <f>IF(Raw_Data!H924="","",Raw_Data!H924)</f>
        <v/>
      </c>
      <c r="E921" s="12" t="str">
        <f>IF(Raw_Data!I924="","",Raw_Data!I924)</f>
        <v/>
      </c>
      <c r="F921" s="12" t="str">
        <f>IF(Raw_Data!J924="","",Raw_Data!J924)</f>
        <v/>
      </c>
      <c r="G921" s="12" t="str">
        <f>IF(Raw_Data!AH924&lt;&gt;"",Raw_Data!AH924,IF(Raw_Data!K924&lt;&gt;"",Raw_Data!K924,""))</f>
        <v/>
      </c>
      <c r="H921" s="12" t="str">
        <f>IF(Raw_Data!AI924&lt;&gt;"",Raw_Data!AI924,IF(Raw_Data!L924&lt;&gt;"",Raw_Data!L924,""))</f>
        <v/>
      </c>
      <c r="I921" s="12" t="str">
        <f t="shared" si="126"/>
        <v/>
      </c>
      <c r="J921" s="12" t="str">
        <f>IF(Raw_Data!M924="","",Raw_Data!M924)</f>
        <v/>
      </c>
      <c r="K921" s="12">
        <f>IF(Raw_Data!AJ924&lt;&gt;"",Raw_Data!AJ924,Raw_Data!N924)</f>
        <v>0</v>
      </c>
      <c r="L921" s="12">
        <f t="shared" si="127"/>
        <v>1</v>
      </c>
      <c r="M921" s="12" t="str">
        <f>IF(Raw_Data!AK924="","",Raw_Data!AK924)</f>
        <v/>
      </c>
      <c r="N921" s="12" t="str">
        <f>IF(Raw_Data!T924="","",Raw_Data!T924)</f>
        <v/>
      </c>
      <c r="O921" s="12" t="str">
        <f>IF(Raw_Data!AB924&lt;&gt;"",Raw_Data!AB924,IF(N921="tres_insatisfait",1,IF(N921="insatisfait",2,IF(N921="neutre",3,IF(N921="satisfait",4,IF(N921="tres_satisfait",5,""))))))</f>
        <v/>
      </c>
      <c r="P921" s="12">
        <f>IF(Raw_Data!AL924&lt;&gt;"",Raw_Data!AL924,Raw_Data!R924)</f>
        <v>0</v>
      </c>
      <c r="Q921" s="12">
        <f t="shared" si="128"/>
        <v>0</v>
      </c>
      <c r="R921" s="12" t="str">
        <f>IF(Raw_Data!AM924="","",Raw_Data!AM924)</f>
        <v/>
      </c>
      <c r="S921" s="12" t="str">
        <f t="shared" si="129"/>
        <v/>
      </c>
      <c r="T921" s="12" t="str">
        <f>IF(Raw_Data!AN924="","",Raw_Data!AN924)</f>
        <v/>
      </c>
      <c r="U921" s="12" t="str">
        <f t="shared" si="130"/>
        <v/>
      </c>
      <c r="V921" s="12" t="str">
        <f>IF(Raw_Data!AP924="","",IF(Raw_Data!AP924="oui",1,0))</f>
        <v/>
      </c>
      <c r="W921" s="12" t="str">
        <f>IF(Raw_Data!AQ924="","",IF(Raw_Data!AQ924="oui",1,0))</f>
        <v/>
      </c>
      <c r="X921" s="12" t="str">
        <f>IF(Raw_Data!AR924="","",IF(Raw_Data!AR924="oui",1,0))</f>
        <v/>
      </c>
      <c r="Y921" s="12" t="str">
        <f>IF(Raw_Data!AS924="","",IF(Raw_Data!AS924="oui",1,0))</f>
        <v/>
      </c>
      <c r="Z921" s="12" t="str">
        <f>IF(Raw_Data!V924="","",IF(Raw_Data!V924="oui",1,0))</f>
        <v/>
      </c>
      <c r="AA921" s="12" t="str">
        <f>IF(Raw_Data!W924="","",IF(Raw_Data!W924="oui",1,0))</f>
        <v/>
      </c>
      <c r="AB921" s="12" t="str">
        <f>IF(Raw_Data!Q924="","",IF(Raw_Data!Q924="oui",1,0))</f>
        <v/>
      </c>
      <c r="AC921" s="12">
        <f>Raw_Data!AF924</f>
        <v>0</v>
      </c>
      <c r="AD921" s="12" t="str">
        <f t="shared" si="131"/>
        <v/>
      </c>
      <c r="AE921" s="12" t="str">
        <f t="shared" si="132"/>
        <v/>
      </c>
      <c r="AF921" s="12" t="str">
        <f t="shared" si="133"/>
        <v/>
      </c>
      <c r="AG921" s="12">
        <f t="shared" si="134"/>
        <v>0</v>
      </c>
    </row>
    <row r="922" spans="1:33" ht="15" customHeight="1" x14ac:dyDescent="0.25">
      <c r="A922" s="12" t="str">
        <f>IF(Raw_Data!B925="","",Raw_Data!B925)</f>
        <v/>
      </c>
      <c r="B922" s="12">
        <f>IF(Raw_Data!X925&lt;&gt;"",Raw_Data!X925,Raw_Data!C925)</f>
        <v>0</v>
      </c>
      <c r="C922" s="12" t="str">
        <f>IF(Raw_Data!G925="","",Raw_Data!G925)</f>
        <v/>
      </c>
      <c r="D922" s="12" t="str">
        <f>IF(Raw_Data!H925="","",Raw_Data!H925)</f>
        <v/>
      </c>
      <c r="E922" s="12" t="str">
        <f>IF(Raw_Data!I925="","",Raw_Data!I925)</f>
        <v/>
      </c>
      <c r="F922" s="12" t="str">
        <f>IF(Raw_Data!J925="","",Raw_Data!J925)</f>
        <v/>
      </c>
      <c r="G922" s="12" t="str">
        <f>IF(Raw_Data!AH925&lt;&gt;"",Raw_Data!AH925,IF(Raw_Data!K925&lt;&gt;"",Raw_Data!K925,""))</f>
        <v/>
      </c>
      <c r="H922" s="12" t="str">
        <f>IF(Raw_Data!AI925&lt;&gt;"",Raw_Data!AI925,IF(Raw_Data!L925&lt;&gt;"",Raw_Data!L925,""))</f>
        <v/>
      </c>
      <c r="I922" s="12" t="str">
        <f t="shared" si="126"/>
        <v/>
      </c>
      <c r="J922" s="12" t="str">
        <f>IF(Raw_Data!M925="","",Raw_Data!M925)</f>
        <v/>
      </c>
      <c r="K922" s="12">
        <f>IF(Raw_Data!AJ925&lt;&gt;"",Raw_Data!AJ925,Raw_Data!N925)</f>
        <v>0</v>
      </c>
      <c r="L922" s="12">
        <f t="shared" si="127"/>
        <v>1</v>
      </c>
      <c r="M922" s="12" t="str">
        <f>IF(Raw_Data!AK925="","",Raw_Data!AK925)</f>
        <v/>
      </c>
      <c r="N922" s="12" t="str">
        <f>IF(Raw_Data!T925="","",Raw_Data!T925)</f>
        <v/>
      </c>
      <c r="O922" s="12" t="str">
        <f>IF(Raw_Data!AB925&lt;&gt;"",Raw_Data!AB925,IF(N922="tres_insatisfait",1,IF(N922="insatisfait",2,IF(N922="neutre",3,IF(N922="satisfait",4,IF(N922="tres_satisfait",5,""))))))</f>
        <v/>
      </c>
      <c r="P922" s="12">
        <f>IF(Raw_Data!AL925&lt;&gt;"",Raw_Data!AL925,Raw_Data!R925)</f>
        <v>0</v>
      </c>
      <c r="Q922" s="12">
        <f t="shared" si="128"/>
        <v>0</v>
      </c>
      <c r="R922" s="12" t="str">
        <f>IF(Raw_Data!AM925="","",Raw_Data!AM925)</f>
        <v/>
      </c>
      <c r="S922" s="12" t="str">
        <f t="shared" si="129"/>
        <v/>
      </c>
      <c r="T922" s="12" t="str">
        <f>IF(Raw_Data!AN925="","",Raw_Data!AN925)</f>
        <v/>
      </c>
      <c r="U922" s="12" t="str">
        <f t="shared" si="130"/>
        <v/>
      </c>
      <c r="V922" s="12" t="str">
        <f>IF(Raw_Data!AP925="","",IF(Raw_Data!AP925="oui",1,0))</f>
        <v/>
      </c>
      <c r="W922" s="12" t="str">
        <f>IF(Raw_Data!AQ925="","",IF(Raw_Data!AQ925="oui",1,0))</f>
        <v/>
      </c>
      <c r="X922" s="12" t="str">
        <f>IF(Raw_Data!AR925="","",IF(Raw_Data!AR925="oui",1,0))</f>
        <v/>
      </c>
      <c r="Y922" s="12" t="str">
        <f>IF(Raw_Data!AS925="","",IF(Raw_Data!AS925="oui",1,0))</f>
        <v/>
      </c>
      <c r="Z922" s="12" t="str">
        <f>IF(Raw_Data!V925="","",IF(Raw_Data!V925="oui",1,0))</f>
        <v/>
      </c>
      <c r="AA922" s="12" t="str">
        <f>IF(Raw_Data!W925="","",IF(Raw_Data!W925="oui",1,0))</f>
        <v/>
      </c>
      <c r="AB922" s="12" t="str">
        <f>IF(Raw_Data!Q925="","",IF(Raw_Data!Q925="oui",1,0))</f>
        <v/>
      </c>
      <c r="AC922" s="12">
        <f>Raw_Data!AF925</f>
        <v>0</v>
      </c>
      <c r="AD922" s="12" t="str">
        <f t="shared" si="131"/>
        <v/>
      </c>
      <c r="AE922" s="12" t="str">
        <f t="shared" si="132"/>
        <v/>
      </c>
      <c r="AF922" s="12" t="str">
        <f t="shared" si="133"/>
        <v/>
      </c>
      <c r="AG922" s="12">
        <f t="shared" si="134"/>
        <v>0</v>
      </c>
    </row>
    <row r="923" spans="1:33" ht="15" customHeight="1" x14ac:dyDescent="0.25">
      <c r="A923" s="12" t="str">
        <f>IF(Raw_Data!B926="","",Raw_Data!B926)</f>
        <v/>
      </c>
      <c r="B923" s="12">
        <f>IF(Raw_Data!X926&lt;&gt;"",Raw_Data!X926,Raw_Data!C926)</f>
        <v>0</v>
      </c>
      <c r="C923" s="12" t="str">
        <f>IF(Raw_Data!G926="","",Raw_Data!G926)</f>
        <v/>
      </c>
      <c r="D923" s="12" t="str">
        <f>IF(Raw_Data!H926="","",Raw_Data!H926)</f>
        <v/>
      </c>
      <c r="E923" s="12" t="str">
        <f>IF(Raw_Data!I926="","",Raw_Data!I926)</f>
        <v/>
      </c>
      <c r="F923" s="12" t="str">
        <f>IF(Raw_Data!J926="","",Raw_Data!J926)</f>
        <v/>
      </c>
      <c r="G923" s="12" t="str">
        <f>IF(Raw_Data!AH926&lt;&gt;"",Raw_Data!AH926,IF(Raw_Data!K926&lt;&gt;"",Raw_Data!K926,""))</f>
        <v/>
      </c>
      <c r="H923" s="12" t="str">
        <f>IF(Raw_Data!AI926&lt;&gt;"",Raw_Data!AI926,IF(Raw_Data!L926&lt;&gt;"",Raw_Data!L926,""))</f>
        <v/>
      </c>
      <c r="I923" s="12" t="str">
        <f t="shared" si="126"/>
        <v/>
      </c>
      <c r="J923" s="12" t="str">
        <f>IF(Raw_Data!M926="","",Raw_Data!M926)</f>
        <v/>
      </c>
      <c r="K923" s="12">
        <f>IF(Raw_Data!AJ926&lt;&gt;"",Raw_Data!AJ926,Raw_Data!N926)</f>
        <v>0</v>
      </c>
      <c r="L923" s="12">
        <f t="shared" si="127"/>
        <v>1</v>
      </c>
      <c r="M923" s="12" t="str">
        <f>IF(Raw_Data!AK926="","",Raw_Data!AK926)</f>
        <v/>
      </c>
      <c r="N923" s="12" t="str">
        <f>IF(Raw_Data!T926="","",Raw_Data!T926)</f>
        <v/>
      </c>
      <c r="O923" s="12" t="str">
        <f>IF(Raw_Data!AB926&lt;&gt;"",Raw_Data!AB926,IF(N923="tres_insatisfait",1,IF(N923="insatisfait",2,IF(N923="neutre",3,IF(N923="satisfait",4,IF(N923="tres_satisfait",5,""))))))</f>
        <v/>
      </c>
      <c r="P923" s="12">
        <f>IF(Raw_Data!AL926&lt;&gt;"",Raw_Data!AL926,Raw_Data!R926)</f>
        <v>0</v>
      </c>
      <c r="Q923" s="12">
        <f t="shared" si="128"/>
        <v>0</v>
      </c>
      <c r="R923" s="12" t="str">
        <f>IF(Raw_Data!AM926="","",Raw_Data!AM926)</f>
        <v/>
      </c>
      <c r="S923" s="12" t="str">
        <f t="shared" si="129"/>
        <v/>
      </c>
      <c r="T923" s="12" t="str">
        <f>IF(Raw_Data!AN926="","",Raw_Data!AN926)</f>
        <v/>
      </c>
      <c r="U923" s="12" t="str">
        <f t="shared" si="130"/>
        <v/>
      </c>
      <c r="V923" s="12" t="str">
        <f>IF(Raw_Data!AP926="","",IF(Raw_Data!AP926="oui",1,0))</f>
        <v/>
      </c>
      <c r="W923" s="12" t="str">
        <f>IF(Raw_Data!AQ926="","",IF(Raw_Data!AQ926="oui",1,0))</f>
        <v/>
      </c>
      <c r="X923" s="12" t="str">
        <f>IF(Raw_Data!AR926="","",IF(Raw_Data!AR926="oui",1,0))</f>
        <v/>
      </c>
      <c r="Y923" s="12" t="str">
        <f>IF(Raw_Data!AS926="","",IF(Raw_Data!AS926="oui",1,0))</f>
        <v/>
      </c>
      <c r="Z923" s="12" t="str">
        <f>IF(Raw_Data!V926="","",IF(Raw_Data!V926="oui",1,0))</f>
        <v/>
      </c>
      <c r="AA923" s="12" t="str">
        <f>IF(Raw_Data!W926="","",IF(Raw_Data!W926="oui",1,0))</f>
        <v/>
      </c>
      <c r="AB923" s="12" t="str">
        <f>IF(Raw_Data!Q926="","",IF(Raw_Data!Q926="oui",1,0))</f>
        <v/>
      </c>
      <c r="AC923" s="12">
        <f>Raw_Data!AF926</f>
        <v>0</v>
      </c>
      <c r="AD923" s="12" t="str">
        <f t="shared" si="131"/>
        <v/>
      </c>
      <c r="AE923" s="12" t="str">
        <f t="shared" si="132"/>
        <v/>
      </c>
      <c r="AF923" s="12" t="str">
        <f t="shared" si="133"/>
        <v/>
      </c>
      <c r="AG923" s="12">
        <f t="shared" si="134"/>
        <v>0</v>
      </c>
    </row>
    <row r="924" spans="1:33" ht="15" customHeight="1" x14ac:dyDescent="0.25">
      <c r="A924" s="12" t="str">
        <f>IF(Raw_Data!B927="","",Raw_Data!B927)</f>
        <v/>
      </c>
      <c r="B924" s="12">
        <f>IF(Raw_Data!X927&lt;&gt;"",Raw_Data!X927,Raw_Data!C927)</f>
        <v>0</v>
      </c>
      <c r="C924" s="12" t="str">
        <f>IF(Raw_Data!G927="","",Raw_Data!G927)</f>
        <v/>
      </c>
      <c r="D924" s="12" t="str">
        <f>IF(Raw_Data!H927="","",Raw_Data!H927)</f>
        <v/>
      </c>
      <c r="E924" s="12" t="str">
        <f>IF(Raw_Data!I927="","",Raw_Data!I927)</f>
        <v/>
      </c>
      <c r="F924" s="12" t="str">
        <f>IF(Raw_Data!J927="","",Raw_Data!J927)</f>
        <v/>
      </c>
      <c r="G924" s="12" t="str">
        <f>IF(Raw_Data!AH927&lt;&gt;"",Raw_Data!AH927,IF(Raw_Data!K927&lt;&gt;"",Raw_Data!K927,""))</f>
        <v/>
      </c>
      <c r="H924" s="12" t="str">
        <f>IF(Raw_Data!AI927&lt;&gt;"",Raw_Data!AI927,IF(Raw_Data!L927&lt;&gt;"",Raw_Data!L927,""))</f>
        <v/>
      </c>
      <c r="I924" s="12" t="str">
        <f t="shared" si="126"/>
        <v/>
      </c>
      <c r="J924" s="12" t="str">
        <f>IF(Raw_Data!M927="","",Raw_Data!M927)</f>
        <v/>
      </c>
      <c r="K924" s="12">
        <f>IF(Raw_Data!AJ927&lt;&gt;"",Raw_Data!AJ927,Raw_Data!N927)</f>
        <v>0</v>
      </c>
      <c r="L924" s="12">
        <f t="shared" si="127"/>
        <v>1</v>
      </c>
      <c r="M924" s="12" t="str">
        <f>IF(Raw_Data!AK927="","",Raw_Data!AK927)</f>
        <v/>
      </c>
      <c r="N924" s="12" t="str">
        <f>IF(Raw_Data!T927="","",Raw_Data!T927)</f>
        <v/>
      </c>
      <c r="O924" s="12" t="str">
        <f>IF(Raw_Data!AB927&lt;&gt;"",Raw_Data!AB927,IF(N924="tres_insatisfait",1,IF(N924="insatisfait",2,IF(N924="neutre",3,IF(N924="satisfait",4,IF(N924="tres_satisfait",5,""))))))</f>
        <v/>
      </c>
      <c r="P924" s="12">
        <f>IF(Raw_Data!AL927&lt;&gt;"",Raw_Data!AL927,Raw_Data!R927)</f>
        <v>0</v>
      </c>
      <c r="Q924" s="12">
        <f t="shared" si="128"/>
        <v>0</v>
      </c>
      <c r="R924" s="12" t="str">
        <f>IF(Raw_Data!AM927="","",Raw_Data!AM927)</f>
        <v/>
      </c>
      <c r="S924" s="12" t="str">
        <f t="shared" si="129"/>
        <v/>
      </c>
      <c r="T924" s="12" t="str">
        <f>IF(Raw_Data!AN927="","",Raw_Data!AN927)</f>
        <v/>
      </c>
      <c r="U924" s="12" t="str">
        <f t="shared" si="130"/>
        <v/>
      </c>
      <c r="V924" s="12" t="str">
        <f>IF(Raw_Data!AP927="","",IF(Raw_Data!AP927="oui",1,0))</f>
        <v/>
      </c>
      <c r="W924" s="12" t="str">
        <f>IF(Raw_Data!AQ927="","",IF(Raw_Data!AQ927="oui",1,0))</f>
        <v/>
      </c>
      <c r="X924" s="12" t="str">
        <f>IF(Raw_Data!AR927="","",IF(Raw_Data!AR927="oui",1,0))</f>
        <v/>
      </c>
      <c r="Y924" s="12" t="str">
        <f>IF(Raw_Data!AS927="","",IF(Raw_Data!AS927="oui",1,0))</f>
        <v/>
      </c>
      <c r="Z924" s="12" t="str">
        <f>IF(Raw_Data!V927="","",IF(Raw_Data!V927="oui",1,0))</f>
        <v/>
      </c>
      <c r="AA924" s="12" t="str">
        <f>IF(Raw_Data!W927="","",IF(Raw_Data!W927="oui",1,0))</f>
        <v/>
      </c>
      <c r="AB924" s="12" t="str">
        <f>IF(Raw_Data!Q927="","",IF(Raw_Data!Q927="oui",1,0))</f>
        <v/>
      </c>
      <c r="AC924" s="12">
        <f>Raw_Data!AF927</f>
        <v>0</v>
      </c>
      <c r="AD924" s="12" t="str">
        <f t="shared" si="131"/>
        <v/>
      </c>
      <c r="AE924" s="12" t="str">
        <f t="shared" si="132"/>
        <v/>
      </c>
      <c r="AF924" s="12" t="str">
        <f t="shared" si="133"/>
        <v/>
      </c>
      <c r="AG924" s="12">
        <f t="shared" si="134"/>
        <v>0</v>
      </c>
    </row>
    <row r="925" spans="1:33" ht="15" customHeight="1" x14ac:dyDescent="0.25">
      <c r="A925" s="12" t="str">
        <f>IF(Raw_Data!B928="","",Raw_Data!B928)</f>
        <v/>
      </c>
      <c r="B925" s="12">
        <f>IF(Raw_Data!X928&lt;&gt;"",Raw_Data!X928,Raw_Data!C928)</f>
        <v>0</v>
      </c>
      <c r="C925" s="12" t="str">
        <f>IF(Raw_Data!G928="","",Raw_Data!G928)</f>
        <v/>
      </c>
      <c r="D925" s="12" t="str">
        <f>IF(Raw_Data!H928="","",Raw_Data!H928)</f>
        <v/>
      </c>
      <c r="E925" s="12" t="str">
        <f>IF(Raw_Data!I928="","",Raw_Data!I928)</f>
        <v/>
      </c>
      <c r="F925" s="12" t="str">
        <f>IF(Raw_Data!J928="","",Raw_Data!J928)</f>
        <v/>
      </c>
      <c r="G925" s="12" t="str">
        <f>IF(Raw_Data!AH928&lt;&gt;"",Raw_Data!AH928,IF(Raw_Data!K928&lt;&gt;"",Raw_Data!K928,""))</f>
        <v/>
      </c>
      <c r="H925" s="12" t="str">
        <f>IF(Raw_Data!AI928&lt;&gt;"",Raw_Data!AI928,IF(Raw_Data!L928&lt;&gt;"",Raw_Data!L928,""))</f>
        <v/>
      </c>
      <c r="I925" s="12" t="str">
        <f t="shared" si="126"/>
        <v/>
      </c>
      <c r="J925" s="12" t="str">
        <f>IF(Raw_Data!M928="","",Raw_Data!M928)</f>
        <v/>
      </c>
      <c r="K925" s="12">
        <f>IF(Raw_Data!AJ928&lt;&gt;"",Raw_Data!AJ928,Raw_Data!N928)</f>
        <v>0</v>
      </c>
      <c r="L925" s="12">
        <f t="shared" si="127"/>
        <v>1</v>
      </c>
      <c r="M925" s="12" t="str">
        <f>IF(Raw_Data!AK928="","",Raw_Data!AK928)</f>
        <v/>
      </c>
      <c r="N925" s="12" t="str">
        <f>IF(Raw_Data!T928="","",Raw_Data!T928)</f>
        <v/>
      </c>
      <c r="O925" s="12" t="str">
        <f>IF(Raw_Data!AB928&lt;&gt;"",Raw_Data!AB928,IF(N925="tres_insatisfait",1,IF(N925="insatisfait",2,IF(N925="neutre",3,IF(N925="satisfait",4,IF(N925="tres_satisfait",5,""))))))</f>
        <v/>
      </c>
      <c r="P925" s="12">
        <f>IF(Raw_Data!AL928&lt;&gt;"",Raw_Data!AL928,Raw_Data!R928)</f>
        <v>0</v>
      </c>
      <c r="Q925" s="12">
        <f t="shared" si="128"/>
        <v>0</v>
      </c>
      <c r="R925" s="12" t="str">
        <f>IF(Raw_Data!AM928="","",Raw_Data!AM928)</f>
        <v/>
      </c>
      <c r="S925" s="12" t="str">
        <f t="shared" si="129"/>
        <v/>
      </c>
      <c r="T925" s="12" t="str">
        <f>IF(Raw_Data!AN928="","",Raw_Data!AN928)</f>
        <v/>
      </c>
      <c r="U925" s="12" t="str">
        <f t="shared" si="130"/>
        <v/>
      </c>
      <c r="V925" s="12" t="str">
        <f>IF(Raw_Data!AP928="","",IF(Raw_Data!AP928="oui",1,0))</f>
        <v/>
      </c>
      <c r="W925" s="12" t="str">
        <f>IF(Raw_Data!AQ928="","",IF(Raw_Data!AQ928="oui",1,0))</f>
        <v/>
      </c>
      <c r="X925" s="12" t="str">
        <f>IF(Raw_Data!AR928="","",IF(Raw_Data!AR928="oui",1,0))</f>
        <v/>
      </c>
      <c r="Y925" s="12" t="str">
        <f>IF(Raw_Data!AS928="","",IF(Raw_Data!AS928="oui",1,0))</f>
        <v/>
      </c>
      <c r="Z925" s="12" t="str">
        <f>IF(Raw_Data!V928="","",IF(Raw_Data!V928="oui",1,0))</f>
        <v/>
      </c>
      <c r="AA925" s="12" t="str">
        <f>IF(Raw_Data!W928="","",IF(Raw_Data!W928="oui",1,0))</f>
        <v/>
      </c>
      <c r="AB925" s="12" t="str">
        <f>IF(Raw_Data!Q928="","",IF(Raw_Data!Q928="oui",1,0))</f>
        <v/>
      </c>
      <c r="AC925" s="12">
        <f>Raw_Data!AF928</f>
        <v>0</v>
      </c>
      <c r="AD925" s="12" t="str">
        <f t="shared" si="131"/>
        <v/>
      </c>
      <c r="AE925" s="12" t="str">
        <f t="shared" si="132"/>
        <v/>
      </c>
      <c r="AF925" s="12" t="str">
        <f t="shared" si="133"/>
        <v/>
      </c>
      <c r="AG925" s="12">
        <f t="shared" si="134"/>
        <v>0</v>
      </c>
    </row>
    <row r="926" spans="1:33" ht="15" customHeight="1" x14ac:dyDescent="0.25">
      <c r="A926" s="12" t="str">
        <f>IF(Raw_Data!B929="","",Raw_Data!B929)</f>
        <v/>
      </c>
      <c r="B926" s="12">
        <f>IF(Raw_Data!X929&lt;&gt;"",Raw_Data!X929,Raw_Data!C929)</f>
        <v>0</v>
      </c>
      <c r="C926" s="12" t="str">
        <f>IF(Raw_Data!G929="","",Raw_Data!G929)</f>
        <v/>
      </c>
      <c r="D926" s="12" t="str">
        <f>IF(Raw_Data!H929="","",Raw_Data!H929)</f>
        <v/>
      </c>
      <c r="E926" s="12" t="str">
        <f>IF(Raw_Data!I929="","",Raw_Data!I929)</f>
        <v/>
      </c>
      <c r="F926" s="12" t="str">
        <f>IF(Raw_Data!J929="","",Raw_Data!J929)</f>
        <v/>
      </c>
      <c r="G926" s="12" t="str">
        <f>IF(Raw_Data!AH929&lt;&gt;"",Raw_Data!AH929,IF(Raw_Data!K929&lt;&gt;"",Raw_Data!K929,""))</f>
        <v/>
      </c>
      <c r="H926" s="12" t="str">
        <f>IF(Raw_Data!AI929&lt;&gt;"",Raw_Data!AI929,IF(Raw_Data!L929&lt;&gt;"",Raw_Data!L929,""))</f>
        <v/>
      </c>
      <c r="I926" s="12" t="str">
        <f t="shared" si="126"/>
        <v/>
      </c>
      <c r="J926" s="12" t="str">
        <f>IF(Raw_Data!M929="","",Raw_Data!M929)</f>
        <v/>
      </c>
      <c r="K926" s="12">
        <f>IF(Raw_Data!AJ929&lt;&gt;"",Raw_Data!AJ929,Raw_Data!N929)</f>
        <v>0</v>
      </c>
      <c r="L926" s="12">
        <f t="shared" si="127"/>
        <v>1</v>
      </c>
      <c r="M926" s="12" t="str">
        <f>IF(Raw_Data!AK929="","",Raw_Data!AK929)</f>
        <v/>
      </c>
      <c r="N926" s="12" t="str">
        <f>IF(Raw_Data!T929="","",Raw_Data!T929)</f>
        <v/>
      </c>
      <c r="O926" s="12" t="str">
        <f>IF(Raw_Data!AB929&lt;&gt;"",Raw_Data!AB929,IF(N926="tres_insatisfait",1,IF(N926="insatisfait",2,IF(N926="neutre",3,IF(N926="satisfait",4,IF(N926="tres_satisfait",5,""))))))</f>
        <v/>
      </c>
      <c r="P926" s="12">
        <f>IF(Raw_Data!AL929&lt;&gt;"",Raw_Data!AL929,Raw_Data!R929)</f>
        <v>0</v>
      </c>
      <c r="Q926" s="12">
        <f t="shared" si="128"/>
        <v>0</v>
      </c>
      <c r="R926" s="12" t="str">
        <f>IF(Raw_Data!AM929="","",Raw_Data!AM929)</f>
        <v/>
      </c>
      <c r="S926" s="12" t="str">
        <f t="shared" si="129"/>
        <v/>
      </c>
      <c r="T926" s="12" t="str">
        <f>IF(Raw_Data!AN929="","",Raw_Data!AN929)</f>
        <v/>
      </c>
      <c r="U926" s="12" t="str">
        <f t="shared" si="130"/>
        <v/>
      </c>
      <c r="V926" s="12" t="str">
        <f>IF(Raw_Data!AP929="","",IF(Raw_Data!AP929="oui",1,0))</f>
        <v/>
      </c>
      <c r="W926" s="12" t="str">
        <f>IF(Raw_Data!AQ929="","",IF(Raw_Data!AQ929="oui",1,0))</f>
        <v/>
      </c>
      <c r="X926" s="12" t="str">
        <f>IF(Raw_Data!AR929="","",IF(Raw_Data!AR929="oui",1,0))</f>
        <v/>
      </c>
      <c r="Y926" s="12" t="str">
        <f>IF(Raw_Data!AS929="","",IF(Raw_Data!AS929="oui",1,0))</f>
        <v/>
      </c>
      <c r="Z926" s="12" t="str">
        <f>IF(Raw_Data!V929="","",IF(Raw_Data!V929="oui",1,0))</f>
        <v/>
      </c>
      <c r="AA926" s="12" t="str">
        <f>IF(Raw_Data!W929="","",IF(Raw_Data!W929="oui",1,0))</f>
        <v/>
      </c>
      <c r="AB926" s="12" t="str">
        <f>IF(Raw_Data!Q929="","",IF(Raw_Data!Q929="oui",1,0))</f>
        <v/>
      </c>
      <c r="AC926" s="12">
        <f>Raw_Data!AF929</f>
        <v>0</v>
      </c>
      <c r="AD926" s="12" t="str">
        <f t="shared" si="131"/>
        <v/>
      </c>
      <c r="AE926" s="12" t="str">
        <f t="shared" si="132"/>
        <v/>
      </c>
      <c r="AF926" s="12" t="str">
        <f t="shared" si="133"/>
        <v/>
      </c>
      <c r="AG926" s="12">
        <f t="shared" si="134"/>
        <v>0</v>
      </c>
    </row>
    <row r="927" spans="1:33" ht="15" customHeight="1" x14ac:dyDescent="0.25">
      <c r="A927" s="12" t="str">
        <f>IF(Raw_Data!B930="","",Raw_Data!B930)</f>
        <v/>
      </c>
      <c r="B927" s="12">
        <f>IF(Raw_Data!X930&lt;&gt;"",Raw_Data!X930,Raw_Data!C930)</f>
        <v>0</v>
      </c>
      <c r="C927" s="12" t="str">
        <f>IF(Raw_Data!G930="","",Raw_Data!G930)</f>
        <v/>
      </c>
      <c r="D927" s="12" t="str">
        <f>IF(Raw_Data!H930="","",Raw_Data!H930)</f>
        <v/>
      </c>
      <c r="E927" s="12" t="str">
        <f>IF(Raw_Data!I930="","",Raw_Data!I930)</f>
        <v/>
      </c>
      <c r="F927" s="12" t="str">
        <f>IF(Raw_Data!J930="","",Raw_Data!J930)</f>
        <v/>
      </c>
      <c r="G927" s="12" t="str">
        <f>IF(Raw_Data!AH930&lt;&gt;"",Raw_Data!AH930,IF(Raw_Data!K930&lt;&gt;"",Raw_Data!K930,""))</f>
        <v/>
      </c>
      <c r="H927" s="12" t="str">
        <f>IF(Raw_Data!AI930&lt;&gt;"",Raw_Data!AI930,IF(Raw_Data!L930&lt;&gt;"",Raw_Data!L930,""))</f>
        <v/>
      </c>
      <c r="I927" s="12" t="str">
        <f t="shared" si="126"/>
        <v/>
      </c>
      <c r="J927" s="12" t="str">
        <f>IF(Raw_Data!M930="","",Raw_Data!M930)</f>
        <v/>
      </c>
      <c r="K927" s="12">
        <f>IF(Raw_Data!AJ930&lt;&gt;"",Raw_Data!AJ930,Raw_Data!N930)</f>
        <v>0</v>
      </c>
      <c r="L927" s="12">
        <f t="shared" si="127"/>
        <v>1</v>
      </c>
      <c r="M927" s="12" t="str">
        <f>IF(Raw_Data!AK930="","",Raw_Data!AK930)</f>
        <v/>
      </c>
      <c r="N927" s="12" t="str">
        <f>IF(Raw_Data!T930="","",Raw_Data!T930)</f>
        <v/>
      </c>
      <c r="O927" s="12" t="str">
        <f>IF(Raw_Data!AB930&lt;&gt;"",Raw_Data!AB930,IF(N927="tres_insatisfait",1,IF(N927="insatisfait",2,IF(N927="neutre",3,IF(N927="satisfait",4,IF(N927="tres_satisfait",5,""))))))</f>
        <v/>
      </c>
      <c r="P927" s="12">
        <f>IF(Raw_Data!AL930&lt;&gt;"",Raw_Data!AL930,Raw_Data!R930)</f>
        <v>0</v>
      </c>
      <c r="Q927" s="12">
        <f t="shared" si="128"/>
        <v>0</v>
      </c>
      <c r="R927" s="12" t="str">
        <f>IF(Raw_Data!AM930="","",Raw_Data!AM930)</f>
        <v/>
      </c>
      <c r="S927" s="12" t="str">
        <f t="shared" si="129"/>
        <v/>
      </c>
      <c r="T927" s="12" t="str">
        <f>IF(Raw_Data!AN930="","",Raw_Data!AN930)</f>
        <v/>
      </c>
      <c r="U927" s="12" t="str">
        <f t="shared" si="130"/>
        <v/>
      </c>
      <c r="V927" s="12" t="str">
        <f>IF(Raw_Data!AP930="","",IF(Raw_Data!AP930="oui",1,0))</f>
        <v/>
      </c>
      <c r="W927" s="12" t="str">
        <f>IF(Raw_Data!AQ930="","",IF(Raw_Data!AQ930="oui",1,0))</f>
        <v/>
      </c>
      <c r="X927" s="12" t="str">
        <f>IF(Raw_Data!AR930="","",IF(Raw_Data!AR930="oui",1,0))</f>
        <v/>
      </c>
      <c r="Y927" s="12" t="str">
        <f>IF(Raw_Data!AS930="","",IF(Raw_Data!AS930="oui",1,0))</f>
        <v/>
      </c>
      <c r="Z927" s="12" t="str">
        <f>IF(Raw_Data!V930="","",IF(Raw_Data!V930="oui",1,0))</f>
        <v/>
      </c>
      <c r="AA927" s="12" t="str">
        <f>IF(Raw_Data!W930="","",IF(Raw_Data!W930="oui",1,0))</f>
        <v/>
      </c>
      <c r="AB927" s="12" t="str">
        <f>IF(Raw_Data!Q930="","",IF(Raw_Data!Q930="oui",1,0))</f>
        <v/>
      </c>
      <c r="AC927" s="12">
        <f>Raw_Data!AF930</f>
        <v>0</v>
      </c>
      <c r="AD927" s="12" t="str">
        <f t="shared" si="131"/>
        <v/>
      </c>
      <c r="AE927" s="12" t="str">
        <f t="shared" si="132"/>
        <v/>
      </c>
      <c r="AF927" s="12" t="str">
        <f t="shared" si="133"/>
        <v/>
      </c>
      <c r="AG927" s="12">
        <f t="shared" si="134"/>
        <v>0</v>
      </c>
    </row>
    <row r="928" spans="1:33" ht="15" customHeight="1" x14ac:dyDescent="0.25">
      <c r="A928" s="12" t="str">
        <f>IF(Raw_Data!B931="","",Raw_Data!B931)</f>
        <v/>
      </c>
      <c r="B928" s="12">
        <f>IF(Raw_Data!X931&lt;&gt;"",Raw_Data!X931,Raw_Data!C931)</f>
        <v>0</v>
      </c>
      <c r="C928" s="12" t="str">
        <f>IF(Raw_Data!G931="","",Raw_Data!G931)</f>
        <v/>
      </c>
      <c r="D928" s="12" t="str">
        <f>IF(Raw_Data!H931="","",Raw_Data!H931)</f>
        <v/>
      </c>
      <c r="E928" s="12" t="str">
        <f>IF(Raw_Data!I931="","",Raw_Data!I931)</f>
        <v/>
      </c>
      <c r="F928" s="12" t="str">
        <f>IF(Raw_Data!J931="","",Raw_Data!J931)</f>
        <v/>
      </c>
      <c r="G928" s="12" t="str">
        <f>IF(Raw_Data!AH931&lt;&gt;"",Raw_Data!AH931,IF(Raw_Data!K931&lt;&gt;"",Raw_Data!K931,""))</f>
        <v/>
      </c>
      <c r="H928" s="12" t="str">
        <f>IF(Raw_Data!AI931&lt;&gt;"",Raw_Data!AI931,IF(Raw_Data!L931&lt;&gt;"",Raw_Data!L931,""))</f>
        <v/>
      </c>
      <c r="I928" s="12" t="str">
        <f t="shared" si="126"/>
        <v/>
      </c>
      <c r="J928" s="12" t="str">
        <f>IF(Raw_Data!M931="","",Raw_Data!M931)</f>
        <v/>
      </c>
      <c r="K928" s="12">
        <f>IF(Raw_Data!AJ931&lt;&gt;"",Raw_Data!AJ931,Raw_Data!N931)</f>
        <v>0</v>
      </c>
      <c r="L928" s="12">
        <f t="shared" si="127"/>
        <v>1</v>
      </c>
      <c r="M928" s="12" t="str">
        <f>IF(Raw_Data!AK931="","",Raw_Data!AK931)</f>
        <v/>
      </c>
      <c r="N928" s="12" t="str">
        <f>IF(Raw_Data!T931="","",Raw_Data!T931)</f>
        <v/>
      </c>
      <c r="O928" s="12" t="str">
        <f>IF(Raw_Data!AB931&lt;&gt;"",Raw_Data!AB931,IF(N928="tres_insatisfait",1,IF(N928="insatisfait",2,IF(N928="neutre",3,IF(N928="satisfait",4,IF(N928="tres_satisfait",5,""))))))</f>
        <v/>
      </c>
      <c r="P928" s="12">
        <f>IF(Raw_Data!AL931&lt;&gt;"",Raw_Data!AL931,Raw_Data!R931)</f>
        <v>0</v>
      </c>
      <c r="Q928" s="12">
        <f t="shared" si="128"/>
        <v>0</v>
      </c>
      <c r="R928" s="12" t="str">
        <f>IF(Raw_Data!AM931="","",Raw_Data!AM931)</f>
        <v/>
      </c>
      <c r="S928" s="12" t="str">
        <f t="shared" si="129"/>
        <v/>
      </c>
      <c r="T928" s="12" t="str">
        <f>IF(Raw_Data!AN931="","",Raw_Data!AN931)</f>
        <v/>
      </c>
      <c r="U928" s="12" t="str">
        <f t="shared" si="130"/>
        <v/>
      </c>
      <c r="V928" s="12" t="str">
        <f>IF(Raw_Data!AP931="","",IF(Raw_Data!AP931="oui",1,0))</f>
        <v/>
      </c>
      <c r="W928" s="12" t="str">
        <f>IF(Raw_Data!AQ931="","",IF(Raw_Data!AQ931="oui",1,0))</f>
        <v/>
      </c>
      <c r="X928" s="12" t="str">
        <f>IF(Raw_Data!AR931="","",IF(Raw_Data!AR931="oui",1,0))</f>
        <v/>
      </c>
      <c r="Y928" s="12" t="str">
        <f>IF(Raw_Data!AS931="","",IF(Raw_Data!AS931="oui",1,0))</f>
        <v/>
      </c>
      <c r="Z928" s="12" t="str">
        <f>IF(Raw_Data!V931="","",IF(Raw_Data!V931="oui",1,0))</f>
        <v/>
      </c>
      <c r="AA928" s="12" t="str">
        <f>IF(Raw_Data!W931="","",IF(Raw_Data!W931="oui",1,0))</f>
        <v/>
      </c>
      <c r="AB928" s="12" t="str">
        <f>IF(Raw_Data!Q931="","",IF(Raw_Data!Q931="oui",1,0))</f>
        <v/>
      </c>
      <c r="AC928" s="12">
        <f>Raw_Data!AF931</f>
        <v>0</v>
      </c>
      <c r="AD928" s="12" t="str">
        <f t="shared" si="131"/>
        <v/>
      </c>
      <c r="AE928" s="12" t="str">
        <f t="shared" si="132"/>
        <v/>
      </c>
      <c r="AF928" s="12" t="str">
        <f t="shared" si="133"/>
        <v/>
      </c>
      <c r="AG928" s="12">
        <f t="shared" si="134"/>
        <v>0</v>
      </c>
    </row>
    <row r="929" spans="1:33" ht="15" customHeight="1" x14ac:dyDescent="0.25">
      <c r="A929" s="12" t="str">
        <f>IF(Raw_Data!B932="","",Raw_Data!B932)</f>
        <v/>
      </c>
      <c r="B929" s="12">
        <f>IF(Raw_Data!X932&lt;&gt;"",Raw_Data!X932,Raw_Data!C932)</f>
        <v>0</v>
      </c>
      <c r="C929" s="12" t="str">
        <f>IF(Raw_Data!G932="","",Raw_Data!G932)</f>
        <v/>
      </c>
      <c r="D929" s="12" t="str">
        <f>IF(Raw_Data!H932="","",Raw_Data!H932)</f>
        <v/>
      </c>
      <c r="E929" s="12" t="str">
        <f>IF(Raw_Data!I932="","",Raw_Data!I932)</f>
        <v/>
      </c>
      <c r="F929" s="12" t="str">
        <f>IF(Raw_Data!J932="","",Raw_Data!J932)</f>
        <v/>
      </c>
      <c r="G929" s="12" t="str">
        <f>IF(Raw_Data!AH932&lt;&gt;"",Raw_Data!AH932,IF(Raw_Data!K932&lt;&gt;"",Raw_Data!K932,""))</f>
        <v/>
      </c>
      <c r="H929" s="12" t="str">
        <f>IF(Raw_Data!AI932&lt;&gt;"",Raw_Data!AI932,IF(Raw_Data!L932&lt;&gt;"",Raw_Data!L932,""))</f>
        <v/>
      </c>
      <c r="I929" s="12" t="str">
        <f t="shared" si="126"/>
        <v/>
      </c>
      <c r="J929" s="12" t="str">
        <f>IF(Raw_Data!M932="","",Raw_Data!M932)</f>
        <v/>
      </c>
      <c r="K929" s="12">
        <f>IF(Raw_Data!AJ932&lt;&gt;"",Raw_Data!AJ932,Raw_Data!N932)</f>
        <v>0</v>
      </c>
      <c r="L929" s="12">
        <f t="shared" si="127"/>
        <v>1</v>
      </c>
      <c r="M929" s="12" t="str">
        <f>IF(Raw_Data!AK932="","",Raw_Data!AK932)</f>
        <v/>
      </c>
      <c r="N929" s="12" t="str">
        <f>IF(Raw_Data!T932="","",Raw_Data!T932)</f>
        <v/>
      </c>
      <c r="O929" s="12" t="str">
        <f>IF(Raw_Data!AB932&lt;&gt;"",Raw_Data!AB932,IF(N929="tres_insatisfait",1,IF(N929="insatisfait",2,IF(N929="neutre",3,IF(N929="satisfait",4,IF(N929="tres_satisfait",5,""))))))</f>
        <v/>
      </c>
      <c r="P929" s="12">
        <f>IF(Raw_Data!AL932&lt;&gt;"",Raw_Data!AL932,Raw_Data!R932)</f>
        <v>0</v>
      </c>
      <c r="Q929" s="12">
        <f t="shared" si="128"/>
        <v>0</v>
      </c>
      <c r="R929" s="12" t="str">
        <f>IF(Raw_Data!AM932="","",Raw_Data!AM932)</f>
        <v/>
      </c>
      <c r="S929" s="12" t="str">
        <f t="shared" si="129"/>
        <v/>
      </c>
      <c r="T929" s="12" t="str">
        <f>IF(Raw_Data!AN932="","",Raw_Data!AN932)</f>
        <v/>
      </c>
      <c r="U929" s="12" t="str">
        <f t="shared" si="130"/>
        <v/>
      </c>
      <c r="V929" s="12" t="str">
        <f>IF(Raw_Data!AP932="","",IF(Raw_Data!AP932="oui",1,0))</f>
        <v/>
      </c>
      <c r="W929" s="12" t="str">
        <f>IF(Raw_Data!AQ932="","",IF(Raw_Data!AQ932="oui",1,0))</f>
        <v/>
      </c>
      <c r="X929" s="12" t="str">
        <f>IF(Raw_Data!AR932="","",IF(Raw_Data!AR932="oui",1,0))</f>
        <v/>
      </c>
      <c r="Y929" s="12" t="str">
        <f>IF(Raw_Data!AS932="","",IF(Raw_Data!AS932="oui",1,0))</f>
        <v/>
      </c>
      <c r="Z929" s="12" t="str">
        <f>IF(Raw_Data!V932="","",IF(Raw_Data!V932="oui",1,0))</f>
        <v/>
      </c>
      <c r="AA929" s="12" t="str">
        <f>IF(Raw_Data!W932="","",IF(Raw_Data!W932="oui",1,0))</f>
        <v/>
      </c>
      <c r="AB929" s="12" t="str">
        <f>IF(Raw_Data!Q932="","",IF(Raw_Data!Q932="oui",1,0))</f>
        <v/>
      </c>
      <c r="AC929" s="12">
        <f>Raw_Data!AF932</f>
        <v>0</v>
      </c>
      <c r="AD929" s="12" t="str">
        <f t="shared" si="131"/>
        <v/>
      </c>
      <c r="AE929" s="12" t="str">
        <f t="shared" si="132"/>
        <v/>
      </c>
      <c r="AF929" s="12" t="str">
        <f t="shared" si="133"/>
        <v/>
      </c>
      <c r="AG929" s="12">
        <f t="shared" si="134"/>
        <v>0</v>
      </c>
    </row>
    <row r="930" spans="1:33" ht="15" customHeight="1" x14ac:dyDescent="0.25">
      <c r="A930" s="12" t="str">
        <f>IF(Raw_Data!B933="","",Raw_Data!B933)</f>
        <v/>
      </c>
      <c r="B930" s="12">
        <f>IF(Raw_Data!X933&lt;&gt;"",Raw_Data!X933,Raw_Data!C933)</f>
        <v>0</v>
      </c>
      <c r="C930" s="12" t="str">
        <f>IF(Raw_Data!G933="","",Raw_Data!G933)</f>
        <v/>
      </c>
      <c r="D930" s="12" t="str">
        <f>IF(Raw_Data!H933="","",Raw_Data!H933)</f>
        <v/>
      </c>
      <c r="E930" s="12" t="str">
        <f>IF(Raw_Data!I933="","",Raw_Data!I933)</f>
        <v/>
      </c>
      <c r="F930" s="12" t="str">
        <f>IF(Raw_Data!J933="","",Raw_Data!J933)</f>
        <v/>
      </c>
      <c r="G930" s="12" t="str">
        <f>IF(Raw_Data!AH933&lt;&gt;"",Raw_Data!AH933,IF(Raw_Data!K933&lt;&gt;"",Raw_Data!K933,""))</f>
        <v/>
      </c>
      <c r="H930" s="12" t="str">
        <f>IF(Raw_Data!AI933&lt;&gt;"",Raw_Data!AI933,IF(Raw_Data!L933&lt;&gt;"",Raw_Data!L933,""))</f>
        <v/>
      </c>
      <c r="I930" s="12" t="str">
        <f t="shared" si="126"/>
        <v/>
      </c>
      <c r="J930" s="12" t="str">
        <f>IF(Raw_Data!M933="","",Raw_Data!M933)</f>
        <v/>
      </c>
      <c r="K930" s="12">
        <f>IF(Raw_Data!AJ933&lt;&gt;"",Raw_Data!AJ933,Raw_Data!N933)</f>
        <v>0</v>
      </c>
      <c r="L930" s="12">
        <f t="shared" si="127"/>
        <v>1</v>
      </c>
      <c r="M930" s="12" t="str">
        <f>IF(Raw_Data!AK933="","",Raw_Data!AK933)</f>
        <v/>
      </c>
      <c r="N930" s="12" t="str">
        <f>IF(Raw_Data!T933="","",Raw_Data!T933)</f>
        <v/>
      </c>
      <c r="O930" s="12" t="str">
        <f>IF(Raw_Data!AB933&lt;&gt;"",Raw_Data!AB933,IF(N930="tres_insatisfait",1,IF(N930="insatisfait",2,IF(N930="neutre",3,IF(N930="satisfait",4,IF(N930="tres_satisfait",5,""))))))</f>
        <v/>
      </c>
      <c r="P930" s="12">
        <f>IF(Raw_Data!AL933&lt;&gt;"",Raw_Data!AL933,Raw_Data!R933)</f>
        <v>0</v>
      </c>
      <c r="Q930" s="12">
        <f t="shared" si="128"/>
        <v>0</v>
      </c>
      <c r="R930" s="12" t="str">
        <f>IF(Raw_Data!AM933="","",Raw_Data!AM933)</f>
        <v/>
      </c>
      <c r="S930" s="12" t="str">
        <f t="shared" si="129"/>
        <v/>
      </c>
      <c r="T930" s="12" t="str">
        <f>IF(Raw_Data!AN933="","",Raw_Data!AN933)</f>
        <v/>
      </c>
      <c r="U930" s="12" t="str">
        <f t="shared" si="130"/>
        <v/>
      </c>
      <c r="V930" s="12" t="str">
        <f>IF(Raw_Data!AP933="","",IF(Raw_Data!AP933="oui",1,0))</f>
        <v/>
      </c>
      <c r="W930" s="12" t="str">
        <f>IF(Raw_Data!AQ933="","",IF(Raw_Data!AQ933="oui",1,0))</f>
        <v/>
      </c>
      <c r="X930" s="12" t="str">
        <f>IF(Raw_Data!AR933="","",IF(Raw_Data!AR933="oui",1,0))</f>
        <v/>
      </c>
      <c r="Y930" s="12" t="str">
        <f>IF(Raw_Data!AS933="","",IF(Raw_Data!AS933="oui",1,0))</f>
        <v/>
      </c>
      <c r="Z930" s="12" t="str">
        <f>IF(Raw_Data!V933="","",IF(Raw_Data!V933="oui",1,0))</f>
        <v/>
      </c>
      <c r="AA930" s="12" t="str">
        <f>IF(Raw_Data!W933="","",IF(Raw_Data!W933="oui",1,0))</f>
        <v/>
      </c>
      <c r="AB930" s="12" t="str">
        <f>IF(Raw_Data!Q933="","",IF(Raw_Data!Q933="oui",1,0))</f>
        <v/>
      </c>
      <c r="AC930" s="12">
        <f>Raw_Data!AF933</f>
        <v>0</v>
      </c>
      <c r="AD930" s="12" t="str">
        <f t="shared" si="131"/>
        <v/>
      </c>
      <c r="AE930" s="12" t="str">
        <f t="shared" si="132"/>
        <v/>
      </c>
      <c r="AF930" s="12" t="str">
        <f t="shared" si="133"/>
        <v/>
      </c>
      <c r="AG930" s="12">
        <f t="shared" si="134"/>
        <v>0</v>
      </c>
    </row>
    <row r="931" spans="1:33" ht="15" customHeight="1" x14ac:dyDescent="0.25">
      <c r="A931" s="12" t="str">
        <f>IF(Raw_Data!B934="","",Raw_Data!B934)</f>
        <v/>
      </c>
      <c r="B931" s="12">
        <f>IF(Raw_Data!X934&lt;&gt;"",Raw_Data!X934,Raw_Data!C934)</f>
        <v>0</v>
      </c>
      <c r="C931" s="12" t="str">
        <f>IF(Raw_Data!G934="","",Raw_Data!G934)</f>
        <v/>
      </c>
      <c r="D931" s="12" t="str">
        <f>IF(Raw_Data!H934="","",Raw_Data!H934)</f>
        <v/>
      </c>
      <c r="E931" s="12" t="str">
        <f>IF(Raw_Data!I934="","",Raw_Data!I934)</f>
        <v/>
      </c>
      <c r="F931" s="12" t="str">
        <f>IF(Raw_Data!J934="","",Raw_Data!J934)</f>
        <v/>
      </c>
      <c r="G931" s="12" t="str">
        <f>IF(Raw_Data!AH934&lt;&gt;"",Raw_Data!AH934,IF(Raw_Data!K934&lt;&gt;"",Raw_Data!K934,""))</f>
        <v/>
      </c>
      <c r="H931" s="12" t="str">
        <f>IF(Raw_Data!AI934&lt;&gt;"",Raw_Data!AI934,IF(Raw_Data!L934&lt;&gt;"",Raw_Data!L934,""))</f>
        <v/>
      </c>
      <c r="I931" s="12" t="str">
        <f t="shared" si="126"/>
        <v/>
      </c>
      <c r="J931" s="12" t="str">
        <f>IF(Raw_Data!M934="","",Raw_Data!M934)</f>
        <v/>
      </c>
      <c r="K931" s="12">
        <f>IF(Raw_Data!AJ934&lt;&gt;"",Raw_Data!AJ934,Raw_Data!N934)</f>
        <v>0</v>
      </c>
      <c r="L931" s="12">
        <f t="shared" si="127"/>
        <v>1</v>
      </c>
      <c r="M931" s="12" t="str">
        <f>IF(Raw_Data!AK934="","",Raw_Data!AK934)</f>
        <v/>
      </c>
      <c r="N931" s="12" t="str">
        <f>IF(Raw_Data!T934="","",Raw_Data!T934)</f>
        <v/>
      </c>
      <c r="O931" s="12" t="str">
        <f>IF(Raw_Data!AB934&lt;&gt;"",Raw_Data!AB934,IF(N931="tres_insatisfait",1,IF(N931="insatisfait",2,IF(N931="neutre",3,IF(N931="satisfait",4,IF(N931="tres_satisfait",5,""))))))</f>
        <v/>
      </c>
      <c r="P931" s="12">
        <f>IF(Raw_Data!AL934&lt;&gt;"",Raw_Data!AL934,Raw_Data!R934)</f>
        <v>0</v>
      </c>
      <c r="Q931" s="12">
        <f t="shared" si="128"/>
        <v>0</v>
      </c>
      <c r="R931" s="12" t="str">
        <f>IF(Raw_Data!AM934="","",Raw_Data!AM934)</f>
        <v/>
      </c>
      <c r="S931" s="12" t="str">
        <f t="shared" si="129"/>
        <v/>
      </c>
      <c r="T931" s="12" t="str">
        <f>IF(Raw_Data!AN934="","",Raw_Data!AN934)</f>
        <v/>
      </c>
      <c r="U931" s="12" t="str">
        <f t="shared" si="130"/>
        <v/>
      </c>
      <c r="V931" s="12" t="str">
        <f>IF(Raw_Data!AP934="","",IF(Raw_Data!AP934="oui",1,0))</f>
        <v/>
      </c>
      <c r="W931" s="12" t="str">
        <f>IF(Raw_Data!AQ934="","",IF(Raw_Data!AQ934="oui",1,0))</f>
        <v/>
      </c>
      <c r="X931" s="12" t="str">
        <f>IF(Raw_Data!AR934="","",IF(Raw_Data!AR934="oui",1,0))</f>
        <v/>
      </c>
      <c r="Y931" s="12" t="str">
        <f>IF(Raw_Data!AS934="","",IF(Raw_Data!AS934="oui",1,0))</f>
        <v/>
      </c>
      <c r="Z931" s="12" t="str">
        <f>IF(Raw_Data!V934="","",IF(Raw_Data!V934="oui",1,0))</f>
        <v/>
      </c>
      <c r="AA931" s="12" t="str">
        <f>IF(Raw_Data!W934="","",IF(Raw_Data!W934="oui",1,0))</f>
        <v/>
      </c>
      <c r="AB931" s="12" t="str">
        <f>IF(Raw_Data!Q934="","",IF(Raw_Data!Q934="oui",1,0))</f>
        <v/>
      </c>
      <c r="AC931" s="12">
        <f>Raw_Data!AF934</f>
        <v>0</v>
      </c>
      <c r="AD931" s="12" t="str">
        <f t="shared" si="131"/>
        <v/>
      </c>
      <c r="AE931" s="12" t="str">
        <f t="shared" si="132"/>
        <v/>
      </c>
      <c r="AF931" s="12" t="str">
        <f t="shared" si="133"/>
        <v/>
      </c>
      <c r="AG931" s="12">
        <f t="shared" si="134"/>
        <v>0</v>
      </c>
    </row>
    <row r="932" spans="1:33" ht="15" customHeight="1" x14ac:dyDescent="0.25">
      <c r="A932" s="12" t="str">
        <f>IF(Raw_Data!B935="","",Raw_Data!B935)</f>
        <v/>
      </c>
      <c r="B932" s="12">
        <f>IF(Raw_Data!X935&lt;&gt;"",Raw_Data!X935,Raw_Data!C935)</f>
        <v>0</v>
      </c>
      <c r="C932" s="12" t="str">
        <f>IF(Raw_Data!G935="","",Raw_Data!G935)</f>
        <v/>
      </c>
      <c r="D932" s="12" t="str">
        <f>IF(Raw_Data!H935="","",Raw_Data!H935)</f>
        <v/>
      </c>
      <c r="E932" s="12" t="str">
        <f>IF(Raw_Data!I935="","",Raw_Data!I935)</f>
        <v/>
      </c>
      <c r="F932" s="12" t="str">
        <f>IF(Raw_Data!J935="","",Raw_Data!J935)</f>
        <v/>
      </c>
      <c r="G932" s="12" t="str">
        <f>IF(Raw_Data!AH935&lt;&gt;"",Raw_Data!AH935,IF(Raw_Data!K935&lt;&gt;"",Raw_Data!K935,""))</f>
        <v/>
      </c>
      <c r="H932" s="12" t="str">
        <f>IF(Raw_Data!AI935&lt;&gt;"",Raw_Data!AI935,IF(Raw_Data!L935&lt;&gt;"",Raw_Data!L935,""))</f>
        <v/>
      </c>
      <c r="I932" s="12" t="str">
        <f t="shared" si="126"/>
        <v/>
      </c>
      <c r="J932" s="12" t="str">
        <f>IF(Raw_Data!M935="","",Raw_Data!M935)</f>
        <v/>
      </c>
      <c r="K932" s="12">
        <f>IF(Raw_Data!AJ935&lt;&gt;"",Raw_Data!AJ935,Raw_Data!N935)</f>
        <v>0</v>
      </c>
      <c r="L932" s="12">
        <f t="shared" si="127"/>
        <v>1</v>
      </c>
      <c r="M932" s="12" t="str">
        <f>IF(Raw_Data!AK935="","",Raw_Data!AK935)</f>
        <v/>
      </c>
      <c r="N932" s="12" t="str">
        <f>IF(Raw_Data!T935="","",Raw_Data!T935)</f>
        <v/>
      </c>
      <c r="O932" s="12" t="str">
        <f>IF(Raw_Data!AB935&lt;&gt;"",Raw_Data!AB935,IF(N932="tres_insatisfait",1,IF(N932="insatisfait",2,IF(N932="neutre",3,IF(N932="satisfait",4,IF(N932="tres_satisfait",5,""))))))</f>
        <v/>
      </c>
      <c r="P932" s="12">
        <f>IF(Raw_Data!AL935&lt;&gt;"",Raw_Data!AL935,Raw_Data!R935)</f>
        <v>0</v>
      </c>
      <c r="Q932" s="12">
        <f t="shared" si="128"/>
        <v>0</v>
      </c>
      <c r="R932" s="12" t="str">
        <f>IF(Raw_Data!AM935="","",Raw_Data!AM935)</f>
        <v/>
      </c>
      <c r="S932" s="12" t="str">
        <f t="shared" si="129"/>
        <v/>
      </c>
      <c r="T932" s="12" t="str">
        <f>IF(Raw_Data!AN935="","",Raw_Data!AN935)</f>
        <v/>
      </c>
      <c r="U932" s="12" t="str">
        <f t="shared" si="130"/>
        <v/>
      </c>
      <c r="V932" s="12" t="str">
        <f>IF(Raw_Data!AP935="","",IF(Raw_Data!AP935="oui",1,0))</f>
        <v/>
      </c>
      <c r="W932" s="12" t="str">
        <f>IF(Raw_Data!AQ935="","",IF(Raw_Data!AQ935="oui",1,0))</f>
        <v/>
      </c>
      <c r="X932" s="12" t="str">
        <f>IF(Raw_Data!AR935="","",IF(Raw_Data!AR935="oui",1,0))</f>
        <v/>
      </c>
      <c r="Y932" s="12" t="str">
        <f>IF(Raw_Data!AS935="","",IF(Raw_Data!AS935="oui",1,0))</f>
        <v/>
      </c>
      <c r="Z932" s="12" t="str">
        <f>IF(Raw_Data!V935="","",IF(Raw_Data!V935="oui",1,0))</f>
        <v/>
      </c>
      <c r="AA932" s="12" t="str">
        <f>IF(Raw_Data!W935="","",IF(Raw_Data!W935="oui",1,0))</f>
        <v/>
      </c>
      <c r="AB932" s="12" t="str">
        <f>IF(Raw_Data!Q935="","",IF(Raw_Data!Q935="oui",1,0))</f>
        <v/>
      </c>
      <c r="AC932" s="12">
        <f>Raw_Data!AF935</f>
        <v>0</v>
      </c>
      <c r="AD932" s="12" t="str">
        <f t="shared" si="131"/>
        <v/>
      </c>
      <c r="AE932" s="12" t="str">
        <f t="shared" si="132"/>
        <v/>
      </c>
      <c r="AF932" s="12" t="str">
        <f t="shared" si="133"/>
        <v/>
      </c>
      <c r="AG932" s="12">
        <f t="shared" si="134"/>
        <v>0</v>
      </c>
    </row>
    <row r="933" spans="1:33" ht="15" customHeight="1" x14ac:dyDescent="0.25">
      <c r="A933" s="12" t="str">
        <f>IF(Raw_Data!B936="","",Raw_Data!B936)</f>
        <v/>
      </c>
      <c r="B933" s="12">
        <f>IF(Raw_Data!X936&lt;&gt;"",Raw_Data!X936,Raw_Data!C936)</f>
        <v>0</v>
      </c>
      <c r="C933" s="12" t="str">
        <f>IF(Raw_Data!G936="","",Raw_Data!G936)</f>
        <v/>
      </c>
      <c r="D933" s="12" t="str">
        <f>IF(Raw_Data!H936="","",Raw_Data!H936)</f>
        <v/>
      </c>
      <c r="E933" s="12" t="str">
        <f>IF(Raw_Data!I936="","",Raw_Data!I936)</f>
        <v/>
      </c>
      <c r="F933" s="12" t="str">
        <f>IF(Raw_Data!J936="","",Raw_Data!J936)</f>
        <v/>
      </c>
      <c r="G933" s="12" t="str">
        <f>IF(Raw_Data!AH936&lt;&gt;"",Raw_Data!AH936,IF(Raw_Data!K936&lt;&gt;"",Raw_Data!K936,""))</f>
        <v/>
      </c>
      <c r="H933" s="12" t="str">
        <f>IF(Raw_Data!AI936&lt;&gt;"",Raw_Data!AI936,IF(Raw_Data!L936&lt;&gt;"",Raw_Data!L936,""))</f>
        <v/>
      </c>
      <c r="I933" s="12" t="str">
        <f t="shared" si="126"/>
        <v/>
      </c>
      <c r="J933" s="12" t="str">
        <f>IF(Raw_Data!M936="","",Raw_Data!M936)</f>
        <v/>
      </c>
      <c r="K933" s="12">
        <f>IF(Raw_Data!AJ936&lt;&gt;"",Raw_Data!AJ936,Raw_Data!N936)</f>
        <v>0</v>
      </c>
      <c r="L933" s="12">
        <f t="shared" si="127"/>
        <v>1</v>
      </c>
      <c r="M933" s="12" t="str">
        <f>IF(Raw_Data!AK936="","",Raw_Data!AK936)</f>
        <v/>
      </c>
      <c r="N933" s="12" t="str">
        <f>IF(Raw_Data!T936="","",Raw_Data!T936)</f>
        <v/>
      </c>
      <c r="O933" s="12" t="str">
        <f>IF(Raw_Data!AB936&lt;&gt;"",Raw_Data!AB936,IF(N933="tres_insatisfait",1,IF(N933="insatisfait",2,IF(N933="neutre",3,IF(N933="satisfait",4,IF(N933="tres_satisfait",5,""))))))</f>
        <v/>
      </c>
      <c r="P933" s="12">
        <f>IF(Raw_Data!AL936&lt;&gt;"",Raw_Data!AL936,Raw_Data!R936)</f>
        <v>0</v>
      </c>
      <c r="Q933" s="12">
        <f t="shared" si="128"/>
        <v>0</v>
      </c>
      <c r="R933" s="12" t="str">
        <f>IF(Raw_Data!AM936="","",Raw_Data!AM936)</f>
        <v/>
      </c>
      <c r="S933" s="12" t="str">
        <f t="shared" si="129"/>
        <v/>
      </c>
      <c r="T933" s="12" t="str">
        <f>IF(Raw_Data!AN936="","",Raw_Data!AN936)</f>
        <v/>
      </c>
      <c r="U933" s="12" t="str">
        <f t="shared" si="130"/>
        <v/>
      </c>
      <c r="V933" s="12" t="str">
        <f>IF(Raw_Data!AP936="","",IF(Raw_Data!AP936="oui",1,0))</f>
        <v/>
      </c>
      <c r="W933" s="12" t="str">
        <f>IF(Raw_Data!AQ936="","",IF(Raw_Data!AQ936="oui",1,0))</f>
        <v/>
      </c>
      <c r="X933" s="12" t="str">
        <f>IF(Raw_Data!AR936="","",IF(Raw_Data!AR936="oui",1,0))</f>
        <v/>
      </c>
      <c r="Y933" s="12" t="str">
        <f>IF(Raw_Data!AS936="","",IF(Raw_Data!AS936="oui",1,0))</f>
        <v/>
      </c>
      <c r="Z933" s="12" t="str">
        <f>IF(Raw_Data!V936="","",IF(Raw_Data!V936="oui",1,0))</f>
        <v/>
      </c>
      <c r="AA933" s="12" t="str">
        <f>IF(Raw_Data!W936="","",IF(Raw_Data!W936="oui",1,0))</f>
        <v/>
      </c>
      <c r="AB933" s="12" t="str">
        <f>IF(Raw_Data!Q936="","",IF(Raw_Data!Q936="oui",1,0))</f>
        <v/>
      </c>
      <c r="AC933" s="12">
        <f>Raw_Data!AF936</f>
        <v>0</v>
      </c>
      <c r="AD933" s="12" t="str">
        <f t="shared" si="131"/>
        <v/>
      </c>
      <c r="AE933" s="12" t="str">
        <f t="shared" si="132"/>
        <v/>
      </c>
      <c r="AF933" s="12" t="str">
        <f t="shared" si="133"/>
        <v/>
      </c>
      <c r="AG933" s="12">
        <f t="shared" si="134"/>
        <v>0</v>
      </c>
    </row>
    <row r="934" spans="1:33" ht="15" customHeight="1" x14ac:dyDescent="0.25">
      <c r="A934" s="12" t="str">
        <f>IF(Raw_Data!B937="","",Raw_Data!B937)</f>
        <v/>
      </c>
      <c r="B934" s="12">
        <f>IF(Raw_Data!X937&lt;&gt;"",Raw_Data!X937,Raw_Data!C937)</f>
        <v>0</v>
      </c>
      <c r="C934" s="12" t="str">
        <f>IF(Raw_Data!G937="","",Raw_Data!G937)</f>
        <v/>
      </c>
      <c r="D934" s="12" t="str">
        <f>IF(Raw_Data!H937="","",Raw_Data!H937)</f>
        <v/>
      </c>
      <c r="E934" s="12" t="str">
        <f>IF(Raw_Data!I937="","",Raw_Data!I937)</f>
        <v/>
      </c>
      <c r="F934" s="12" t="str">
        <f>IF(Raw_Data!J937="","",Raw_Data!J937)</f>
        <v/>
      </c>
      <c r="G934" s="12" t="str">
        <f>IF(Raw_Data!AH937&lt;&gt;"",Raw_Data!AH937,IF(Raw_Data!K937&lt;&gt;"",Raw_Data!K937,""))</f>
        <v/>
      </c>
      <c r="H934" s="12" t="str">
        <f>IF(Raw_Data!AI937&lt;&gt;"",Raw_Data!AI937,IF(Raw_Data!L937&lt;&gt;"",Raw_Data!L937,""))</f>
        <v/>
      </c>
      <c r="I934" s="12" t="str">
        <f t="shared" si="126"/>
        <v/>
      </c>
      <c r="J934" s="12" t="str">
        <f>IF(Raw_Data!M937="","",Raw_Data!M937)</f>
        <v/>
      </c>
      <c r="K934" s="12">
        <f>IF(Raw_Data!AJ937&lt;&gt;"",Raw_Data!AJ937,Raw_Data!N937)</f>
        <v>0</v>
      </c>
      <c r="L934" s="12">
        <f t="shared" si="127"/>
        <v>1</v>
      </c>
      <c r="M934" s="12" t="str">
        <f>IF(Raw_Data!AK937="","",Raw_Data!AK937)</f>
        <v/>
      </c>
      <c r="N934" s="12" t="str">
        <f>IF(Raw_Data!T937="","",Raw_Data!T937)</f>
        <v/>
      </c>
      <c r="O934" s="12" t="str">
        <f>IF(Raw_Data!AB937&lt;&gt;"",Raw_Data!AB937,IF(N934="tres_insatisfait",1,IF(N934="insatisfait",2,IF(N934="neutre",3,IF(N934="satisfait",4,IF(N934="tres_satisfait",5,""))))))</f>
        <v/>
      </c>
      <c r="P934" s="12">
        <f>IF(Raw_Data!AL937&lt;&gt;"",Raw_Data!AL937,Raw_Data!R937)</f>
        <v>0</v>
      </c>
      <c r="Q934" s="12">
        <f t="shared" si="128"/>
        <v>0</v>
      </c>
      <c r="R934" s="12" t="str">
        <f>IF(Raw_Data!AM937="","",Raw_Data!AM937)</f>
        <v/>
      </c>
      <c r="S934" s="12" t="str">
        <f t="shared" si="129"/>
        <v/>
      </c>
      <c r="T934" s="12" t="str">
        <f>IF(Raw_Data!AN937="","",Raw_Data!AN937)</f>
        <v/>
      </c>
      <c r="U934" s="12" t="str">
        <f t="shared" si="130"/>
        <v/>
      </c>
      <c r="V934" s="12" t="str">
        <f>IF(Raw_Data!AP937="","",IF(Raw_Data!AP937="oui",1,0))</f>
        <v/>
      </c>
      <c r="W934" s="12" t="str">
        <f>IF(Raw_Data!AQ937="","",IF(Raw_Data!AQ937="oui",1,0))</f>
        <v/>
      </c>
      <c r="X934" s="12" t="str">
        <f>IF(Raw_Data!AR937="","",IF(Raw_Data!AR937="oui",1,0))</f>
        <v/>
      </c>
      <c r="Y934" s="12" t="str">
        <f>IF(Raw_Data!AS937="","",IF(Raw_Data!AS937="oui",1,0))</f>
        <v/>
      </c>
      <c r="Z934" s="12" t="str">
        <f>IF(Raw_Data!V937="","",IF(Raw_Data!V937="oui",1,0))</f>
        <v/>
      </c>
      <c r="AA934" s="12" t="str">
        <f>IF(Raw_Data!W937="","",IF(Raw_Data!W937="oui",1,0))</f>
        <v/>
      </c>
      <c r="AB934" s="12" t="str">
        <f>IF(Raw_Data!Q937="","",IF(Raw_Data!Q937="oui",1,0))</f>
        <v/>
      </c>
      <c r="AC934" s="12">
        <f>Raw_Data!AF937</f>
        <v>0</v>
      </c>
      <c r="AD934" s="12" t="str">
        <f t="shared" si="131"/>
        <v/>
      </c>
      <c r="AE934" s="12" t="str">
        <f t="shared" si="132"/>
        <v/>
      </c>
      <c r="AF934" s="12" t="str">
        <f t="shared" si="133"/>
        <v/>
      </c>
      <c r="AG934" s="12">
        <f t="shared" si="134"/>
        <v>0</v>
      </c>
    </row>
    <row r="935" spans="1:33" ht="15" customHeight="1" x14ac:dyDescent="0.25">
      <c r="A935" s="12" t="str">
        <f>IF(Raw_Data!B938="","",Raw_Data!B938)</f>
        <v/>
      </c>
      <c r="B935" s="12">
        <f>IF(Raw_Data!X938&lt;&gt;"",Raw_Data!X938,Raw_Data!C938)</f>
        <v>0</v>
      </c>
      <c r="C935" s="12" t="str">
        <f>IF(Raw_Data!G938="","",Raw_Data!G938)</f>
        <v/>
      </c>
      <c r="D935" s="12" t="str">
        <f>IF(Raw_Data!H938="","",Raw_Data!H938)</f>
        <v/>
      </c>
      <c r="E935" s="12" t="str">
        <f>IF(Raw_Data!I938="","",Raw_Data!I938)</f>
        <v/>
      </c>
      <c r="F935" s="12" t="str">
        <f>IF(Raw_Data!J938="","",Raw_Data!J938)</f>
        <v/>
      </c>
      <c r="G935" s="12" t="str">
        <f>IF(Raw_Data!AH938&lt;&gt;"",Raw_Data!AH938,IF(Raw_Data!K938&lt;&gt;"",Raw_Data!K938,""))</f>
        <v/>
      </c>
      <c r="H935" s="12" t="str">
        <f>IF(Raw_Data!AI938&lt;&gt;"",Raw_Data!AI938,IF(Raw_Data!L938&lt;&gt;"",Raw_Data!L938,""))</f>
        <v/>
      </c>
      <c r="I935" s="12" t="str">
        <f t="shared" si="126"/>
        <v/>
      </c>
      <c r="J935" s="12" t="str">
        <f>IF(Raw_Data!M938="","",Raw_Data!M938)</f>
        <v/>
      </c>
      <c r="K935" s="12">
        <f>IF(Raw_Data!AJ938&lt;&gt;"",Raw_Data!AJ938,Raw_Data!N938)</f>
        <v>0</v>
      </c>
      <c r="L935" s="12">
        <f t="shared" si="127"/>
        <v>1</v>
      </c>
      <c r="M935" s="12" t="str">
        <f>IF(Raw_Data!AK938="","",Raw_Data!AK938)</f>
        <v/>
      </c>
      <c r="N935" s="12" t="str">
        <f>IF(Raw_Data!T938="","",Raw_Data!T938)</f>
        <v/>
      </c>
      <c r="O935" s="12" t="str">
        <f>IF(Raw_Data!AB938&lt;&gt;"",Raw_Data!AB938,IF(N935="tres_insatisfait",1,IF(N935="insatisfait",2,IF(N935="neutre",3,IF(N935="satisfait",4,IF(N935="tres_satisfait",5,""))))))</f>
        <v/>
      </c>
      <c r="P935" s="12">
        <f>IF(Raw_Data!AL938&lt;&gt;"",Raw_Data!AL938,Raw_Data!R938)</f>
        <v>0</v>
      </c>
      <c r="Q935" s="12">
        <f t="shared" si="128"/>
        <v>0</v>
      </c>
      <c r="R935" s="12" t="str">
        <f>IF(Raw_Data!AM938="","",Raw_Data!AM938)</f>
        <v/>
      </c>
      <c r="S935" s="12" t="str">
        <f t="shared" si="129"/>
        <v/>
      </c>
      <c r="T935" s="12" t="str">
        <f>IF(Raw_Data!AN938="","",Raw_Data!AN938)</f>
        <v/>
      </c>
      <c r="U935" s="12" t="str">
        <f t="shared" si="130"/>
        <v/>
      </c>
      <c r="V935" s="12" t="str">
        <f>IF(Raw_Data!AP938="","",IF(Raw_Data!AP938="oui",1,0))</f>
        <v/>
      </c>
      <c r="W935" s="12" t="str">
        <f>IF(Raw_Data!AQ938="","",IF(Raw_Data!AQ938="oui",1,0))</f>
        <v/>
      </c>
      <c r="X935" s="12" t="str">
        <f>IF(Raw_Data!AR938="","",IF(Raw_Data!AR938="oui",1,0))</f>
        <v/>
      </c>
      <c r="Y935" s="12" t="str">
        <f>IF(Raw_Data!AS938="","",IF(Raw_Data!AS938="oui",1,0))</f>
        <v/>
      </c>
      <c r="Z935" s="12" t="str">
        <f>IF(Raw_Data!V938="","",IF(Raw_Data!V938="oui",1,0))</f>
        <v/>
      </c>
      <c r="AA935" s="12" t="str">
        <f>IF(Raw_Data!W938="","",IF(Raw_Data!W938="oui",1,0))</f>
        <v/>
      </c>
      <c r="AB935" s="12" t="str">
        <f>IF(Raw_Data!Q938="","",IF(Raw_Data!Q938="oui",1,0))</f>
        <v/>
      </c>
      <c r="AC935" s="12">
        <f>Raw_Data!AF938</f>
        <v>0</v>
      </c>
      <c r="AD935" s="12" t="str">
        <f t="shared" si="131"/>
        <v/>
      </c>
      <c r="AE935" s="12" t="str">
        <f t="shared" si="132"/>
        <v/>
      </c>
      <c r="AF935" s="12" t="str">
        <f t="shared" si="133"/>
        <v/>
      </c>
      <c r="AG935" s="12">
        <f t="shared" si="134"/>
        <v>0</v>
      </c>
    </row>
    <row r="936" spans="1:33" ht="15" customHeight="1" x14ac:dyDescent="0.25">
      <c r="A936" s="12" t="str">
        <f>IF(Raw_Data!B939="","",Raw_Data!B939)</f>
        <v/>
      </c>
      <c r="B936" s="12">
        <f>IF(Raw_Data!X939&lt;&gt;"",Raw_Data!X939,Raw_Data!C939)</f>
        <v>0</v>
      </c>
      <c r="C936" s="12" t="str">
        <f>IF(Raw_Data!G939="","",Raw_Data!G939)</f>
        <v/>
      </c>
      <c r="D936" s="12" t="str">
        <f>IF(Raw_Data!H939="","",Raw_Data!H939)</f>
        <v/>
      </c>
      <c r="E936" s="12" t="str">
        <f>IF(Raw_Data!I939="","",Raw_Data!I939)</f>
        <v/>
      </c>
      <c r="F936" s="12" t="str">
        <f>IF(Raw_Data!J939="","",Raw_Data!J939)</f>
        <v/>
      </c>
      <c r="G936" s="12" t="str">
        <f>IF(Raw_Data!AH939&lt;&gt;"",Raw_Data!AH939,IF(Raw_Data!K939&lt;&gt;"",Raw_Data!K939,""))</f>
        <v/>
      </c>
      <c r="H936" s="12" t="str">
        <f>IF(Raw_Data!AI939&lt;&gt;"",Raw_Data!AI939,IF(Raw_Data!L939&lt;&gt;"",Raw_Data!L939,""))</f>
        <v/>
      </c>
      <c r="I936" s="12" t="str">
        <f t="shared" si="126"/>
        <v/>
      </c>
      <c r="J936" s="12" t="str">
        <f>IF(Raw_Data!M939="","",Raw_Data!M939)</f>
        <v/>
      </c>
      <c r="K936" s="12">
        <f>IF(Raw_Data!AJ939&lt;&gt;"",Raw_Data!AJ939,Raw_Data!N939)</f>
        <v>0</v>
      </c>
      <c r="L936" s="12">
        <f t="shared" si="127"/>
        <v>1</v>
      </c>
      <c r="M936" s="12" t="str">
        <f>IF(Raw_Data!AK939="","",Raw_Data!AK939)</f>
        <v/>
      </c>
      <c r="N936" s="12" t="str">
        <f>IF(Raw_Data!T939="","",Raw_Data!T939)</f>
        <v/>
      </c>
      <c r="O936" s="12" t="str">
        <f>IF(Raw_Data!AB939&lt;&gt;"",Raw_Data!AB939,IF(N936="tres_insatisfait",1,IF(N936="insatisfait",2,IF(N936="neutre",3,IF(N936="satisfait",4,IF(N936="tres_satisfait",5,""))))))</f>
        <v/>
      </c>
      <c r="P936" s="12">
        <f>IF(Raw_Data!AL939&lt;&gt;"",Raw_Data!AL939,Raw_Data!R939)</f>
        <v>0</v>
      </c>
      <c r="Q936" s="12">
        <f t="shared" si="128"/>
        <v>0</v>
      </c>
      <c r="R936" s="12" t="str">
        <f>IF(Raw_Data!AM939="","",Raw_Data!AM939)</f>
        <v/>
      </c>
      <c r="S936" s="12" t="str">
        <f t="shared" si="129"/>
        <v/>
      </c>
      <c r="T936" s="12" t="str">
        <f>IF(Raw_Data!AN939="","",Raw_Data!AN939)</f>
        <v/>
      </c>
      <c r="U936" s="12" t="str">
        <f t="shared" si="130"/>
        <v/>
      </c>
      <c r="V936" s="12" t="str">
        <f>IF(Raw_Data!AP939="","",IF(Raw_Data!AP939="oui",1,0))</f>
        <v/>
      </c>
      <c r="W936" s="12" t="str">
        <f>IF(Raw_Data!AQ939="","",IF(Raw_Data!AQ939="oui",1,0))</f>
        <v/>
      </c>
      <c r="X936" s="12" t="str">
        <f>IF(Raw_Data!AR939="","",IF(Raw_Data!AR939="oui",1,0))</f>
        <v/>
      </c>
      <c r="Y936" s="12" t="str">
        <f>IF(Raw_Data!AS939="","",IF(Raw_Data!AS939="oui",1,0))</f>
        <v/>
      </c>
      <c r="Z936" s="12" t="str">
        <f>IF(Raw_Data!V939="","",IF(Raw_Data!V939="oui",1,0))</f>
        <v/>
      </c>
      <c r="AA936" s="12" t="str">
        <f>IF(Raw_Data!W939="","",IF(Raw_Data!W939="oui",1,0))</f>
        <v/>
      </c>
      <c r="AB936" s="12" t="str">
        <f>IF(Raw_Data!Q939="","",IF(Raw_Data!Q939="oui",1,0))</f>
        <v/>
      </c>
      <c r="AC936" s="12">
        <f>Raw_Data!AF939</f>
        <v>0</v>
      </c>
      <c r="AD936" s="12" t="str">
        <f t="shared" si="131"/>
        <v/>
      </c>
      <c r="AE936" s="12" t="str">
        <f t="shared" si="132"/>
        <v/>
      </c>
      <c r="AF936" s="12" t="str">
        <f t="shared" si="133"/>
        <v/>
      </c>
      <c r="AG936" s="12">
        <f t="shared" si="134"/>
        <v>0</v>
      </c>
    </row>
    <row r="937" spans="1:33" ht="15" customHeight="1" x14ac:dyDescent="0.25">
      <c r="A937" s="12" t="str">
        <f>IF(Raw_Data!B940="","",Raw_Data!B940)</f>
        <v/>
      </c>
      <c r="B937" s="12">
        <f>IF(Raw_Data!X940&lt;&gt;"",Raw_Data!X940,Raw_Data!C940)</f>
        <v>0</v>
      </c>
      <c r="C937" s="12" t="str">
        <f>IF(Raw_Data!G940="","",Raw_Data!G940)</f>
        <v/>
      </c>
      <c r="D937" s="12" t="str">
        <f>IF(Raw_Data!H940="","",Raw_Data!H940)</f>
        <v/>
      </c>
      <c r="E937" s="12" t="str">
        <f>IF(Raw_Data!I940="","",Raw_Data!I940)</f>
        <v/>
      </c>
      <c r="F937" s="12" t="str">
        <f>IF(Raw_Data!J940="","",Raw_Data!J940)</f>
        <v/>
      </c>
      <c r="G937" s="12" t="str">
        <f>IF(Raw_Data!AH940&lt;&gt;"",Raw_Data!AH940,IF(Raw_Data!K940&lt;&gt;"",Raw_Data!K940,""))</f>
        <v/>
      </c>
      <c r="H937" s="12" t="str">
        <f>IF(Raw_Data!AI940&lt;&gt;"",Raw_Data!AI940,IF(Raw_Data!L940&lt;&gt;"",Raw_Data!L940,""))</f>
        <v/>
      </c>
      <c r="I937" s="12" t="str">
        <f t="shared" si="126"/>
        <v/>
      </c>
      <c r="J937" s="12" t="str">
        <f>IF(Raw_Data!M940="","",Raw_Data!M940)</f>
        <v/>
      </c>
      <c r="K937" s="12">
        <f>IF(Raw_Data!AJ940&lt;&gt;"",Raw_Data!AJ940,Raw_Data!N940)</f>
        <v>0</v>
      </c>
      <c r="L937" s="12">
        <f t="shared" si="127"/>
        <v>1</v>
      </c>
      <c r="M937" s="12" t="str">
        <f>IF(Raw_Data!AK940="","",Raw_Data!AK940)</f>
        <v/>
      </c>
      <c r="N937" s="12" t="str">
        <f>IF(Raw_Data!T940="","",Raw_Data!T940)</f>
        <v/>
      </c>
      <c r="O937" s="12" t="str">
        <f>IF(Raw_Data!AB940&lt;&gt;"",Raw_Data!AB940,IF(N937="tres_insatisfait",1,IF(N937="insatisfait",2,IF(N937="neutre",3,IF(N937="satisfait",4,IF(N937="tres_satisfait",5,""))))))</f>
        <v/>
      </c>
      <c r="P937" s="12">
        <f>IF(Raw_Data!AL940&lt;&gt;"",Raw_Data!AL940,Raw_Data!R940)</f>
        <v>0</v>
      </c>
      <c r="Q937" s="12">
        <f t="shared" si="128"/>
        <v>0</v>
      </c>
      <c r="R937" s="12" t="str">
        <f>IF(Raw_Data!AM940="","",Raw_Data!AM940)</f>
        <v/>
      </c>
      <c r="S937" s="12" t="str">
        <f t="shared" si="129"/>
        <v/>
      </c>
      <c r="T937" s="12" t="str">
        <f>IF(Raw_Data!AN940="","",Raw_Data!AN940)</f>
        <v/>
      </c>
      <c r="U937" s="12" t="str">
        <f t="shared" si="130"/>
        <v/>
      </c>
      <c r="V937" s="12" t="str">
        <f>IF(Raw_Data!AP940="","",IF(Raw_Data!AP940="oui",1,0))</f>
        <v/>
      </c>
      <c r="W937" s="12" t="str">
        <f>IF(Raw_Data!AQ940="","",IF(Raw_Data!AQ940="oui",1,0))</f>
        <v/>
      </c>
      <c r="X937" s="12" t="str">
        <f>IF(Raw_Data!AR940="","",IF(Raw_Data!AR940="oui",1,0))</f>
        <v/>
      </c>
      <c r="Y937" s="12" t="str">
        <f>IF(Raw_Data!AS940="","",IF(Raw_Data!AS940="oui",1,0))</f>
        <v/>
      </c>
      <c r="Z937" s="12" t="str">
        <f>IF(Raw_Data!V940="","",IF(Raw_Data!V940="oui",1,0))</f>
        <v/>
      </c>
      <c r="AA937" s="12" t="str">
        <f>IF(Raw_Data!W940="","",IF(Raw_Data!W940="oui",1,0))</f>
        <v/>
      </c>
      <c r="AB937" s="12" t="str">
        <f>IF(Raw_Data!Q940="","",IF(Raw_Data!Q940="oui",1,0))</f>
        <v/>
      </c>
      <c r="AC937" s="12">
        <f>Raw_Data!AF940</f>
        <v>0</v>
      </c>
      <c r="AD937" s="12" t="str">
        <f t="shared" si="131"/>
        <v/>
      </c>
      <c r="AE937" s="12" t="str">
        <f t="shared" si="132"/>
        <v/>
      </c>
      <c r="AF937" s="12" t="str">
        <f t="shared" si="133"/>
        <v/>
      </c>
      <c r="AG937" s="12">
        <f t="shared" si="134"/>
        <v>0</v>
      </c>
    </row>
    <row r="938" spans="1:33" ht="15" customHeight="1" x14ac:dyDescent="0.25">
      <c r="A938" s="12" t="str">
        <f>IF(Raw_Data!B941="","",Raw_Data!B941)</f>
        <v/>
      </c>
      <c r="B938" s="12">
        <f>IF(Raw_Data!X941&lt;&gt;"",Raw_Data!X941,Raw_Data!C941)</f>
        <v>0</v>
      </c>
      <c r="C938" s="12" t="str">
        <f>IF(Raw_Data!G941="","",Raw_Data!G941)</f>
        <v/>
      </c>
      <c r="D938" s="12" t="str">
        <f>IF(Raw_Data!H941="","",Raw_Data!H941)</f>
        <v/>
      </c>
      <c r="E938" s="12" t="str">
        <f>IF(Raw_Data!I941="","",Raw_Data!I941)</f>
        <v/>
      </c>
      <c r="F938" s="12" t="str">
        <f>IF(Raw_Data!J941="","",Raw_Data!J941)</f>
        <v/>
      </c>
      <c r="G938" s="12" t="str">
        <f>IF(Raw_Data!AH941&lt;&gt;"",Raw_Data!AH941,IF(Raw_Data!K941&lt;&gt;"",Raw_Data!K941,""))</f>
        <v/>
      </c>
      <c r="H938" s="12" t="str">
        <f>IF(Raw_Data!AI941&lt;&gt;"",Raw_Data!AI941,IF(Raw_Data!L941&lt;&gt;"",Raw_Data!L941,""))</f>
        <v/>
      </c>
      <c r="I938" s="12" t="str">
        <f t="shared" si="126"/>
        <v/>
      </c>
      <c r="J938" s="12" t="str">
        <f>IF(Raw_Data!M941="","",Raw_Data!M941)</f>
        <v/>
      </c>
      <c r="K938" s="12">
        <f>IF(Raw_Data!AJ941&lt;&gt;"",Raw_Data!AJ941,Raw_Data!N941)</f>
        <v>0</v>
      </c>
      <c r="L938" s="12">
        <f t="shared" si="127"/>
        <v>1</v>
      </c>
      <c r="M938" s="12" t="str">
        <f>IF(Raw_Data!AK941="","",Raw_Data!AK941)</f>
        <v/>
      </c>
      <c r="N938" s="12" t="str">
        <f>IF(Raw_Data!T941="","",Raw_Data!T941)</f>
        <v/>
      </c>
      <c r="O938" s="12" t="str">
        <f>IF(Raw_Data!AB941&lt;&gt;"",Raw_Data!AB941,IF(N938="tres_insatisfait",1,IF(N938="insatisfait",2,IF(N938="neutre",3,IF(N938="satisfait",4,IF(N938="tres_satisfait",5,""))))))</f>
        <v/>
      </c>
      <c r="P938" s="12">
        <f>IF(Raw_Data!AL941&lt;&gt;"",Raw_Data!AL941,Raw_Data!R941)</f>
        <v>0</v>
      </c>
      <c r="Q938" s="12">
        <f t="shared" si="128"/>
        <v>0</v>
      </c>
      <c r="R938" s="12" t="str">
        <f>IF(Raw_Data!AM941="","",Raw_Data!AM941)</f>
        <v/>
      </c>
      <c r="S938" s="12" t="str">
        <f t="shared" si="129"/>
        <v/>
      </c>
      <c r="T938" s="12" t="str">
        <f>IF(Raw_Data!AN941="","",Raw_Data!AN941)</f>
        <v/>
      </c>
      <c r="U938" s="12" t="str">
        <f t="shared" si="130"/>
        <v/>
      </c>
      <c r="V938" s="12" t="str">
        <f>IF(Raw_Data!AP941="","",IF(Raw_Data!AP941="oui",1,0))</f>
        <v/>
      </c>
      <c r="W938" s="12" t="str">
        <f>IF(Raw_Data!AQ941="","",IF(Raw_Data!AQ941="oui",1,0))</f>
        <v/>
      </c>
      <c r="X938" s="12" t="str">
        <f>IF(Raw_Data!AR941="","",IF(Raw_Data!AR941="oui",1,0))</f>
        <v/>
      </c>
      <c r="Y938" s="12" t="str">
        <f>IF(Raw_Data!AS941="","",IF(Raw_Data!AS941="oui",1,0))</f>
        <v/>
      </c>
      <c r="Z938" s="12" t="str">
        <f>IF(Raw_Data!V941="","",IF(Raw_Data!V941="oui",1,0))</f>
        <v/>
      </c>
      <c r="AA938" s="12" t="str">
        <f>IF(Raw_Data!W941="","",IF(Raw_Data!W941="oui",1,0))</f>
        <v/>
      </c>
      <c r="AB938" s="12" t="str">
        <f>IF(Raw_Data!Q941="","",IF(Raw_Data!Q941="oui",1,0))</f>
        <v/>
      </c>
      <c r="AC938" s="12">
        <f>Raw_Data!AF941</f>
        <v>0</v>
      </c>
      <c r="AD938" s="12" t="str">
        <f t="shared" si="131"/>
        <v/>
      </c>
      <c r="AE938" s="12" t="str">
        <f t="shared" si="132"/>
        <v/>
      </c>
      <c r="AF938" s="12" t="str">
        <f t="shared" si="133"/>
        <v/>
      </c>
      <c r="AG938" s="12">
        <f t="shared" si="134"/>
        <v>0</v>
      </c>
    </row>
    <row r="939" spans="1:33" ht="15" customHeight="1" x14ac:dyDescent="0.25">
      <c r="A939" s="12" t="str">
        <f>IF(Raw_Data!B942="","",Raw_Data!B942)</f>
        <v/>
      </c>
      <c r="B939" s="12">
        <f>IF(Raw_Data!X942&lt;&gt;"",Raw_Data!X942,Raw_Data!C942)</f>
        <v>0</v>
      </c>
      <c r="C939" s="12" t="str">
        <f>IF(Raw_Data!G942="","",Raw_Data!G942)</f>
        <v/>
      </c>
      <c r="D939" s="12" t="str">
        <f>IF(Raw_Data!H942="","",Raw_Data!H942)</f>
        <v/>
      </c>
      <c r="E939" s="12" t="str">
        <f>IF(Raw_Data!I942="","",Raw_Data!I942)</f>
        <v/>
      </c>
      <c r="F939" s="12" t="str">
        <f>IF(Raw_Data!J942="","",Raw_Data!J942)</f>
        <v/>
      </c>
      <c r="G939" s="12" t="str">
        <f>IF(Raw_Data!AH942&lt;&gt;"",Raw_Data!AH942,IF(Raw_Data!K942&lt;&gt;"",Raw_Data!K942,""))</f>
        <v/>
      </c>
      <c r="H939" s="12" t="str">
        <f>IF(Raw_Data!AI942&lt;&gt;"",Raw_Data!AI942,IF(Raw_Data!L942&lt;&gt;"",Raw_Data!L942,""))</f>
        <v/>
      </c>
      <c r="I939" s="12" t="str">
        <f t="shared" si="126"/>
        <v/>
      </c>
      <c r="J939" s="12" t="str">
        <f>IF(Raw_Data!M942="","",Raw_Data!M942)</f>
        <v/>
      </c>
      <c r="K939" s="12">
        <f>IF(Raw_Data!AJ942&lt;&gt;"",Raw_Data!AJ942,Raw_Data!N942)</f>
        <v>0</v>
      </c>
      <c r="L939" s="12">
        <f t="shared" si="127"/>
        <v>1</v>
      </c>
      <c r="M939" s="12" t="str">
        <f>IF(Raw_Data!AK942="","",Raw_Data!AK942)</f>
        <v/>
      </c>
      <c r="N939" s="12" t="str">
        <f>IF(Raw_Data!T942="","",Raw_Data!T942)</f>
        <v/>
      </c>
      <c r="O939" s="12" t="str">
        <f>IF(Raw_Data!AB942&lt;&gt;"",Raw_Data!AB942,IF(N939="tres_insatisfait",1,IF(N939="insatisfait",2,IF(N939="neutre",3,IF(N939="satisfait",4,IF(N939="tres_satisfait",5,""))))))</f>
        <v/>
      </c>
      <c r="P939" s="12">
        <f>IF(Raw_Data!AL942&lt;&gt;"",Raw_Data!AL942,Raw_Data!R942)</f>
        <v>0</v>
      </c>
      <c r="Q939" s="12">
        <f t="shared" si="128"/>
        <v>0</v>
      </c>
      <c r="R939" s="12" t="str">
        <f>IF(Raw_Data!AM942="","",Raw_Data!AM942)</f>
        <v/>
      </c>
      <c r="S939" s="12" t="str">
        <f t="shared" si="129"/>
        <v/>
      </c>
      <c r="T939" s="12" t="str">
        <f>IF(Raw_Data!AN942="","",Raw_Data!AN942)</f>
        <v/>
      </c>
      <c r="U939" s="12" t="str">
        <f t="shared" si="130"/>
        <v/>
      </c>
      <c r="V939" s="12" t="str">
        <f>IF(Raw_Data!AP942="","",IF(Raw_Data!AP942="oui",1,0))</f>
        <v/>
      </c>
      <c r="W939" s="12" t="str">
        <f>IF(Raw_Data!AQ942="","",IF(Raw_Data!AQ942="oui",1,0))</f>
        <v/>
      </c>
      <c r="X939" s="12" t="str">
        <f>IF(Raw_Data!AR942="","",IF(Raw_Data!AR942="oui",1,0))</f>
        <v/>
      </c>
      <c r="Y939" s="12" t="str">
        <f>IF(Raw_Data!AS942="","",IF(Raw_Data!AS942="oui",1,0))</f>
        <v/>
      </c>
      <c r="Z939" s="12" t="str">
        <f>IF(Raw_Data!V942="","",IF(Raw_Data!V942="oui",1,0))</f>
        <v/>
      </c>
      <c r="AA939" s="12" t="str">
        <f>IF(Raw_Data!W942="","",IF(Raw_Data!W942="oui",1,0))</f>
        <v/>
      </c>
      <c r="AB939" s="12" t="str">
        <f>IF(Raw_Data!Q942="","",IF(Raw_Data!Q942="oui",1,0))</f>
        <v/>
      </c>
      <c r="AC939" s="12">
        <f>Raw_Data!AF942</f>
        <v>0</v>
      </c>
      <c r="AD939" s="12" t="str">
        <f t="shared" si="131"/>
        <v/>
      </c>
      <c r="AE939" s="12" t="str">
        <f t="shared" si="132"/>
        <v/>
      </c>
      <c r="AF939" s="12" t="str">
        <f t="shared" si="133"/>
        <v/>
      </c>
      <c r="AG939" s="12">
        <f t="shared" si="134"/>
        <v>0</v>
      </c>
    </row>
    <row r="940" spans="1:33" ht="15" customHeight="1" x14ac:dyDescent="0.25">
      <c r="A940" s="12" t="str">
        <f>IF(Raw_Data!B943="","",Raw_Data!B943)</f>
        <v/>
      </c>
      <c r="B940" s="12">
        <f>IF(Raw_Data!X943&lt;&gt;"",Raw_Data!X943,Raw_Data!C943)</f>
        <v>0</v>
      </c>
      <c r="C940" s="12" t="str">
        <f>IF(Raw_Data!G943="","",Raw_Data!G943)</f>
        <v/>
      </c>
      <c r="D940" s="12" t="str">
        <f>IF(Raw_Data!H943="","",Raw_Data!H943)</f>
        <v/>
      </c>
      <c r="E940" s="12" t="str">
        <f>IF(Raw_Data!I943="","",Raw_Data!I943)</f>
        <v/>
      </c>
      <c r="F940" s="12" t="str">
        <f>IF(Raw_Data!J943="","",Raw_Data!J943)</f>
        <v/>
      </c>
      <c r="G940" s="12" t="str">
        <f>IF(Raw_Data!AH943&lt;&gt;"",Raw_Data!AH943,IF(Raw_Data!K943&lt;&gt;"",Raw_Data!K943,""))</f>
        <v/>
      </c>
      <c r="H940" s="12" t="str">
        <f>IF(Raw_Data!AI943&lt;&gt;"",Raw_Data!AI943,IF(Raw_Data!L943&lt;&gt;"",Raw_Data!L943,""))</f>
        <v/>
      </c>
      <c r="I940" s="12" t="str">
        <f t="shared" si="126"/>
        <v/>
      </c>
      <c r="J940" s="12" t="str">
        <f>IF(Raw_Data!M943="","",Raw_Data!M943)</f>
        <v/>
      </c>
      <c r="K940" s="12">
        <f>IF(Raw_Data!AJ943&lt;&gt;"",Raw_Data!AJ943,Raw_Data!N943)</f>
        <v>0</v>
      </c>
      <c r="L940" s="12">
        <f t="shared" si="127"/>
        <v>1</v>
      </c>
      <c r="M940" s="12" t="str">
        <f>IF(Raw_Data!AK943="","",Raw_Data!AK943)</f>
        <v/>
      </c>
      <c r="N940" s="12" t="str">
        <f>IF(Raw_Data!T943="","",Raw_Data!T943)</f>
        <v/>
      </c>
      <c r="O940" s="12" t="str">
        <f>IF(Raw_Data!AB943&lt;&gt;"",Raw_Data!AB943,IF(N940="tres_insatisfait",1,IF(N940="insatisfait",2,IF(N940="neutre",3,IF(N940="satisfait",4,IF(N940="tres_satisfait",5,""))))))</f>
        <v/>
      </c>
      <c r="P940" s="12">
        <f>IF(Raw_Data!AL943&lt;&gt;"",Raw_Data!AL943,Raw_Data!R943)</f>
        <v>0</v>
      </c>
      <c r="Q940" s="12">
        <f t="shared" si="128"/>
        <v>0</v>
      </c>
      <c r="R940" s="12" t="str">
        <f>IF(Raw_Data!AM943="","",Raw_Data!AM943)</f>
        <v/>
      </c>
      <c r="S940" s="12" t="str">
        <f t="shared" si="129"/>
        <v/>
      </c>
      <c r="T940" s="12" t="str">
        <f>IF(Raw_Data!AN943="","",Raw_Data!AN943)</f>
        <v/>
      </c>
      <c r="U940" s="12" t="str">
        <f t="shared" si="130"/>
        <v/>
      </c>
      <c r="V940" s="12" t="str">
        <f>IF(Raw_Data!AP943="","",IF(Raw_Data!AP943="oui",1,0))</f>
        <v/>
      </c>
      <c r="W940" s="12" t="str">
        <f>IF(Raw_Data!AQ943="","",IF(Raw_Data!AQ943="oui",1,0))</f>
        <v/>
      </c>
      <c r="X940" s="12" t="str">
        <f>IF(Raw_Data!AR943="","",IF(Raw_Data!AR943="oui",1,0))</f>
        <v/>
      </c>
      <c r="Y940" s="12" t="str">
        <f>IF(Raw_Data!AS943="","",IF(Raw_Data!AS943="oui",1,0))</f>
        <v/>
      </c>
      <c r="Z940" s="12" t="str">
        <f>IF(Raw_Data!V943="","",IF(Raw_Data!V943="oui",1,0))</f>
        <v/>
      </c>
      <c r="AA940" s="12" t="str">
        <f>IF(Raw_Data!W943="","",IF(Raw_Data!W943="oui",1,0))</f>
        <v/>
      </c>
      <c r="AB940" s="12" t="str">
        <f>IF(Raw_Data!Q943="","",IF(Raw_Data!Q943="oui",1,0))</f>
        <v/>
      </c>
      <c r="AC940" s="12">
        <f>Raw_Data!AF943</f>
        <v>0</v>
      </c>
      <c r="AD940" s="12" t="str">
        <f t="shared" si="131"/>
        <v/>
      </c>
      <c r="AE940" s="12" t="str">
        <f t="shared" si="132"/>
        <v/>
      </c>
      <c r="AF940" s="12" t="str">
        <f t="shared" si="133"/>
        <v/>
      </c>
      <c r="AG940" s="12">
        <f t="shared" si="134"/>
        <v>0</v>
      </c>
    </row>
    <row r="941" spans="1:33" ht="15" customHeight="1" x14ac:dyDescent="0.25">
      <c r="A941" s="12" t="str">
        <f>IF(Raw_Data!B944="","",Raw_Data!B944)</f>
        <v/>
      </c>
      <c r="B941" s="12">
        <f>IF(Raw_Data!X944&lt;&gt;"",Raw_Data!X944,Raw_Data!C944)</f>
        <v>0</v>
      </c>
      <c r="C941" s="12" t="str">
        <f>IF(Raw_Data!G944="","",Raw_Data!G944)</f>
        <v/>
      </c>
      <c r="D941" s="12" t="str">
        <f>IF(Raw_Data!H944="","",Raw_Data!H944)</f>
        <v/>
      </c>
      <c r="E941" s="12" t="str">
        <f>IF(Raw_Data!I944="","",Raw_Data!I944)</f>
        <v/>
      </c>
      <c r="F941" s="12" t="str">
        <f>IF(Raw_Data!J944="","",Raw_Data!J944)</f>
        <v/>
      </c>
      <c r="G941" s="12" t="str">
        <f>IF(Raw_Data!AH944&lt;&gt;"",Raw_Data!AH944,IF(Raw_Data!K944&lt;&gt;"",Raw_Data!K944,""))</f>
        <v/>
      </c>
      <c r="H941" s="12" t="str">
        <f>IF(Raw_Data!AI944&lt;&gt;"",Raw_Data!AI944,IF(Raw_Data!L944&lt;&gt;"",Raw_Data!L944,""))</f>
        <v/>
      </c>
      <c r="I941" s="12" t="str">
        <f t="shared" si="126"/>
        <v/>
      </c>
      <c r="J941" s="12" t="str">
        <f>IF(Raw_Data!M944="","",Raw_Data!M944)</f>
        <v/>
      </c>
      <c r="K941" s="12">
        <f>IF(Raw_Data!AJ944&lt;&gt;"",Raw_Data!AJ944,Raw_Data!N944)</f>
        <v>0</v>
      </c>
      <c r="L941" s="12">
        <f t="shared" si="127"/>
        <v>1</v>
      </c>
      <c r="M941" s="12" t="str">
        <f>IF(Raw_Data!AK944="","",Raw_Data!AK944)</f>
        <v/>
      </c>
      <c r="N941" s="12" t="str">
        <f>IF(Raw_Data!T944="","",Raw_Data!T944)</f>
        <v/>
      </c>
      <c r="O941" s="12" t="str">
        <f>IF(Raw_Data!AB944&lt;&gt;"",Raw_Data!AB944,IF(N941="tres_insatisfait",1,IF(N941="insatisfait",2,IF(N941="neutre",3,IF(N941="satisfait",4,IF(N941="tres_satisfait",5,""))))))</f>
        <v/>
      </c>
      <c r="P941" s="12">
        <f>IF(Raw_Data!AL944&lt;&gt;"",Raw_Data!AL944,Raw_Data!R944)</f>
        <v>0</v>
      </c>
      <c r="Q941" s="12">
        <f t="shared" si="128"/>
        <v>0</v>
      </c>
      <c r="R941" s="12" t="str">
        <f>IF(Raw_Data!AM944="","",Raw_Data!AM944)</f>
        <v/>
      </c>
      <c r="S941" s="12" t="str">
        <f t="shared" si="129"/>
        <v/>
      </c>
      <c r="T941" s="12" t="str">
        <f>IF(Raw_Data!AN944="","",Raw_Data!AN944)</f>
        <v/>
      </c>
      <c r="U941" s="12" t="str">
        <f t="shared" si="130"/>
        <v/>
      </c>
      <c r="V941" s="12" t="str">
        <f>IF(Raw_Data!AP944="","",IF(Raw_Data!AP944="oui",1,0))</f>
        <v/>
      </c>
      <c r="W941" s="12" t="str">
        <f>IF(Raw_Data!AQ944="","",IF(Raw_Data!AQ944="oui",1,0))</f>
        <v/>
      </c>
      <c r="X941" s="12" t="str">
        <f>IF(Raw_Data!AR944="","",IF(Raw_Data!AR944="oui",1,0))</f>
        <v/>
      </c>
      <c r="Y941" s="12" t="str">
        <f>IF(Raw_Data!AS944="","",IF(Raw_Data!AS944="oui",1,0))</f>
        <v/>
      </c>
      <c r="Z941" s="12" t="str">
        <f>IF(Raw_Data!V944="","",IF(Raw_Data!V944="oui",1,0))</f>
        <v/>
      </c>
      <c r="AA941" s="12" t="str">
        <f>IF(Raw_Data!W944="","",IF(Raw_Data!W944="oui",1,0))</f>
        <v/>
      </c>
      <c r="AB941" s="12" t="str">
        <f>IF(Raw_Data!Q944="","",IF(Raw_Data!Q944="oui",1,0))</f>
        <v/>
      </c>
      <c r="AC941" s="12">
        <f>Raw_Data!AF944</f>
        <v>0</v>
      </c>
      <c r="AD941" s="12" t="str">
        <f t="shared" si="131"/>
        <v/>
      </c>
      <c r="AE941" s="12" t="str">
        <f t="shared" si="132"/>
        <v/>
      </c>
      <c r="AF941" s="12" t="str">
        <f t="shared" si="133"/>
        <v/>
      </c>
      <c r="AG941" s="12">
        <f t="shared" si="134"/>
        <v>0</v>
      </c>
    </row>
    <row r="942" spans="1:33" ht="15" customHeight="1" x14ac:dyDescent="0.25">
      <c r="A942" s="12" t="str">
        <f>IF(Raw_Data!B945="","",Raw_Data!B945)</f>
        <v/>
      </c>
      <c r="B942" s="12">
        <f>IF(Raw_Data!X945&lt;&gt;"",Raw_Data!X945,Raw_Data!C945)</f>
        <v>0</v>
      </c>
      <c r="C942" s="12" t="str">
        <f>IF(Raw_Data!G945="","",Raw_Data!G945)</f>
        <v/>
      </c>
      <c r="D942" s="12" t="str">
        <f>IF(Raw_Data!H945="","",Raw_Data!H945)</f>
        <v/>
      </c>
      <c r="E942" s="12" t="str">
        <f>IF(Raw_Data!I945="","",Raw_Data!I945)</f>
        <v/>
      </c>
      <c r="F942" s="12" t="str">
        <f>IF(Raw_Data!J945="","",Raw_Data!J945)</f>
        <v/>
      </c>
      <c r="G942" s="12" t="str">
        <f>IF(Raw_Data!AH945&lt;&gt;"",Raw_Data!AH945,IF(Raw_Data!K945&lt;&gt;"",Raw_Data!K945,""))</f>
        <v/>
      </c>
      <c r="H942" s="12" t="str">
        <f>IF(Raw_Data!AI945&lt;&gt;"",Raw_Data!AI945,IF(Raw_Data!L945&lt;&gt;"",Raw_Data!L945,""))</f>
        <v/>
      </c>
      <c r="I942" s="12" t="str">
        <f t="shared" si="126"/>
        <v/>
      </c>
      <c r="J942" s="12" t="str">
        <f>IF(Raw_Data!M945="","",Raw_Data!M945)</f>
        <v/>
      </c>
      <c r="K942" s="12">
        <f>IF(Raw_Data!AJ945&lt;&gt;"",Raw_Data!AJ945,Raw_Data!N945)</f>
        <v>0</v>
      </c>
      <c r="L942" s="12">
        <f t="shared" si="127"/>
        <v>1</v>
      </c>
      <c r="M942" s="12" t="str">
        <f>IF(Raw_Data!AK945="","",Raw_Data!AK945)</f>
        <v/>
      </c>
      <c r="N942" s="12" t="str">
        <f>IF(Raw_Data!T945="","",Raw_Data!T945)</f>
        <v/>
      </c>
      <c r="O942" s="12" t="str">
        <f>IF(Raw_Data!AB945&lt;&gt;"",Raw_Data!AB945,IF(N942="tres_insatisfait",1,IF(N942="insatisfait",2,IF(N942="neutre",3,IF(N942="satisfait",4,IF(N942="tres_satisfait",5,""))))))</f>
        <v/>
      </c>
      <c r="P942" s="12">
        <f>IF(Raw_Data!AL945&lt;&gt;"",Raw_Data!AL945,Raw_Data!R945)</f>
        <v>0</v>
      </c>
      <c r="Q942" s="12">
        <f t="shared" si="128"/>
        <v>0</v>
      </c>
      <c r="R942" s="12" t="str">
        <f>IF(Raw_Data!AM945="","",Raw_Data!AM945)</f>
        <v/>
      </c>
      <c r="S942" s="12" t="str">
        <f t="shared" si="129"/>
        <v/>
      </c>
      <c r="T942" s="12" t="str">
        <f>IF(Raw_Data!AN945="","",Raw_Data!AN945)</f>
        <v/>
      </c>
      <c r="U942" s="12" t="str">
        <f t="shared" si="130"/>
        <v/>
      </c>
      <c r="V942" s="12" t="str">
        <f>IF(Raw_Data!AP945="","",IF(Raw_Data!AP945="oui",1,0))</f>
        <v/>
      </c>
      <c r="W942" s="12" t="str">
        <f>IF(Raw_Data!AQ945="","",IF(Raw_Data!AQ945="oui",1,0))</f>
        <v/>
      </c>
      <c r="X942" s="12" t="str">
        <f>IF(Raw_Data!AR945="","",IF(Raw_Data!AR945="oui",1,0))</f>
        <v/>
      </c>
      <c r="Y942" s="12" t="str">
        <f>IF(Raw_Data!AS945="","",IF(Raw_Data!AS945="oui",1,0))</f>
        <v/>
      </c>
      <c r="Z942" s="12" t="str">
        <f>IF(Raw_Data!V945="","",IF(Raw_Data!V945="oui",1,0))</f>
        <v/>
      </c>
      <c r="AA942" s="12" t="str">
        <f>IF(Raw_Data!W945="","",IF(Raw_Data!W945="oui",1,0))</f>
        <v/>
      </c>
      <c r="AB942" s="12" t="str">
        <f>IF(Raw_Data!Q945="","",IF(Raw_Data!Q945="oui",1,0))</f>
        <v/>
      </c>
      <c r="AC942" s="12">
        <f>Raw_Data!AF945</f>
        <v>0</v>
      </c>
      <c r="AD942" s="12" t="str">
        <f t="shared" si="131"/>
        <v/>
      </c>
      <c r="AE942" s="12" t="str">
        <f t="shared" si="132"/>
        <v/>
      </c>
      <c r="AF942" s="12" t="str">
        <f t="shared" si="133"/>
        <v/>
      </c>
      <c r="AG942" s="12">
        <f t="shared" si="134"/>
        <v>0</v>
      </c>
    </row>
    <row r="943" spans="1:33" ht="15" customHeight="1" x14ac:dyDescent="0.25">
      <c r="A943" s="12" t="str">
        <f>IF(Raw_Data!B946="","",Raw_Data!B946)</f>
        <v/>
      </c>
      <c r="B943" s="12">
        <f>IF(Raw_Data!X946&lt;&gt;"",Raw_Data!X946,Raw_Data!C946)</f>
        <v>0</v>
      </c>
      <c r="C943" s="12" t="str">
        <f>IF(Raw_Data!G946="","",Raw_Data!G946)</f>
        <v/>
      </c>
      <c r="D943" s="12" t="str">
        <f>IF(Raw_Data!H946="","",Raw_Data!H946)</f>
        <v/>
      </c>
      <c r="E943" s="12" t="str">
        <f>IF(Raw_Data!I946="","",Raw_Data!I946)</f>
        <v/>
      </c>
      <c r="F943" s="12" t="str">
        <f>IF(Raw_Data!J946="","",Raw_Data!J946)</f>
        <v/>
      </c>
      <c r="G943" s="12" t="str">
        <f>IF(Raw_Data!AH946&lt;&gt;"",Raw_Data!AH946,IF(Raw_Data!K946&lt;&gt;"",Raw_Data!K946,""))</f>
        <v/>
      </c>
      <c r="H943" s="12" t="str">
        <f>IF(Raw_Data!AI946&lt;&gt;"",Raw_Data!AI946,IF(Raw_Data!L946&lt;&gt;"",Raw_Data!L946,""))</f>
        <v/>
      </c>
      <c r="I943" s="12" t="str">
        <f t="shared" si="126"/>
        <v/>
      </c>
      <c r="J943" s="12" t="str">
        <f>IF(Raw_Data!M946="","",Raw_Data!M946)</f>
        <v/>
      </c>
      <c r="K943" s="12">
        <f>IF(Raw_Data!AJ946&lt;&gt;"",Raw_Data!AJ946,Raw_Data!N946)</f>
        <v>0</v>
      </c>
      <c r="L943" s="12">
        <f t="shared" si="127"/>
        <v>1</v>
      </c>
      <c r="M943" s="12" t="str">
        <f>IF(Raw_Data!AK946="","",Raw_Data!AK946)</f>
        <v/>
      </c>
      <c r="N943" s="12" t="str">
        <f>IF(Raw_Data!T946="","",Raw_Data!T946)</f>
        <v/>
      </c>
      <c r="O943" s="12" t="str">
        <f>IF(Raw_Data!AB946&lt;&gt;"",Raw_Data!AB946,IF(N943="tres_insatisfait",1,IF(N943="insatisfait",2,IF(N943="neutre",3,IF(N943="satisfait",4,IF(N943="tres_satisfait",5,""))))))</f>
        <v/>
      </c>
      <c r="P943" s="12">
        <f>IF(Raw_Data!AL946&lt;&gt;"",Raw_Data!AL946,Raw_Data!R946)</f>
        <v>0</v>
      </c>
      <c r="Q943" s="12">
        <f t="shared" si="128"/>
        <v>0</v>
      </c>
      <c r="R943" s="12" t="str">
        <f>IF(Raw_Data!AM946="","",Raw_Data!AM946)</f>
        <v/>
      </c>
      <c r="S943" s="12" t="str">
        <f t="shared" si="129"/>
        <v/>
      </c>
      <c r="T943" s="12" t="str">
        <f>IF(Raw_Data!AN946="","",Raw_Data!AN946)</f>
        <v/>
      </c>
      <c r="U943" s="12" t="str">
        <f t="shared" si="130"/>
        <v/>
      </c>
      <c r="V943" s="12" t="str">
        <f>IF(Raw_Data!AP946="","",IF(Raw_Data!AP946="oui",1,0))</f>
        <v/>
      </c>
      <c r="W943" s="12" t="str">
        <f>IF(Raw_Data!AQ946="","",IF(Raw_Data!AQ946="oui",1,0))</f>
        <v/>
      </c>
      <c r="X943" s="12" t="str">
        <f>IF(Raw_Data!AR946="","",IF(Raw_Data!AR946="oui",1,0))</f>
        <v/>
      </c>
      <c r="Y943" s="12" t="str">
        <f>IF(Raw_Data!AS946="","",IF(Raw_Data!AS946="oui",1,0))</f>
        <v/>
      </c>
      <c r="Z943" s="12" t="str">
        <f>IF(Raw_Data!V946="","",IF(Raw_Data!V946="oui",1,0))</f>
        <v/>
      </c>
      <c r="AA943" s="12" t="str">
        <f>IF(Raw_Data!W946="","",IF(Raw_Data!W946="oui",1,0))</f>
        <v/>
      </c>
      <c r="AB943" s="12" t="str">
        <f>IF(Raw_Data!Q946="","",IF(Raw_Data!Q946="oui",1,0))</f>
        <v/>
      </c>
      <c r="AC943" s="12">
        <f>Raw_Data!AF946</f>
        <v>0</v>
      </c>
      <c r="AD943" s="12" t="str">
        <f t="shared" si="131"/>
        <v/>
      </c>
      <c r="AE943" s="12" t="str">
        <f t="shared" si="132"/>
        <v/>
      </c>
      <c r="AF943" s="12" t="str">
        <f t="shared" si="133"/>
        <v/>
      </c>
      <c r="AG943" s="12">
        <f t="shared" si="134"/>
        <v>0</v>
      </c>
    </row>
    <row r="944" spans="1:33" ht="15" customHeight="1" x14ac:dyDescent="0.25">
      <c r="A944" s="12" t="str">
        <f>IF(Raw_Data!B947="","",Raw_Data!B947)</f>
        <v/>
      </c>
      <c r="B944" s="12">
        <f>IF(Raw_Data!X947&lt;&gt;"",Raw_Data!X947,Raw_Data!C947)</f>
        <v>0</v>
      </c>
      <c r="C944" s="12" t="str">
        <f>IF(Raw_Data!G947="","",Raw_Data!G947)</f>
        <v/>
      </c>
      <c r="D944" s="12" t="str">
        <f>IF(Raw_Data!H947="","",Raw_Data!H947)</f>
        <v/>
      </c>
      <c r="E944" s="12" t="str">
        <f>IF(Raw_Data!I947="","",Raw_Data!I947)</f>
        <v/>
      </c>
      <c r="F944" s="12" t="str">
        <f>IF(Raw_Data!J947="","",Raw_Data!J947)</f>
        <v/>
      </c>
      <c r="G944" s="12" t="str">
        <f>IF(Raw_Data!AH947&lt;&gt;"",Raw_Data!AH947,IF(Raw_Data!K947&lt;&gt;"",Raw_Data!K947,""))</f>
        <v/>
      </c>
      <c r="H944" s="12" t="str">
        <f>IF(Raw_Data!AI947&lt;&gt;"",Raw_Data!AI947,IF(Raw_Data!L947&lt;&gt;"",Raw_Data!L947,""))</f>
        <v/>
      </c>
      <c r="I944" s="12" t="str">
        <f t="shared" si="126"/>
        <v/>
      </c>
      <c r="J944" s="12" t="str">
        <f>IF(Raw_Data!M947="","",Raw_Data!M947)</f>
        <v/>
      </c>
      <c r="K944" s="12">
        <f>IF(Raw_Data!AJ947&lt;&gt;"",Raw_Data!AJ947,Raw_Data!N947)</f>
        <v>0</v>
      </c>
      <c r="L944" s="12">
        <f t="shared" si="127"/>
        <v>1</v>
      </c>
      <c r="M944" s="12" t="str">
        <f>IF(Raw_Data!AK947="","",Raw_Data!AK947)</f>
        <v/>
      </c>
      <c r="N944" s="12" t="str">
        <f>IF(Raw_Data!T947="","",Raw_Data!T947)</f>
        <v/>
      </c>
      <c r="O944" s="12" t="str">
        <f>IF(Raw_Data!AB947&lt;&gt;"",Raw_Data!AB947,IF(N944="tres_insatisfait",1,IF(N944="insatisfait",2,IF(N944="neutre",3,IF(N944="satisfait",4,IF(N944="tres_satisfait",5,""))))))</f>
        <v/>
      </c>
      <c r="P944" s="12">
        <f>IF(Raw_Data!AL947&lt;&gt;"",Raw_Data!AL947,Raw_Data!R947)</f>
        <v>0</v>
      </c>
      <c r="Q944" s="12">
        <f t="shared" si="128"/>
        <v>0</v>
      </c>
      <c r="R944" s="12" t="str">
        <f>IF(Raw_Data!AM947="","",Raw_Data!AM947)</f>
        <v/>
      </c>
      <c r="S944" s="12" t="str">
        <f t="shared" si="129"/>
        <v/>
      </c>
      <c r="T944" s="12" t="str">
        <f>IF(Raw_Data!AN947="","",Raw_Data!AN947)</f>
        <v/>
      </c>
      <c r="U944" s="12" t="str">
        <f t="shared" si="130"/>
        <v/>
      </c>
      <c r="V944" s="12" t="str">
        <f>IF(Raw_Data!AP947="","",IF(Raw_Data!AP947="oui",1,0))</f>
        <v/>
      </c>
      <c r="W944" s="12" t="str">
        <f>IF(Raw_Data!AQ947="","",IF(Raw_Data!AQ947="oui",1,0))</f>
        <v/>
      </c>
      <c r="X944" s="12" t="str">
        <f>IF(Raw_Data!AR947="","",IF(Raw_Data!AR947="oui",1,0))</f>
        <v/>
      </c>
      <c r="Y944" s="12" t="str">
        <f>IF(Raw_Data!AS947="","",IF(Raw_Data!AS947="oui",1,0))</f>
        <v/>
      </c>
      <c r="Z944" s="12" t="str">
        <f>IF(Raw_Data!V947="","",IF(Raw_Data!V947="oui",1,0))</f>
        <v/>
      </c>
      <c r="AA944" s="12" t="str">
        <f>IF(Raw_Data!W947="","",IF(Raw_Data!W947="oui",1,0))</f>
        <v/>
      </c>
      <c r="AB944" s="12" t="str">
        <f>IF(Raw_Data!Q947="","",IF(Raw_Data!Q947="oui",1,0))</f>
        <v/>
      </c>
      <c r="AC944" s="12">
        <f>Raw_Data!AF947</f>
        <v>0</v>
      </c>
      <c r="AD944" s="12" t="str">
        <f t="shared" si="131"/>
        <v/>
      </c>
      <c r="AE944" s="12" t="str">
        <f t="shared" si="132"/>
        <v/>
      </c>
      <c r="AF944" s="12" t="str">
        <f t="shared" si="133"/>
        <v/>
      </c>
      <c r="AG944" s="12">
        <f t="shared" si="134"/>
        <v>0</v>
      </c>
    </row>
    <row r="945" spans="1:33" ht="15" customHeight="1" x14ac:dyDescent="0.25">
      <c r="A945" s="12" t="str">
        <f>IF(Raw_Data!B948="","",Raw_Data!B948)</f>
        <v/>
      </c>
      <c r="B945" s="12">
        <f>IF(Raw_Data!X948&lt;&gt;"",Raw_Data!X948,Raw_Data!C948)</f>
        <v>0</v>
      </c>
      <c r="C945" s="12" t="str">
        <f>IF(Raw_Data!G948="","",Raw_Data!G948)</f>
        <v/>
      </c>
      <c r="D945" s="12" t="str">
        <f>IF(Raw_Data!H948="","",Raw_Data!H948)</f>
        <v/>
      </c>
      <c r="E945" s="12" t="str">
        <f>IF(Raw_Data!I948="","",Raw_Data!I948)</f>
        <v/>
      </c>
      <c r="F945" s="12" t="str">
        <f>IF(Raw_Data!J948="","",Raw_Data!J948)</f>
        <v/>
      </c>
      <c r="G945" s="12" t="str">
        <f>IF(Raw_Data!AH948&lt;&gt;"",Raw_Data!AH948,IF(Raw_Data!K948&lt;&gt;"",Raw_Data!K948,""))</f>
        <v/>
      </c>
      <c r="H945" s="12" t="str">
        <f>IF(Raw_Data!AI948&lt;&gt;"",Raw_Data!AI948,IF(Raw_Data!L948&lt;&gt;"",Raw_Data!L948,""))</f>
        <v/>
      </c>
      <c r="I945" s="12" t="str">
        <f t="shared" si="126"/>
        <v/>
      </c>
      <c r="J945" s="12" t="str">
        <f>IF(Raw_Data!M948="","",Raw_Data!M948)</f>
        <v/>
      </c>
      <c r="K945" s="12">
        <f>IF(Raw_Data!AJ948&lt;&gt;"",Raw_Data!AJ948,Raw_Data!N948)</f>
        <v>0</v>
      </c>
      <c r="L945" s="12">
        <f t="shared" si="127"/>
        <v>1</v>
      </c>
      <c r="M945" s="12" t="str">
        <f>IF(Raw_Data!AK948="","",Raw_Data!AK948)</f>
        <v/>
      </c>
      <c r="N945" s="12" t="str">
        <f>IF(Raw_Data!T948="","",Raw_Data!T948)</f>
        <v/>
      </c>
      <c r="O945" s="12" t="str">
        <f>IF(Raw_Data!AB948&lt;&gt;"",Raw_Data!AB948,IF(N945="tres_insatisfait",1,IF(N945="insatisfait",2,IF(N945="neutre",3,IF(N945="satisfait",4,IF(N945="tres_satisfait",5,""))))))</f>
        <v/>
      </c>
      <c r="P945" s="12">
        <f>IF(Raw_Data!AL948&lt;&gt;"",Raw_Data!AL948,Raw_Data!R948)</f>
        <v>0</v>
      </c>
      <c r="Q945" s="12">
        <f t="shared" si="128"/>
        <v>0</v>
      </c>
      <c r="R945" s="12" t="str">
        <f>IF(Raw_Data!AM948="","",Raw_Data!AM948)</f>
        <v/>
      </c>
      <c r="S945" s="12" t="str">
        <f t="shared" si="129"/>
        <v/>
      </c>
      <c r="T945" s="12" t="str">
        <f>IF(Raw_Data!AN948="","",Raw_Data!AN948)</f>
        <v/>
      </c>
      <c r="U945" s="12" t="str">
        <f t="shared" si="130"/>
        <v/>
      </c>
      <c r="V945" s="12" t="str">
        <f>IF(Raw_Data!AP948="","",IF(Raw_Data!AP948="oui",1,0))</f>
        <v/>
      </c>
      <c r="W945" s="12" t="str">
        <f>IF(Raw_Data!AQ948="","",IF(Raw_Data!AQ948="oui",1,0))</f>
        <v/>
      </c>
      <c r="X945" s="12" t="str">
        <f>IF(Raw_Data!AR948="","",IF(Raw_Data!AR948="oui",1,0))</f>
        <v/>
      </c>
      <c r="Y945" s="12" t="str">
        <f>IF(Raw_Data!AS948="","",IF(Raw_Data!AS948="oui",1,0))</f>
        <v/>
      </c>
      <c r="Z945" s="12" t="str">
        <f>IF(Raw_Data!V948="","",IF(Raw_Data!V948="oui",1,0))</f>
        <v/>
      </c>
      <c r="AA945" s="12" t="str">
        <f>IF(Raw_Data!W948="","",IF(Raw_Data!W948="oui",1,0))</f>
        <v/>
      </c>
      <c r="AB945" s="12" t="str">
        <f>IF(Raw_Data!Q948="","",IF(Raw_Data!Q948="oui",1,0))</f>
        <v/>
      </c>
      <c r="AC945" s="12">
        <f>Raw_Data!AF948</f>
        <v>0</v>
      </c>
      <c r="AD945" s="12" t="str">
        <f t="shared" si="131"/>
        <v/>
      </c>
      <c r="AE945" s="12" t="str">
        <f t="shared" si="132"/>
        <v/>
      </c>
      <c r="AF945" s="12" t="str">
        <f t="shared" si="133"/>
        <v/>
      </c>
      <c r="AG945" s="12">
        <f t="shared" si="134"/>
        <v>0</v>
      </c>
    </row>
    <row r="946" spans="1:33" ht="15" customHeight="1" x14ac:dyDescent="0.25">
      <c r="A946" s="12" t="str">
        <f>IF(Raw_Data!B949="","",Raw_Data!B949)</f>
        <v/>
      </c>
      <c r="B946" s="12">
        <f>IF(Raw_Data!X949&lt;&gt;"",Raw_Data!X949,Raw_Data!C949)</f>
        <v>0</v>
      </c>
      <c r="C946" s="12" t="str">
        <f>IF(Raw_Data!G949="","",Raw_Data!G949)</f>
        <v/>
      </c>
      <c r="D946" s="12" t="str">
        <f>IF(Raw_Data!H949="","",Raw_Data!H949)</f>
        <v/>
      </c>
      <c r="E946" s="12" t="str">
        <f>IF(Raw_Data!I949="","",Raw_Data!I949)</f>
        <v/>
      </c>
      <c r="F946" s="12" t="str">
        <f>IF(Raw_Data!J949="","",Raw_Data!J949)</f>
        <v/>
      </c>
      <c r="G946" s="12" t="str">
        <f>IF(Raw_Data!AH949&lt;&gt;"",Raw_Data!AH949,IF(Raw_Data!K949&lt;&gt;"",Raw_Data!K949,""))</f>
        <v/>
      </c>
      <c r="H946" s="12" t="str">
        <f>IF(Raw_Data!AI949&lt;&gt;"",Raw_Data!AI949,IF(Raw_Data!L949&lt;&gt;"",Raw_Data!L949,""))</f>
        <v/>
      </c>
      <c r="I946" s="12" t="str">
        <f t="shared" si="126"/>
        <v/>
      </c>
      <c r="J946" s="12" t="str">
        <f>IF(Raw_Data!M949="","",Raw_Data!M949)</f>
        <v/>
      </c>
      <c r="K946" s="12">
        <f>IF(Raw_Data!AJ949&lt;&gt;"",Raw_Data!AJ949,Raw_Data!N949)</f>
        <v>0</v>
      </c>
      <c r="L946" s="12">
        <f t="shared" si="127"/>
        <v>1</v>
      </c>
      <c r="M946" s="12" t="str">
        <f>IF(Raw_Data!AK949="","",Raw_Data!AK949)</f>
        <v/>
      </c>
      <c r="N946" s="12" t="str">
        <f>IF(Raw_Data!T949="","",Raw_Data!T949)</f>
        <v/>
      </c>
      <c r="O946" s="12" t="str">
        <f>IF(Raw_Data!AB949&lt;&gt;"",Raw_Data!AB949,IF(N946="tres_insatisfait",1,IF(N946="insatisfait",2,IF(N946="neutre",3,IF(N946="satisfait",4,IF(N946="tres_satisfait",5,""))))))</f>
        <v/>
      </c>
      <c r="P946" s="12">
        <f>IF(Raw_Data!AL949&lt;&gt;"",Raw_Data!AL949,Raw_Data!R949)</f>
        <v>0</v>
      </c>
      <c r="Q946" s="12">
        <f t="shared" si="128"/>
        <v>0</v>
      </c>
      <c r="R946" s="12" t="str">
        <f>IF(Raw_Data!AM949="","",Raw_Data!AM949)</f>
        <v/>
      </c>
      <c r="S946" s="12" t="str">
        <f t="shared" si="129"/>
        <v/>
      </c>
      <c r="T946" s="12" t="str">
        <f>IF(Raw_Data!AN949="","",Raw_Data!AN949)</f>
        <v/>
      </c>
      <c r="U946" s="12" t="str">
        <f t="shared" si="130"/>
        <v/>
      </c>
      <c r="V946" s="12" t="str">
        <f>IF(Raw_Data!AP949="","",IF(Raw_Data!AP949="oui",1,0))</f>
        <v/>
      </c>
      <c r="W946" s="12" t="str">
        <f>IF(Raw_Data!AQ949="","",IF(Raw_Data!AQ949="oui",1,0))</f>
        <v/>
      </c>
      <c r="X946" s="12" t="str">
        <f>IF(Raw_Data!AR949="","",IF(Raw_Data!AR949="oui",1,0))</f>
        <v/>
      </c>
      <c r="Y946" s="12" t="str">
        <f>IF(Raw_Data!AS949="","",IF(Raw_Data!AS949="oui",1,0))</f>
        <v/>
      </c>
      <c r="Z946" s="12" t="str">
        <f>IF(Raw_Data!V949="","",IF(Raw_Data!V949="oui",1,0))</f>
        <v/>
      </c>
      <c r="AA946" s="12" t="str">
        <f>IF(Raw_Data!W949="","",IF(Raw_Data!W949="oui",1,0))</f>
        <v/>
      </c>
      <c r="AB946" s="12" t="str">
        <f>IF(Raw_Data!Q949="","",IF(Raw_Data!Q949="oui",1,0))</f>
        <v/>
      </c>
      <c r="AC946" s="12">
        <f>Raw_Data!AF949</f>
        <v>0</v>
      </c>
      <c r="AD946" s="12" t="str">
        <f t="shared" si="131"/>
        <v/>
      </c>
      <c r="AE946" s="12" t="str">
        <f t="shared" si="132"/>
        <v/>
      </c>
      <c r="AF946" s="12" t="str">
        <f t="shared" si="133"/>
        <v/>
      </c>
      <c r="AG946" s="12">
        <f t="shared" si="134"/>
        <v>0</v>
      </c>
    </row>
    <row r="947" spans="1:33" ht="15" customHeight="1" x14ac:dyDescent="0.25">
      <c r="A947" s="12" t="str">
        <f>IF(Raw_Data!B950="","",Raw_Data!B950)</f>
        <v/>
      </c>
      <c r="B947" s="12">
        <f>IF(Raw_Data!X950&lt;&gt;"",Raw_Data!X950,Raw_Data!C950)</f>
        <v>0</v>
      </c>
      <c r="C947" s="12" t="str">
        <f>IF(Raw_Data!G950="","",Raw_Data!G950)</f>
        <v/>
      </c>
      <c r="D947" s="12" t="str">
        <f>IF(Raw_Data!H950="","",Raw_Data!H950)</f>
        <v/>
      </c>
      <c r="E947" s="12" t="str">
        <f>IF(Raw_Data!I950="","",Raw_Data!I950)</f>
        <v/>
      </c>
      <c r="F947" s="12" t="str">
        <f>IF(Raw_Data!J950="","",Raw_Data!J950)</f>
        <v/>
      </c>
      <c r="G947" s="12" t="str">
        <f>IF(Raw_Data!AH950&lt;&gt;"",Raw_Data!AH950,IF(Raw_Data!K950&lt;&gt;"",Raw_Data!K950,""))</f>
        <v/>
      </c>
      <c r="H947" s="12" t="str">
        <f>IF(Raw_Data!AI950&lt;&gt;"",Raw_Data!AI950,IF(Raw_Data!L950&lt;&gt;"",Raw_Data!L950,""))</f>
        <v/>
      </c>
      <c r="I947" s="12" t="str">
        <f t="shared" si="126"/>
        <v/>
      </c>
      <c r="J947" s="12" t="str">
        <f>IF(Raw_Data!M950="","",Raw_Data!M950)</f>
        <v/>
      </c>
      <c r="K947" s="12">
        <f>IF(Raw_Data!AJ950&lt;&gt;"",Raw_Data!AJ950,Raw_Data!N950)</f>
        <v>0</v>
      </c>
      <c r="L947" s="12">
        <f t="shared" si="127"/>
        <v>1</v>
      </c>
      <c r="M947" s="12" t="str">
        <f>IF(Raw_Data!AK950="","",Raw_Data!AK950)</f>
        <v/>
      </c>
      <c r="N947" s="12" t="str">
        <f>IF(Raw_Data!T950="","",Raw_Data!T950)</f>
        <v/>
      </c>
      <c r="O947" s="12" t="str">
        <f>IF(Raw_Data!AB950&lt;&gt;"",Raw_Data!AB950,IF(N947="tres_insatisfait",1,IF(N947="insatisfait",2,IF(N947="neutre",3,IF(N947="satisfait",4,IF(N947="tres_satisfait",5,""))))))</f>
        <v/>
      </c>
      <c r="P947" s="12">
        <f>IF(Raw_Data!AL950&lt;&gt;"",Raw_Data!AL950,Raw_Data!R950)</f>
        <v>0</v>
      </c>
      <c r="Q947" s="12">
        <f t="shared" si="128"/>
        <v>0</v>
      </c>
      <c r="R947" s="12" t="str">
        <f>IF(Raw_Data!AM950="","",Raw_Data!AM950)</f>
        <v/>
      </c>
      <c r="S947" s="12" t="str">
        <f t="shared" si="129"/>
        <v/>
      </c>
      <c r="T947" s="12" t="str">
        <f>IF(Raw_Data!AN950="","",Raw_Data!AN950)</f>
        <v/>
      </c>
      <c r="U947" s="12" t="str">
        <f t="shared" si="130"/>
        <v/>
      </c>
      <c r="V947" s="12" t="str">
        <f>IF(Raw_Data!AP950="","",IF(Raw_Data!AP950="oui",1,0))</f>
        <v/>
      </c>
      <c r="W947" s="12" t="str">
        <f>IF(Raw_Data!AQ950="","",IF(Raw_Data!AQ950="oui",1,0))</f>
        <v/>
      </c>
      <c r="X947" s="12" t="str">
        <f>IF(Raw_Data!AR950="","",IF(Raw_Data!AR950="oui",1,0))</f>
        <v/>
      </c>
      <c r="Y947" s="12" t="str">
        <f>IF(Raw_Data!AS950="","",IF(Raw_Data!AS950="oui",1,0))</f>
        <v/>
      </c>
      <c r="Z947" s="12" t="str">
        <f>IF(Raw_Data!V950="","",IF(Raw_Data!V950="oui",1,0))</f>
        <v/>
      </c>
      <c r="AA947" s="12" t="str">
        <f>IF(Raw_Data!W950="","",IF(Raw_Data!W950="oui",1,0))</f>
        <v/>
      </c>
      <c r="AB947" s="12" t="str">
        <f>IF(Raw_Data!Q950="","",IF(Raw_Data!Q950="oui",1,0))</f>
        <v/>
      </c>
      <c r="AC947" s="12">
        <f>Raw_Data!AF950</f>
        <v>0</v>
      </c>
      <c r="AD947" s="12" t="str">
        <f t="shared" si="131"/>
        <v/>
      </c>
      <c r="AE947" s="12" t="str">
        <f t="shared" si="132"/>
        <v/>
      </c>
      <c r="AF947" s="12" t="str">
        <f t="shared" si="133"/>
        <v/>
      </c>
      <c r="AG947" s="12">
        <f t="shared" si="134"/>
        <v>0</v>
      </c>
    </row>
    <row r="948" spans="1:33" ht="15" customHeight="1" x14ac:dyDescent="0.25">
      <c r="A948" s="12" t="str">
        <f>IF(Raw_Data!B951="","",Raw_Data!B951)</f>
        <v/>
      </c>
      <c r="B948" s="12">
        <f>IF(Raw_Data!X951&lt;&gt;"",Raw_Data!X951,Raw_Data!C951)</f>
        <v>0</v>
      </c>
      <c r="C948" s="12" t="str">
        <f>IF(Raw_Data!G951="","",Raw_Data!G951)</f>
        <v/>
      </c>
      <c r="D948" s="12" t="str">
        <f>IF(Raw_Data!H951="","",Raw_Data!H951)</f>
        <v/>
      </c>
      <c r="E948" s="12" t="str">
        <f>IF(Raw_Data!I951="","",Raw_Data!I951)</f>
        <v/>
      </c>
      <c r="F948" s="12" t="str">
        <f>IF(Raw_Data!J951="","",Raw_Data!J951)</f>
        <v/>
      </c>
      <c r="G948" s="12" t="str">
        <f>IF(Raw_Data!AH951&lt;&gt;"",Raw_Data!AH951,IF(Raw_Data!K951&lt;&gt;"",Raw_Data!K951,""))</f>
        <v/>
      </c>
      <c r="H948" s="12" t="str">
        <f>IF(Raw_Data!AI951&lt;&gt;"",Raw_Data!AI951,IF(Raw_Data!L951&lt;&gt;"",Raw_Data!L951,""))</f>
        <v/>
      </c>
      <c r="I948" s="12" t="str">
        <f t="shared" si="126"/>
        <v/>
      </c>
      <c r="J948" s="12" t="str">
        <f>IF(Raw_Data!M951="","",Raw_Data!M951)</f>
        <v/>
      </c>
      <c r="K948" s="12">
        <f>IF(Raw_Data!AJ951&lt;&gt;"",Raw_Data!AJ951,Raw_Data!N951)</f>
        <v>0</v>
      </c>
      <c r="L948" s="12">
        <f t="shared" si="127"/>
        <v>1</v>
      </c>
      <c r="M948" s="12" t="str">
        <f>IF(Raw_Data!AK951="","",Raw_Data!AK951)</f>
        <v/>
      </c>
      <c r="N948" s="12" t="str">
        <f>IF(Raw_Data!T951="","",Raw_Data!T951)</f>
        <v/>
      </c>
      <c r="O948" s="12" t="str">
        <f>IF(Raw_Data!AB951&lt;&gt;"",Raw_Data!AB951,IF(N948="tres_insatisfait",1,IF(N948="insatisfait",2,IF(N948="neutre",3,IF(N948="satisfait",4,IF(N948="tres_satisfait",5,""))))))</f>
        <v/>
      </c>
      <c r="P948" s="12">
        <f>IF(Raw_Data!AL951&lt;&gt;"",Raw_Data!AL951,Raw_Data!R951)</f>
        <v>0</v>
      </c>
      <c r="Q948" s="12">
        <f t="shared" si="128"/>
        <v>0</v>
      </c>
      <c r="R948" s="12" t="str">
        <f>IF(Raw_Data!AM951="","",Raw_Data!AM951)</f>
        <v/>
      </c>
      <c r="S948" s="12" t="str">
        <f t="shared" si="129"/>
        <v/>
      </c>
      <c r="T948" s="12" t="str">
        <f>IF(Raw_Data!AN951="","",Raw_Data!AN951)</f>
        <v/>
      </c>
      <c r="U948" s="12" t="str">
        <f t="shared" si="130"/>
        <v/>
      </c>
      <c r="V948" s="12" t="str">
        <f>IF(Raw_Data!AP951="","",IF(Raw_Data!AP951="oui",1,0))</f>
        <v/>
      </c>
      <c r="W948" s="12" t="str">
        <f>IF(Raw_Data!AQ951="","",IF(Raw_Data!AQ951="oui",1,0))</f>
        <v/>
      </c>
      <c r="X948" s="12" t="str">
        <f>IF(Raw_Data!AR951="","",IF(Raw_Data!AR951="oui",1,0))</f>
        <v/>
      </c>
      <c r="Y948" s="12" t="str">
        <f>IF(Raw_Data!AS951="","",IF(Raw_Data!AS951="oui",1,0))</f>
        <v/>
      </c>
      <c r="Z948" s="12" t="str">
        <f>IF(Raw_Data!V951="","",IF(Raw_Data!V951="oui",1,0))</f>
        <v/>
      </c>
      <c r="AA948" s="12" t="str">
        <f>IF(Raw_Data!W951="","",IF(Raw_Data!W951="oui",1,0))</f>
        <v/>
      </c>
      <c r="AB948" s="12" t="str">
        <f>IF(Raw_Data!Q951="","",IF(Raw_Data!Q951="oui",1,0))</f>
        <v/>
      </c>
      <c r="AC948" s="12">
        <f>Raw_Data!AF951</f>
        <v>0</v>
      </c>
      <c r="AD948" s="12" t="str">
        <f t="shared" si="131"/>
        <v/>
      </c>
      <c r="AE948" s="12" t="str">
        <f t="shared" si="132"/>
        <v/>
      </c>
      <c r="AF948" s="12" t="str">
        <f t="shared" si="133"/>
        <v/>
      </c>
      <c r="AG948" s="12">
        <f t="shared" si="134"/>
        <v>0</v>
      </c>
    </row>
    <row r="949" spans="1:33" ht="15" customHeight="1" x14ac:dyDescent="0.25">
      <c r="A949" s="12" t="str">
        <f>IF(Raw_Data!B952="","",Raw_Data!B952)</f>
        <v/>
      </c>
      <c r="B949" s="12">
        <f>IF(Raw_Data!X952&lt;&gt;"",Raw_Data!X952,Raw_Data!C952)</f>
        <v>0</v>
      </c>
      <c r="C949" s="12" t="str">
        <f>IF(Raw_Data!G952="","",Raw_Data!G952)</f>
        <v/>
      </c>
      <c r="D949" s="12" t="str">
        <f>IF(Raw_Data!H952="","",Raw_Data!H952)</f>
        <v/>
      </c>
      <c r="E949" s="12" t="str">
        <f>IF(Raw_Data!I952="","",Raw_Data!I952)</f>
        <v/>
      </c>
      <c r="F949" s="12" t="str">
        <f>IF(Raw_Data!J952="","",Raw_Data!J952)</f>
        <v/>
      </c>
      <c r="G949" s="12" t="str">
        <f>IF(Raw_Data!AH952&lt;&gt;"",Raw_Data!AH952,IF(Raw_Data!K952&lt;&gt;"",Raw_Data!K952,""))</f>
        <v/>
      </c>
      <c r="H949" s="12" t="str">
        <f>IF(Raw_Data!AI952&lt;&gt;"",Raw_Data!AI952,IF(Raw_Data!L952&lt;&gt;"",Raw_Data!L952,""))</f>
        <v/>
      </c>
      <c r="I949" s="12" t="str">
        <f t="shared" si="126"/>
        <v/>
      </c>
      <c r="J949" s="12" t="str">
        <f>IF(Raw_Data!M952="","",Raw_Data!M952)</f>
        <v/>
      </c>
      <c r="K949" s="12">
        <f>IF(Raw_Data!AJ952&lt;&gt;"",Raw_Data!AJ952,Raw_Data!N952)</f>
        <v>0</v>
      </c>
      <c r="L949" s="12">
        <f t="shared" si="127"/>
        <v>1</v>
      </c>
      <c r="M949" s="12" t="str">
        <f>IF(Raw_Data!AK952="","",Raw_Data!AK952)</f>
        <v/>
      </c>
      <c r="N949" s="12" t="str">
        <f>IF(Raw_Data!T952="","",Raw_Data!T952)</f>
        <v/>
      </c>
      <c r="O949" s="12" t="str">
        <f>IF(Raw_Data!AB952&lt;&gt;"",Raw_Data!AB952,IF(N949="tres_insatisfait",1,IF(N949="insatisfait",2,IF(N949="neutre",3,IF(N949="satisfait",4,IF(N949="tres_satisfait",5,""))))))</f>
        <v/>
      </c>
      <c r="P949" s="12">
        <f>IF(Raw_Data!AL952&lt;&gt;"",Raw_Data!AL952,Raw_Data!R952)</f>
        <v>0</v>
      </c>
      <c r="Q949" s="12">
        <f t="shared" si="128"/>
        <v>0</v>
      </c>
      <c r="R949" s="12" t="str">
        <f>IF(Raw_Data!AM952="","",Raw_Data!AM952)</f>
        <v/>
      </c>
      <c r="S949" s="12" t="str">
        <f t="shared" si="129"/>
        <v/>
      </c>
      <c r="T949" s="12" t="str">
        <f>IF(Raw_Data!AN952="","",Raw_Data!AN952)</f>
        <v/>
      </c>
      <c r="U949" s="12" t="str">
        <f t="shared" si="130"/>
        <v/>
      </c>
      <c r="V949" s="12" t="str">
        <f>IF(Raw_Data!AP952="","",IF(Raw_Data!AP952="oui",1,0))</f>
        <v/>
      </c>
      <c r="W949" s="12" t="str">
        <f>IF(Raw_Data!AQ952="","",IF(Raw_Data!AQ952="oui",1,0))</f>
        <v/>
      </c>
      <c r="X949" s="12" t="str">
        <f>IF(Raw_Data!AR952="","",IF(Raw_Data!AR952="oui",1,0))</f>
        <v/>
      </c>
      <c r="Y949" s="12" t="str">
        <f>IF(Raw_Data!AS952="","",IF(Raw_Data!AS952="oui",1,0))</f>
        <v/>
      </c>
      <c r="Z949" s="12" t="str">
        <f>IF(Raw_Data!V952="","",IF(Raw_Data!V952="oui",1,0))</f>
        <v/>
      </c>
      <c r="AA949" s="12" t="str">
        <f>IF(Raw_Data!W952="","",IF(Raw_Data!W952="oui",1,0))</f>
        <v/>
      </c>
      <c r="AB949" s="12" t="str">
        <f>IF(Raw_Data!Q952="","",IF(Raw_Data!Q952="oui",1,0))</f>
        <v/>
      </c>
      <c r="AC949" s="12">
        <f>Raw_Data!AF952</f>
        <v>0</v>
      </c>
      <c r="AD949" s="12" t="str">
        <f t="shared" si="131"/>
        <v/>
      </c>
      <c r="AE949" s="12" t="str">
        <f t="shared" si="132"/>
        <v/>
      </c>
      <c r="AF949" s="12" t="str">
        <f t="shared" si="133"/>
        <v/>
      </c>
      <c r="AG949" s="12">
        <f t="shared" si="134"/>
        <v>0</v>
      </c>
    </row>
    <row r="950" spans="1:33" ht="15" customHeight="1" x14ac:dyDescent="0.25">
      <c r="A950" s="12" t="str">
        <f>IF(Raw_Data!B953="","",Raw_Data!B953)</f>
        <v/>
      </c>
      <c r="B950" s="12">
        <f>IF(Raw_Data!X953&lt;&gt;"",Raw_Data!X953,Raw_Data!C953)</f>
        <v>0</v>
      </c>
      <c r="C950" s="12" t="str">
        <f>IF(Raw_Data!G953="","",Raw_Data!G953)</f>
        <v/>
      </c>
      <c r="D950" s="12" t="str">
        <f>IF(Raw_Data!H953="","",Raw_Data!H953)</f>
        <v/>
      </c>
      <c r="E950" s="12" t="str">
        <f>IF(Raw_Data!I953="","",Raw_Data!I953)</f>
        <v/>
      </c>
      <c r="F950" s="12" t="str">
        <f>IF(Raw_Data!J953="","",Raw_Data!J953)</f>
        <v/>
      </c>
      <c r="G950" s="12" t="str">
        <f>IF(Raw_Data!AH953&lt;&gt;"",Raw_Data!AH953,IF(Raw_Data!K953&lt;&gt;"",Raw_Data!K953,""))</f>
        <v/>
      </c>
      <c r="H950" s="12" t="str">
        <f>IF(Raw_Data!AI953&lt;&gt;"",Raw_Data!AI953,IF(Raw_Data!L953&lt;&gt;"",Raw_Data!L953,""))</f>
        <v/>
      </c>
      <c r="I950" s="12" t="str">
        <f t="shared" si="126"/>
        <v/>
      </c>
      <c r="J950" s="12" t="str">
        <f>IF(Raw_Data!M953="","",Raw_Data!M953)</f>
        <v/>
      </c>
      <c r="K950" s="12">
        <f>IF(Raw_Data!AJ953&lt;&gt;"",Raw_Data!AJ953,Raw_Data!N953)</f>
        <v>0</v>
      </c>
      <c r="L950" s="12">
        <f t="shared" si="127"/>
        <v>1</v>
      </c>
      <c r="M950" s="12" t="str">
        <f>IF(Raw_Data!AK953="","",Raw_Data!AK953)</f>
        <v/>
      </c>
      <c r="N950" s="12" t="str">
        <f>IF(Raw_Data!T953="","",Raw_Data!T953)</f>
        <v/>
      </c>
      <c r="O950" s="12" t="str">
        <f>IF(Raw_Data!AB953&lt;&gt;"",Raw_Data!AB953,IF(N950="tres_insatisfait",1,IF(N950="insatisfait",2,IF(N950="neutre",3,IF(N950="satisfait",4,IF(N950="tres_satisfait",5,""))))))</f>
        <v/>
      </c>
      <c r="P950" s="12">
        <f>IF(Raw_Data!AL953&lt;&gt;"",Raw_Data!AL953,Raw_Data!R953)</f>
        <v>0</v>
      </c>
      <c r="Q950" s="12">
        <f t="shared" si="128"/>
        <v>0</v>
      </c>
      <c r="R950" s="12" t="str">
        <f>IF(Raw_Data!AM953="","",Raw_Data!AM953)</f>
        <v/>
      </c>
      <c r="S950" s="12" t="str">
        <f t="shared" si="129"/>
        <v/>
      </c>
      <c r="T950" s="12" t="str">
        <f>IF(Raw_Data!AN953="","",Raw_Data!AN953)</f>
        <v/>
      </c>
      <c r="U950" s="12" t="str">
        <f t="shared" si="130"/>
        <v/>
      </c>
      <c r="V950" s="12" t="str">
        <f>IF(Raw_Data!AP953="","",IF(Raw_Data!AP953="oui",1,0))</f>
        <v/>
      </c>
      <c r="W950" s="12" t="str">
        <f>IF(Raw_Data!AQ953="","",IF(Raw_Data!AQ953="oui",1,0))</f>
        <v/>
      </c>
      <c r="X950" s="12" t="str">
        <f>IF(Raw_Data!AR953="","",IF(Raw_Data!AR953="oui",1,0))</f>
        <v/>
      </c>
      <c r="Y950" s="12" t="str">
        <f>IF(Raw_Data!AS953="","",IF(Raw_Data!AS953="oui",1,0))</f>
        <v/>
      </c>
      <c r="Z950" s="12" t="str">
        <f>IF(Raw_Data!V953="","",IF(Raw_Data!V953="oui",1,0))</f>
        <v/>
      </c>
      <c r="AA950" s="12" t="str">
        <f>IF(Raw_Data!W953="","",IF(Raw_Data!W953="oui",1,0))</f>
        <v/>
      </c>
      <c r="AB950" s="12" t="str">
        <f>IF(Raw_Data!Q953="","",IF(Raw_Data!Q953="oui",1,0))</f>
        <v/>
      </c>
      <c r="AC950" s="12">
        <f>Raw_Data!AF953</f>
        <v>0</v>
      </c>
      <c r="AD950" s="12" t="str">
        <f t="shared" si="131"/>
        <v/>
      </c>
      <c r="AE950" s="12" t="str">
        <f t="shared" si="132"/>
        <v/>
      </c>
      <c r="AF950" s="12" t="str">
        <f t="shared" si="133"/>
        <v/>
      </c>
      <c r="AG950" s="12">
        <f t="shared" si="134"/>
        <v>0</v>
      </c>
    </row>
    <row r="951" spans="1:33" ht="15" customHeight="1" x14ac:dyDescent="0.25">
      <c r="A951" s="12" t="str">
        <f>IF(Raw_Data!B954="","",Raw_Data!B954)</f>
        <v/>
      </c>
      <c r="B951" s="12">
        <f>IF(Raw_Data!X954&lt;&gt;"",Raw_Data!X954,Raw_Data!C954)</f>
        <v>0</v>
      </c>
      <c r="C951" s="12" t="str">
        <f>IF(Raw_Data!G954="","",Raw_Data!G954)</f>
        <v/>
      </c>
      <c r="D951" s="12" t="str">
        <f>IF(Raw_Data!H954="","",Raw_Data!H954)</f>
        <v/>
      </c>
      <c r="E951" s="12" t="str">
        <f>IF(Raw_Data!I954="","",Raw_Data!I954)</f>
        <v/>
      </c>
      <c r="F951" s="12" t="str">
        <f>IF(Raw_Data!J954="","",Raw_Data!J954)</f>
        <v/>
      </c>
      <c r="G951" s="12" t="str">
        <f>IF(Raw_Data!AH954&lt;&gt;"",Raw_Data!AH954,IF(Raw_Data!K954&lt;&gt;"",Raw_Data!K954,""))</f>
        <v/>
      </c>
      <c r="H951" s="12" t="str">
        <f>IF(Raw_Data!AI954&lt;&gt;"",Raw_Data!AI954,IF(Raw_Data!L954&lt;&gt;"",Raw_Data!L954,""))</f>
        <v/>
      </c>
      <c r="I951" s="12" t="str">
        <f t="shared" si="126"/>
        <v/>
      </c>
      <c r="J951" s="12" t="str">
        <f>IF(Raw_Data!M954="","",Raw_Data!M954)</f>
        <v/>
      </c>
      <c r="K951" s="12">
        <f>IF(Raw_Data!AJ954&lt;&gt;"",Raw_Data!AJ954,Raw_Data!N954)</f>
        <v>0</v>
      </c>
      <c r="L951" s="12">
        <f t="shared" si="127"/>
        <v>1</v>
      </c>
      <c r="M951" s="12" t="str">
        <f>IF(Raw_Data!AK954="","",Raw_Data!AK954)</f>
        <v/>
      </c>
      <c r="N951" s="12" t="str">
        <f>IF(Raw_Data!T954="","",Raw_Data!T954)</f>
        <v/>
      </c>
      <c r="O951" s="12" t="str">
        <f>IF(Raw_Data!AB954&lt;&gt;"",Raw_Data!AB954,IF(N951="tres_insatisfait",1,IF(N951="insatisfait",2,IF(N951="neutre",3,IF(N951="satisfait",4,IF(N951="tres_satisfait",5,""))))))</f>
        <v/>
      </c>
      <c r="P951" s="12">
        <f>IF(Raw_Data!AL954&lt;&gt;"",Raw_Data!AL954,Raw_Data!R954)</f>
        <v>0</v>
      </c>
      <c r="Q951" s="12">
        <f t="shared" si="128"/>
        <v>0</v>
      </c>
      <c r="R951" s="12" t="str">
        <f>IF(Raw_Data!AM954="","",Raw_Data!AM954)</f>
        <v/>
      </c>
      <c r="S951" s="12" t="str">
        <f t="shared" si="129"/>
        <v/>
      </c>
      <c r="T951" s="12" t="str">
        <f>IF(Raw_Data!AN954="","",Raw_Data!AN954)</f>
        <v/>
      </c>
      <c r="U951" s="12" t="str">
        <f t="shared" si="130"/>
        <v/>
      </c>
      <c r="V951" s="12" t="str">
        <f>IF(Raw_Data!AP954="","",IF(Raw_Data!AP954="oui",1,0))</f>
        <v/>
      </c>
      <c r="W951" s="12" t="str">
        <f>IF(Raw_Data!AQ954="","",IF(Raw_Data!AQ954="oui",1,0))</f>
        <v/>
      </c>
      <c r="X951" s="12" t="str">
        <f>IF(Raw_Data!AR954="","",IF(Raw_Data!AR954="oui",1,0))</f>
        <v/>
      </c>
      <c r="Y951" s="12" t="str">
        <f>IF(Raw_Data!AS954="","",IF(Raw_Data!AS954="oui",1,0))</f>
        <v/>
      </c>
      <c r="Z951" s="12" t="str">
        <f>IF(Raw_Data!V954="","",IF(Raw_Data!V954="oui",1,0))</f>
        <v/>
      </c>
      <c r="AA951" s="12" t="str">
        <f>IF(Raw_Data!W954="","",IF(Raw_Data!W954="oui",1,0))</f>
        <v/>
      </c>
      <c r="AB951" s="12" t="str">
        <f>IF(Raw_Data!Q954="","",IF(Raw_Data!Q954="oui",1,0))</f>
        <v/>
      </c>
      <c r="AC951" s="12">
        <f>Raw_Data!AF954</f>
        <v>0</v>
      </c>
      <c r="AD951" s="12" t="str">
        <f t="shared" si="131"/>
        <v/>
      </c>
      <c r="AE951" s="12" t="str">
        <f t="shared" si="132"/>
        <v/>
      </c>
      <c r="AF951" s="12" t="str">
        <f t="shared" si="133"/>
        <v/>
      </c>
      <c r="AG951" s="12">
        <f t="shared" si="134"/>
        <v>0</v>
      </c>
    </row>
    <row r="952" spans="1:33" ht="15" customHeight="1" x14ac:dyDescent="0.25">
      <c r="A952" s="12" t="str">
        <f>IF(Raw_Data!B955="","",Raw_Data!B955)</f>
        <v/>
      </c>
      <c r="B952" s="12">
        <f>IF(Raw_Data!X955&lt;&gt;"",Raw_Data!X955,Raw_Data!C955)</f>
        <v>0</v>
      </c>
      <c r="C952" s="12" t="str">
        <f>IF(Raw_Data!G955="","",Raw_Data!G955)</f>
        <v/>
      </c>
      <c r="D952" s="12" t="str">
        <f>IF(Raw_Data!H955="","",Raw_Data!H955)</f>
        <v/>
      </c>
      <c r="E952" s="12" t="str">
        <f>IF(Raw_Data!I955="","",Raw_Data!I955)</f>
        <v/>
      </c>
      <c r="F952" s="12" t="str">
        <f>IF(Raw_Data!J955="","",Raw_Data!J955)</f>
        <v/>
      </c>
      <c r="G952" s="12" t="str">
        <f>IF(Raw_Data!AH955&lt;&gt;"",Raw_Data!AH955,IF(Raw_Data!K955&lt;&gt;"",Raw_Data!K955,""))</f>
        <v/>
      </c>
      <c r="H952" s="12" t="str">
        <f>IF(Raw_Data!AI955&lt;&gt;"",Raw_Data!AI955,IF(Raw_Data!L955&lt;&gt;"",Raw_Data!L955,""))</f>
        <v/>
      </c>
      <c r="I952" s="12" t="str">
        <f t="shared" si="126"/>
        <v/>
      </c>
      <c r="J952" s="12" t="str">
        <f>IF(Raw_Data!M955="","",Raw_Data!M955)</f>
        <v/>
      </c>
      <c r="K952" s="12">
        <f>IF(Raw_Data!AJ955&lt;&gt;"",Raw_Data!AJ955,Raw_Data!N955)</f>
        <v>0</v>
      </c>
      <c r="L952" s="12">
        <f t="shared" si="127"/>
        <v>1</v>
      </c>
      <c r="M952" s="12" t="str">
        <f>IF(Raw_Data!AK955="","",Raw_Data!AK955)</f>
        <v/>
      </c>
      <c r="N952" s="12" t="str">
        <f>IF(Raw_Data!T955="","",Raw_Data!T955)</f>
        <v/>
      </c>
      <c r="O952" s="12" t="str">
        <f>IF(Raw_Data!AB955&lt;&gt;"",Raw_Data!AB955,IF(N952="tres_insatisfait",1,IF(N952="insatisfait",2,IF(N952="neutre",3,IF(N952="satisfait",4,IF(N952="tres_satisfait",5,""))))))</f>
        <v/>
      </c>
      <c r="P952" s="12">
        <f>IF(Raw_Data!AL955&lt;&gt;"",Raw_Data!AL955,Raw_Data!R955)</f>
        <v>0</v>
      </c>
      <c r="Q952" s="12">
        <f t="shared" si="128"/>
        <v>0</v>
      </c>
      <c r="R952" s="12" t="str">
        <f>IF(Raw_Data!AM955="","",Raw_Data!AM955)</f>
        <v/>
      </c>
      <c r="S952" s="12" t="str">
        <f t="shared" si="129"/>
        <v/>
      </c>
      <c r="T952" s="12" t="str">
        <f>IF(Raw_Data!AN955="","",Raw_Data!AN955)</f>
        <v/>
      </c>
      <c r="U952" s="12" t="str">
        <f t="shared" si="130"/>
        <v/>
      </c>
      <c r="V952" s="12" t="str">
        <f>IF(Raw_Data!AP955="","",IF(Raw_Data!AP955="oui",1,0))</f>
        <v/>
      </c>
      <c r="W952" s="12" t="str">
        <f>IF(Raw_Data!AQ955="","",IF(Raw_Data!AQ955="oui",1,0))</f>
        <v/>
      </c>
      <c r="X952" s="12" t="str">
        <f>IF(Raw_Data!AR955="","",IF(Raw_Data!AR955="oui",1,0))</f>
        <v/>
      </c>
      <c r="Y952" s="12" t="str">
        <f>IF(Raw_Data!AS955="","",IF(Raw_Data!AS955="oui",1,0))</f>
        <v/>
      </c>
      <c r="Z952" s="12" t="str">
        <f>IF(Raw_Data!V955="","",IF(Raw_Data!V955="oui",1,0))</f>
        <v/>
      </c>
      <c r="AA952" s="12" t="str">
        <f>IF(Raw_Data!W955="","",IF(Raw_Data!W955="oui",1,0))</f>
        <v/>
      </c>
      <c r="AB952" s="12" t="str">
        <f>IF(Raw_Data!Q955="","",IF(Raw_Data!Q955="oui",1,0))</f>
        <v/>
      </c>
      <c r="AC952" s="12">
        <f>Raw_Data!AF955</f>
        <v>0</v>
      </c>
      <c r="AD952" s="12" t="str">
        <f t="shared" si="131"/>
        <v/>
      </c>
      <c r="AE952" s="12" t="str">
        <f t="shared" si="132"/>
        <v/>
      </c>
      <c r="AF952" s="12" t="str">
        <f t="shared" si="133"/>
        <v/>
      </c>
      <c r="AG952" s="12">
        <f t="shared" si="134"/>
        <v>0</v>
      </c>
    </row>
    <row r="953" spans="1:33" ht="15" customHeight="1" x14ac:dyDescent="0.25">
      <c r="A953" s="12" t="str">
        <f>IF(Raw_Data!B956="","",Raw_Data!B956)</f>
        <v/>
      </c>
      <c r="B953" s="12">
        <f>IF(Raw_Data!X956&lt;&gt;"",Raw_Data!X956,Raw_Data!C956)</f>
        <v>0</v>
      </c>
      <c r="C953" s="12" t="str">
        <f>IF(Raw_Data!G956="","",Raw_Data!G956)</f>
        <v/>
      </c>
      <c r="D953" s="12" t="str">
        <f>IF(Raw_Data!H956="","",Raw_Data!H956)</f>
        <v/>
      </c>
      <c r="E953" s="12" t="str">
        <f>IF(Raw_Data!I956="","",Raw_Data!I956)</f>
        <v/>
      </c>
      <c r="F953" s="12" t="str">
        <f>IF(Raw_Data!J956="","",Raw_Data!J956)</f>
        <v/>
      </c>
      <c r="G953" s="12" t="str">
        <f>IF(Raw_Data!AH956&lt;&gt;"",Raw_Data!AH956,IF(Raw_Data!K956&lt;&gt;"",Raw_Data!K956,""))</f>
        <v/>
      </c>
      <c r="H953" s="12" t="str">
        <f>IF(Raw_Data!AI956&lt;&gt;"",Raw_Data!AI956,IF(Raw_Data!L956&lt;&gt;"",Raw_Data!L956,""))</f>
        <v/>
      </c>
      <c r="I953" s="12" t="str">
        <f t="shared" si="126"/>
        <v/>
      </c>
      <c r="J953" s="12" t="str">
        <f>IF(Raw_Data!M956="","",Raw_Data!M956)</f>
        <v/>
      </c>
      <c r="K953" s="12">
        <f>IF(Raw_Data!AJ956&lt;&gt;"",Raw_Data!AJ956,Raw_Data!N956)</f>
        <v>0</v>
      </c>
      <c r="L953" s="12">
        <f t="shared" si="127"/>
        <v>1</v>
      </c>
      <c r="M953" s="12" t="str">
        <f>IF(Raw_Data!AK956="","",Raw_Data!AK956)</f>
        <v/>
      </c>
      <c r="N953" s="12" t="str">
        <f>IF(Raw_Data!T956="","",Raw_Data!T956)</f>
        <v/>
      </c>
      <c r="O953" s="12" t="str">
        <f>IF(Raw_Data!AB956&lt;&gt;"",Raw_Data!AB956,IF(N953="tres_insatisfait",1,IF(N953="insatisfait",2,IF(N953="neutre",3,IF(N953="satisfait",4,IF(N953="tres_satisfait",5,""))))))</f>
        <v/>
      </c>
      <c r="P953" s="12">
        <f>IF(Raw_Data!AL956&lt;&gt;"",Raw_Data!AL956,Raw_Data!R956)</f>
        <v>0</v>
      </c>
      <c r="Q953" s="12">
        <f t="shared" si="128"/>
        <v>0</v>
      </c>
      <c r="R953" s="12" t="str">
        <f>IF(Raw_Data!AM956="","",Raw_Data!AM956)</f>
        <v/>
      </c>
      <c r="S953" s="12" t="str">
        <f t="shared" si="129"/>
        <v/>
      </c>
      <c r="T953" s="12" t="str">
        <f>IF(Raw_Data!AN956="","",Raw_Data!AN956)</f>
        <v/>
      </c>
      <c r="U953" s="12" t="str">
        <f t="shared" si="130"/>
        <v/>
      </c>
      <c r="V953" s="12" t="str">
        <f>IF(Raw_Data!AP956="","",IF(Raw_Data!AP956="oui",1,0))</f>
        <v/>
      </c>
      <c r="W953" s="12" t="str">
        <f>IF(Raw_Data!AQ956="","",IF(Raw_Data!AQ956="oui",1,0))</f>
        <v/>
      </c>
      <c r="X953" s="12" t="str">
        <f>IF(Raw_Data!AR956="","",IF(Raw_Data!AR956="oui",1,0))</f>
        <v/>
      </c>
      <c r="Y953" s="12" t="str">
        <f>IF(Raw_Data!AS956="","",IF(Raw_Data!AS956="oui",1,0))</f>
        <v/>
      </c>
      <c r="Z953" s="12" t="str">
        <f>IF(Raw_Data!V956="","",IF(Raw_Data!V956="oui",1,0))</f>
        <v/>
      </c>
      <c r="AA953" s="12" t="str">
        <f>IF(Raw_Data!W956="","",IF(Raw_Data!W956="oui",1,0))</f>
        <v/>
      </c>
      <c r="AB953" s="12" t="str">
        <f>IF(Raw_Data!Q956="","",IF(Raw_Data!Q956="oui",1,0))</f>
        <v/>
      </c>
      <c r="AC953" s="12">
        <f>Raw_Data!AF956</f>
        <v>0</v>
      </c>
      <c r="AD953" s="12" t="str">
        <f t="shared" si="131"/>
        <v/>
      </c>
      <c r="AE953" s="12" t="str">
        <f t="shared" si="132"/>
        <v/>
      </c>
      <c r="AF953" s="12" t="str">
        <f t="shared" si="133"/>
        <v/>
      </c>
      <c r="AG953" s="12">
        <f t="shared" si="134"/>
        <v>0</v>
      </c>
    </row>
    <row r="954" spans="1:33" ht="15" customHeight="1" x14ac:dyDescent="0.25">
      <c r="A954" s="12" t="str">
        <f>IF(Raw_Data!B957="","",Raw_Data!B957)</f>
        <v/>
      </c>
      <c r="B954" s="12">
        <f>IF(Raw_Data!X957&lt;&gt;"",Raw_Data!X957,Raw_Data!C957)</f>
        <v>0</v>
      </c>
      <c r="C954" s="12" t="str">
        <f>IF(Raw_Data!G957="","",Raw_Data!G957)</f>
        <v/>
      </c>
      <c r="D954" s="12" t="str">
        <f>IF(Raw_Data!H957="","",Raw_Data!H957)</f>
        <v/>
      </c>
      <c r="E954" s="12" t="str">
        <f>IF(Raw_Data!I957="","",Raw_Data!I957)</f>
        <v/>
      </c>
      <c r="F954" s="12" t="str">
        <f>IF(Raw_Data!J957="","",Raw_Data!J957)</f>
        <v/>
      </c>
      <c r="G954" s="12" t="str">
        <f>IF(Raw_Data!AH957&lt;&gt;"",Raw_Data!AH957,IF(Raw_Data!K957&lt;&gt;"",Raw_Data!K957,""))</f>
        <v/>
      </c>
      <c r="H954" s="12" t="str">
        <f>IF(Raw_Data!AI957&lt;&gt;"",Raw_Data!AI957,IF(Raw_Data!L957&lt;&gt;"",Raw_Data!L957,""))</f>
        <v/>
      </c>
      <c r="I954" s="12" t="str">
        <f t="shared" si="126"/>
        <v/>
      </c>
      <c r="J954" s="12" t="str">
        <f>IF(Raw_Data!M957="","",Raw_Data!M957)</f>
        <v/>
      </c>
      <c r="K954" s="12">
        <f>IF(Raw_Data!AJ957&lt;&gt;"",Raw_Data!AJ957,Raw_Data!N957)</f>
        <v>0</v>
      </c>
      <c r="L954" s="12">
        <f t="shared" si="127"/>
        <v>1</v>
      </c>
      <c r="M954" s="12" t="str">
        <f>IF(Raw_Data!AK957="","",Raw_Data!AK957)</f>
        <v/>
      </c>
      <c r="N954" s="12" t="str">
        <f>IF(Raw_Data!T957="","",Raw_Data!T957)</f>
        <v/>
      </c>
      <c r="O954" s="12" t="str">
        <f>IF(Raw_Data!AB957&lt;&gt;"",Raw_Data!AB957,IF(N954="tres_insatisfait",1,IF(N954="insatisfait",2,IF(N954="neutre",3,IF(N954="satisfait",4,IF(N954="tres_satisfait",5,""))))))</f>
        <v/>
      </c>
      <c r="P954" s="12">
        <f>IF(Raw_Data!AL957&lt;&gt;"",Raw_Data!AL957,Raw_Data!R957)</f>
        <v>0</v>
      </c>
      <c r="Q954" s="12">
        <f t="shared" si="128"/>
        <v>0</v>
      </c>
      <c r="R954" s="12" t="str">
        <f>IF(Raw_Data!AM957="","",Raw_Data!AM957)</f>
        <v/>
      </c>
      <c r="S954" s="12" t="str">
        <f t="shared" si="129"/>
        <v/>
      </c>
      <c r="T954" s="12" t="str">
        <f>IF(Raw_Data!AN957="","",Raw_Data!AN957)</f>
        <v/>
      </c>
      <c r="U954" s="12" t="str">
        <f t="shared" si="130"/>
        <v/>
      </c>
      <c r="V954" s="12" t="str">
        <f>IF(Raw_Data!AP957="","",IF(Raw_Data!AP957="oui",1,0))</f>
        <v/>
      </c>
      <c r="W954" s="12" t="str">
        <f>IF(Raw_Data!AQ957="","",IF(Raw_Data!AQ957="oui",1,0))</f>
        <v/>
      </c>
      <c r="X954" s="12" t="str">
        <f>IF(Raw_Data!AR957="","",IF(Raw_Data!AR957="oui",1,0))</f>
        <v/>
      </c>
      <c r="Y954" s="12" t="str">
        <f>IF(Raw_Data!AS957="","",IF(Raw_Data!AS957="oui",1,0))</f>
        <v/>
      </c>
      <c r="Z954" s="12" t="str">
        <f>IF(Raw_Data!V957="","",IF(Raw_Data!V957="oui",1,0))</f>
        <v/>
      </c>
      <c r="AA954" s="12" t="str">
        <f>IF(Raw_Data!W957="","",IF(Raw_Data!W957="oui",1,0))</f>
        <v/>
      </c>
      <c r="AB954" s="12" t="str">
        <f>IF(Raw_Data!Q957="","",IF(Raw_Data!Q957="oui",1,0))</f>
        <v/>
      </c>
      <c r="AC954" s="12">
        <f>Raw_Data!AF957</f>
        <v>0</v>
      </c>
      <c r="AD954" s="12" t="str">
        <f t="shared" si="131"/>
        <v/>
      </c>
      <c r="AE954" s="12" t="str">
        <f t="shared" si="132"/>
        <v/>
      </c>
      <c r="AF954" s="12" t="str">
        <f t="shared" si="133"/>
        <v/>
      </c>
      <c r="AG954" s="12">
        <f t="shared" si="134"/>
        <v>0</v>
      </c>
    </row>
    <row r="955" spans="1:33" ht="15" customHeight="1" x14ac:dyDescent="0.25">
      <c r="A955" s="12" t="str">
        <f>IF(Raw_Data!B958="","",Raw_Data!B958)</f>
        <v/>
      </c>
      <c r="B955" s="12">
        <f>IF(Raw_Data!X958&lt;&gt;"",Raw_Data!X958,Raw_Data!C958)</f>
        <v>0</v>
      </c>
      <c r="C955" s="12" t="str">
        <f>IF(Raw_Data!G958="","",Raw_Data!G958)</f>
        <v/>
      </c>
      <c r="D955" s="12" t="str">
        <f>IF(Raw_Data!H958="","",Raw_Data!H958)</f>
        <v/>
      </c>
      <c r="E955" s="12" t="str">
        <f>IF(Raw_Data!I958="","",Raw_Data!I958)</f>
        <v/>
      </c>
      <c r="F955" s="12" t="str">
        <f>IF(Raw_Data!J958="","",Raw_Data!J958)</f>
        <v/>
      </c>
      <c r="G955" s="12" t="str">
        <f>IF(Raw_Data!AH958&lt;&gt;"",Raw_Data!AH958,IF(Raw_Data!K958&lt;&gt;"",Raw_Data!K958,""))</f>
        <v/>
      </c>
      <c r="H955" s="12" t="str">
        <f>IF(Raw_Data!AI958&lt;&gt;"",Raw_Data!AI958,IF(Raw_Data!L958&lt;&gt;"",Raw_Data!L958,""))</f>
        <v/>
      </c>
      <c r="I955" s="12" t="str">
        <f t="shared" si="126"/>
        <v/>
      </c>
      <c r="J955" s="12" t="str">
        <f>IF(Raw_Data!M958="","",Raw_Data!M958)</f>
        <v/>
      </c>
      <c r="K955" s="12">
        <f>IF(Raw_Data!AJ958&lt;&gt;"",Raw_Data!AJ958,Raw_Data!N958)</f>
        <v>0</v>
      </c>
      <c r="L955" s="12">
        <f t="shared" si="127"/>
        <v>1</v>
      </c>
      <c r="M955" s="12" t="str">
        <f>IF(Raw_Data!AK958="","",Raw_Data!AK958)</f>
        <v/>
      </c>
      <c r="N955" s="12" t="str">
        <f>IF(Raw_Data!T958="","",Raw_Data!T958)</f>
        <v/>
      </c>
      <c r="O955" s="12" t="str">
        <f>IF(Raw_Data!AB958&lt;&gt;"",Raw_Data!AB958,IF(N955="tres_insatisfait",1,IF(N955="insatisfait",2,IF(N955="neutre",3,IF(N955="satisfait",4,IF(N955="tres_satisfait",5,""))))))</f>
        <v/>
      </c>
      <c r="P955" s="12">
        <f>IF(Raw_Data!AL958&lt;&gt;"",Raw_Data!AL958,Raw_Data!R958)</f>
        <v>0</v>
      </c>
      <c r="Q955" s="12">
        <f t="shared" si="128"/>
        <v>0</v>
      </c>
      <c r="R955" s="12" t="str">
        <f>IF(Raw_Data!AM958="","",Raw_Data!AM958)</f>
        <v/>
      </c>
      <c r="S955" s="12" t="str">
        <f t="shared" si="129"/>
        <v/>
      </c>
      <c r="T955" s="12" t="str">
        <f>IF(Raw_Data!AN958="","",Raw_Data!AN958)</f>
        <v/>
      </c>
      <c r="U955" s="12" t="str">
        <f t="shared" si="130"/>
        <v/>
      </c>
      <c r="V955" s="12" t="str">
        <f>IF(Raw_Data!AP958="","",IF(Raw_Data!AP958="oui",1,0))</f>
        <v/>
      </c>
      <c r="W955" s="12" t="str">
        <f>IF(Raw_Data!AQ958="","",IF(Raw_Data!AQ958="oui",1,0))</f>
        <v/>
      </c>
      <c r="X955" s="12" t="str">
        <f>IF(Raw_Data!AR958="","",IF(Raw_Data!AR958="oui",1,0))</f>
        <v/>
      </c>
      <c r="Y955" s="12" t="str">
        <f>IF(Raw_Data!AS958="","",IF(Raw_Data!AS958="oui",1,0))</f>
        <v/>
      </c>
      <c r="Z955" s="12" t="str">
        <f>IF(Raw_Data!V958="","",IF(Raw_Data!V958="oui",1,0))</f>
        <v/>
      </c>
      <c r="AA955" s="12" t="str">
        <f>IF(Raw_Data!W958="","",IF(Raw_Data!W958="oui",1,0))</f>
        <v/>
      </c>
      <c r="AB955" s="12" t="str">
        <f>IF(Raw_Data!Q958="","",IF(Raw_Data!Q958="oui",1,0))</f>
        <v/>
      </c>
      <c r="AC955" s="12">
        <f>Raw_Data!AF958</f>
        <v>0</v>
      </c>
      <c r="AD955" s="12" t="str">
        <f t="shared" si="131"/>
        <v/>
      </c>
      <c r="AE955" s="12" t="str">
        <f t="shared" si="132"/>
        <v/>
      </c>
      <c r="AF955" s="12" t="str">
        <f t="shared" si="133"/>
        <v/>
      </c>
      <c r="AG955" s="12">
        <f t="shared" si="134"/>
        <v>0</v>
      </c>
    </row>
    <row r="956" spans="1:33" ht="15" customHeight="1" x14ac:dyDescent="0.25">
      <c r="A956" s="12" t="str">
        <f>IF(Raw_Data!B959="","",Raw_Data!B959)</f>
        <v/>
      </c>
      <c r="B956" s="12">
        <f>IF(Raw_Data!X959&lt;&gt;"",Raw_Data!X959,Raw_Data!C959)</f>
        <v>0</v>
      </c>
      <c r="C956" s="12" t="str">
        <f>IF(Raw_Data!G959="","",Raw_Data!G959)</f>
        <v/>
      </c>
      <c r="D956" s="12" t="str">
        <f>IF(Raw_Data!H959="","",Raw_Data!H959)</f>
        <v/>
      </c>
      <c r="E956" s="12" t="str">
        <f>IF(Raw_Data!I959="","",Raw_Data!I959)</f>
        <v/>
      </c>
      <c r="F956" s="12" t="str">
        <f>IF(Raw_Data!J959="","",Raw_Data!J959)</f>
        <v/>
      </c>
      <c r="G956" s="12" t="str">
        <f>IF(Raw_Data!AH959&lt;&gt;"",Raw_Data!AH959,IF(Raw_Data!K959&lt;&gt;"",Raw_Data!K959,""))</f>
        <v/>
      </c>
      <c r="H956" s="12" t="str">
        <f>IF(Raw_Data!AI959&lt;&gt;"",Raw_Data!AI959,IF(Raw_Data!L959&lt;&gt;"",Raw_Data!L959,""))</f>
        <v/>
      </c>
      <c r="I956" s="12" t="str">
        <f t="shared" si="126"/>
        <v/>
      </c>
      <c r="J956" s="12" t="str">
        <f>IF(Raw_Data!M959="","",Raw_Data!M959)</f>
        <v/>
      </c>
      <c r="K956" s="12">
        <f>IF(Raw_Data!AJ959&lt;&gt;"",Raw_Data!AJ959,Raw_Data!N959)</f>
        <v>0</v>
      </c>
      <c r="L956" s="12">
        <f t="shared" si="127"/>
        <v>1</v>
      </c>
      <c r="M956" s="12" t="str">
        <f>IF(Raw_Data!AK959="","",Raw_Data!AK959)</f>
        <v/>
      </c>
      <c r="N956" s="12" t="str">
        <f>IF(Raw_Data!T959="","",Raw_Data!T959)</f>
        <v/>
      </c>
      <c r="O956" s="12" t="str">
        <f>IF(Raw_Data!AB959&lt;&gt;"",Raw_Data!AB959,IF(N956="tres_insatisfait",1,IF(N956="insatisfait",2,IF(N956="neutre",3,IF(N956="satisfait",4,IF(N956="tres_satisfait",5,""))))))</f>
        <v/>
      </c>
      <c r="P956" s="12">
        <f>IF(Raw_Data!AL959&lt;&gt;"",Raw_Data!AL959,Raw_Data!R959)</f>
        <v>0</v>
      </c>
      <c r="Q956" s="12">
        <f t="shared" si="128"/>
        <v>0</v>
      </c>
      <c r="R956" s="12" t="str">
        <f>IF(Raw_Data!AM959="","",Raw_Data!AM959)</f>
        <v/>
      </c>
      <c r="S956" s="12" t="str">
        <f t="shared" si="129"/>
        <v/>
      </c>
      <c r="T956" s="12" t="str">
        <f>IF(Raw_Data!AN959="","",Raw_Data!AN959)</f>
        <v/>
      </c>
      <c r="U956" s="12" t="str">
        <f t="shared" si="130"/>
        <v/>
      </c>
      <c r="V956" s="12" t="str">
        <f>IF(Raw_Data!AP959="","",IF(Raw_Data!AP959="oui",1,0))</f>
        <v/>
      </c>
      <c r="W956" s="12" t="str">
        <f>IF(Raw_Data!AQ959="","",IF(Raw_Data!AQ959="oui",1,0))</f>
        <v/>
      </c>
      <c r="X956" s="12" t="str">
        <f>IF(Raw_Data!AR959="","",IF(Raw_Data!AR959="oui",1,0))</f>
        <v/>
      </c>
      <c r="Y956" s="12" t="str">
        <f>IF(Raw_Data!AS959="","",IF(Raw_Data!AS959="oui",1,0))</f>
        <v/>
      </c>
      <c r="Z956" s="12" t="str">
        <f>IF(Raw_Data!V959="","",IF(Raw_Data!V959="oui",1,0))</f>
        <v/>
      </c>
      <c r="AA956" s="12" t="str">
        <f>IF(Raw_Data!W959="","",IF(Raw_Data!W959="oui",1,0))</f>
        <v/>
      </c>
      <c r="AB956" s="12" t="str">
        <f>IF(Raw_Data!Q959="","",IF(Raw_Data!Q959="oui",1,0))</f>
        <v/>
      </c>
      <c r="AC956" s="12">
        <f>Raw_Data!AF959</f>
        <v>0</v>
      </c>
      <c r="AD956" s="12" t="str">
        <f t="shared" si="131"/>
        <v/>
      </c>
      <c r="AE956" s="12" t="str">
        <f t="shared" si="132"/>
        <v/>
      </c>
      <c r="AF956" s="12" t="str">
        <f t="shared" si="133"/>
        <v/>
      </c>
      <c r="AG956" s="12">
        <f t="shared" si="134"/>
        <v>0</v>
      </c>
    </row>
    <row r="957" spans="1:33" ht="15" customHeight="1" x14ac:dyDescent="0.25">
      <c r="A957" s="12" t="str">
        <f>IF(Raw_Data!B960="","",Raw_Data!B960)</f>
        <v/>
      </c>
      <c r="B957" s="12">
        <f>IF(Raw_Data!X960&lt;&gt;"",Raw_Data!X960,Raw_Data!C960)</f>
        <v>0</v>
      </c>
      <c r="C957" s="12" t="str">
        <f>IF(Raw_Data!G960="","",Raw_Data!G960)</f>
        <v/>
      </c>
      <c r="D957" s="12" t="str">
        <f>IF(Raw_Data!H960="","",Raw_Data!H960)</f>
        <v/>
      </c>
      <c r="E957" s="12" t="str">
        <f>IF(Raw_Data!I960="","",Raw_Data!I960)</f>
        <v/>
      </c>
      <c r="F957" s="12" t="str">
        <f>IF(Raw_Data!J960="","",Raw_Data!J960)</f>
        <v/>
      </c>
      <c r="G957" s="12" t="str">
        <f>IF(Raw_Data!AH960&lt;&gt;"",Raw_Data!AH960,IF(Raw_Data!K960&lt;&gt;"",Raw_Data!K960,""))</f>
        <v/>
      </c>
      <c r="H957" s="12" t="str">
        <f>IF(Raw_Data!AI960&lt;&gt;"",Raw_Data!AI960,IF(Raw_Data!L960&lt;&gt;"",Raw_Data!L960,""))</f>
        <v/>
      </c>
      <c r="I957" s="12" t="str">
        <f t="shared" si="126"/>
        <v/>
      </c>
      <c r="J957" s="12" t="str">
        <f>IF(Raw_Data!M960="","",Raw_Data!M960)</f>
        <v/>
      </c>
      <c r="K957" s="12">
        <f>IF(Raw_Data!AJ960&lt;&gt;"",Raw_Data!AJ960,Raw_Data!N960)</f>
        <v>0</v>
      </c>
      <c r="L957" s="12">
        <f t="shared" si="127"/>
        <v>1</v>
      </c>
      <c r="M957" s="12" t="str">
        <f>IF(Raw_Data!AK960="","",Raw_Data!AK960)</f>
        <v/>
      </c>
      <c r="N957" s="12" t="str">
        <f>IF(Raw_Data!T960="","",Raw_Data!T960)</f>
        <v/>
      </c>
      <c r="O957" s="12" t="str">
        <f>IF(Raw_Data!AB960&lt;&gt;"",Raw_Data!AB960,IF(N957="tres_insatisfait",1,IF(N957="insatisfait",2,IF(N957="neutre",3,IF(N957="satisfait",4,IF(N957="tres_satisfait",5,""))))))</f>
        <v/>
      </c>
      <c r="P957" s="12">
        <f>IF(Raw_Data!AL960&lt;&gt;"",Raw_Data!AL960,Raw_Data!R960)</f>
        <v>0</v>
      </c>
      <c r="Q957" s="12">
        <f t="shared" si="128"/>
        <v>0</v>
      </c>
      <c r="R957" s="12" t="str">
        <f>IF(Raw_Data!AM960="","",Raw_Data!AM960)</f>
        <v/>
      </c>
      <c r="S957" s="12" t="str">
        <f t="shared" si="129"/>
        <v/>
      </c>
      <c r="T957" s="12" t="str">
        <f>IF(Raw_Data!AN960="","",Raw_Data!AN960)</f>
        <v/>
      </c>
      <c r="U957" s="12" t="str">
        <f t="shared" si="130"/>
        <v/>
      </c>
      <c r="V957" s="12" t="str">
        <f>IF(Raw_Data!AP960="","",IF(Raw_Data!AP960="oui",1,0))</f>
        <v/>
      </c>
      <c r="W957" s="12" t="str">
        <f>IF(Raw_Data!AQ960="","",IF(Raw_Data!AQ960="oui",1,0))</f>
        <v/>
      </c>
      <c r="X957" s="12" t="str">
        <f>IF(Raw_Data!AR960="","",IF(Raw_Data!AR960="oui",1,0))</f>
        <v/>
      </c>
      <c r="Y957" s="12" t="str">
        <f>IF(Raw_Data!AS960="","",IF(Raw_Data!AS960="oui",1,0))</f>
        <v/>
      </c>
      <c r="Z957" s="12" t="str">
        <f>IF(Raw_Data!V960="","",IF(Raw_Data!V960="oui",1,0))</f>
        <v/>
      </c>
      <c r="AA957" s="12" t="str">
        <f>IF(Raw_Data!W960="","",IF(Raw_Data!W960="oui",1,0))</f>
        <v/>
      </c>
      <c r="AB957" s="12" t="str">
        <f>IF(Raw_Data!Q960="","",IF(Raw_Data!Q960="oui",1,0))</f>
        <v/>
      </c>
      <c r="AC957" s="12">
        <f>Raw_Data!AF960</f>
        <v>0</v>
      </c>
      <c r="AD957" s="12" t="str">
        <f t="shared" si="131"/>
        <v/>
      </c>
      <c r="AE957" s="12" t="str">
        <f t="shared" si="132"/>
        <v/>
      </c>
      <c r="AF957" s="12" t="str">
        <f t="shared" si="133"/>
        <v/>
      </c>
      <c r="AG957" s="12">
        <f t="shared" si="134"/>
        <v>0</v>
      </c>
    </row>
    <row r="958" spans="1:33" ht="15" customHeight="1" x14ac:dyDescent="0.25">
      <c r="A958" s="12" t="str">
        <f>IF(Raw_Data!B961="","",Raw_Data!B961)</f>
        <v/>
      </c>
      <c r="B958" s="12">
        <f>IF(Raw_Data!X961&lt;&gt;"",Raw_Data!X961,Raw_Data!C961)</f>
        <v>0</v>
      </c>
      <c r="C958" s="12" t="str">
        <f>IF(Raw_Data!G961="","",Raw_Data!G961)</f>
        <v/>
      </c>
      <c r="D958" s="12" t="str">
        <f>IF(Raw_Data!H961="","",Raw_Data!H961)</f>
        <v/>
      </c>
      <c r="E958" s="12" t="str">
        <f>IF(Raw_Data!I961="","",Raw_Data!I961)</f>
        <v/>
      </c>
      <c r="F958" s="12" t="str">
        <f>IF(Raw_Data!J961="","",Raw_Data!J961)</f>
        <v/>
      </c>
      <c r="G958" s="12" t="str">
        <f>IF(Raw_Data!AH961&lt;&gt;"",Raw_Data!AH961,IF(Raw_Data!K961&lt;&gt;"",Raw_Data!K961,""))</f>
        <v/>
      </c>
      <c r="H958" s="12" t="str">
        <f>IF(Raw_Data!AI961&lt;&gt;"",Raw_Data!AI961,IF(Raw_Data!L961&lt;&gt;"",Raw_Data!L961,""))</f>
        <v/>
      </c>
      <c r="I958" s="12" t="str">
        <f t="shared" si="126"/>
        <v/>
      </c>
      <c r="J958" s="12" t="str">
        <f>IF(Raw_Data!M961="","",Raw_Data!M961)</f>
        <v/>
      </c>
      <c r="K958" s="12">
        <f>IF(Raw_Data!AJ961&lt;&gt;"",Raw_Data!AJ961,Raw_Data!N961)</f>
        <v>0</v>
      </c>
      <c r="L958" s="12">
        <f t="shared" si="127"/>
        <v>1</v>
      </c>
      <c r="M958" s="12" t="str">
        <f>IF(Raw_Data!AK961="","",Raw_Data!AK961)</f>
        <v/>
      </c>
      <c r="N958" s="12" t="str">
        <f>IF(Raw_Data!T961="","",Raw_Data!T961)</f>
        <v/>
      </c>
      <c r="O958" s="12" t="str">
        <f>IF(Raw_Data!AB961&lt;&gt;"",Raw_Data!AB961,IF(N958="tres_insatisfait",1,IF(N958="insatisfait",2,IF(N958="neutre",3,IF(N958="satisfait",4,IF(N958="tres_satisfait",5,""))))))</f>
        <v/>
      </c>
      <c r="P958" s="12">
        <f>IF(Raw_Data!AL961&lt;&gt;"",Raw_Data!AL961,Raw_Data!R961)</f>
        <v>0</v>
      </c>
      <c r="Q958" s="12">
        <f t="shared" si="128"/>
        <v>0</v>
      </c>
      <c r="R958" s="12" t="str">
        <f>IF(Raw_Data!AM961="","",Raw_Data!AM961)</f>
        <v/>
      </c>
      <c r="S958" s="12" t="str">
        <f t="shared" si="129"/>
        <v/>
      </c>
      <c r="T958" s="12" t="str">
        <f>IF(Raw_Data!AN961="","",Raw_Data!AN961)</f>
        <v/>
      </c>
      <c r="U958" s="12" t="str">
        <f t="shared" si="130"/>
        <v/>
      </c>
      <c r="V958" s="12" t="str">
        <f>IF(Raw_Data!AP961="","",IF(Raw_Data!AP961="oui",1,0))</f>
        <v/>
      </c>
      <c r="W958" s="12" t="str">
        <f>IF(Raw_Data!AQ961="","",IF(Raw_Data!AQ961="oui",1,0))</f>
        <v/>
      </c>
      <c r="X958" s="12" t="str">
        <f>IF(Raw_Data!AR961="","",IF(Raw_Data!AR961="oui",1,0))</f>
        <v/>
      </c>
      <c r="Y958" s="12" t="str">
        <f>IF(Raw_Data!AS961="","",IF(Raw_Data!AS961="oui",1,0))</f>
        <v/>
      </c>
      <c r="Z958" s="12" t="str">
        <f>IF(Raw_Data!V961="","",IF(Raw_Data!V961="oui",1,0))</f>
        <v/>
      </c>
      <c r="AA958" s="12" t="str">
        <f>IF(Raw_Data!W961="","",IF(Raw_Data!W961="oui",1,0))</f>
        <v/>
      </c>
      <c r="AB958" s="12" t="str">
        <f>IF(Raw_Data!Q961="","",IF(Raw_Data!Q961="oui",1,0))</f>
        <v/>
      </c>
      <c r="AC958" s="12">
        <f>Raw_Data!AF961</f>
        <v>0</v>
      </c>
      <c r="AD958" s="12" t="str">
        <f t="shared" si="131"/>
        <v/>
      </c>
      <c r="AE958" s="12" t="str">
        <f t="shared" si="132"/>
        <v/>
      </c>
      <c r="AF958" s="12" t="str">
        <f t="shared" si="133"/>
        <v/>
      </c>
      <c r="AG958" s="12">
        <f t="shared" si="134"/>
        <v>0</v>
      </c>
    </row>
    <row r="959" spans="1:33" ht="15" customHeight="1" x14ac:dyDescent="0.25">
      <c r="A959" s="12" t="str">
        <f>IF(Raw_Data!B962="","",Raw_Data!B962)</f>
        <v/>
      </c>
      <c r="B959" s="12">
        <f>IF(Raw_Data!X962&lt;&gt;"",Raw_Data!X962,Raw_Data!C962)</f>
        <v>0</v>
      </c>
      <c r="C959" s="12" t="str">
        <f>IF(Raw_Data!G962="","",Raw_Data!G962)</f>
        <v/>
      </c>
      <c r="D959" s="12" t="str">
        <f>IF(Raw_Data!H962="","",Raw_Data!H962)</f>
        <v/>
      </c>
      <c r="E959" s="12" t="str">
        <f>IF(Raw_Data!I962="","",Raw_Data!I962)</f>
        <v/>
      </c>
      <c r="F959" s="12" t="str">
        <f>IF(Raw_Data!J962="","",Raw_Data!J962)</f>
        <v/>
      </c>
      <c r="G959" s="12" t="str">
        <f>IF(Raw_Data!AH962&lt;&gt;"",Raw_Data!AH962,IF(Raw_Data!K962&lt;&gt;"",Raw_Data!K962,""))</f>
        <v/>
      </c>
      <c r="H959" s="12" t="str">
        <f>IF(Raw_Data!AI962&lt;&gt;"",Raw_Data!AI962,IF(Raw_Data!L962&lt;&gt;"",Raw_Data!L962,""))</f>
        <v/>
      </c>
      <c r="I959" s="12" t="str">
        <f t="shared" si="126"/>
        <v/>
      </c>
      <c r="J959" s="12" t="str">
        <f>IF(Raw_Data!M962="","",Raw_Data!M962)</f>
        <v/>
      </c>
      <c r="K959" s="12">
        <f>IF(Raw_Data!AJ962&lt;&gt;"",Raw_Data!AJ962,Raw_Data!N962)</f>
        <v>0</v>
      </c>
      <c r="L959" s="12">
        <f t="shared" si="127"/>
        <v>1</v>
      </c>
      <c r="M959" s="12" t="str">
        <f>IF(Raw_Data!AK962="","",Raw_Data!AK962)</f>
        <v/>
      </c>
      <c r="N959" s="12" t="str">
        <f>IF(Raw_Data!T962="","",Raw_Data!T962)</f>
        <v/>
      </c>
      <c r="O959" s="12" t="str">
        <f>IF(Raw_Data!AB962&lt;&gt;"",Raw_Data!AB962,IF(N959="tres_insatisfait",1,IF(N959="insatisfait",2,IF(N959="neutre",3,IF(N959="satisfait",4,IF(N959="tres_satisfait",5,""))))))</f>
        <v/>
      </c>
      <c r="P959" s="12">
        <f>IF(Raw_Data!AL962&lt;&gt;"",Raw_Data!AL962,Raw_Data!R962)</f>
        <v>0</v>
      </c>
      <c r="Q959" s="12">
        <f t="shared" si="128"/>
        <v>0</v>
      </c>
      <c r="R959" s="12" t="str">
        <f>IF(Raw_Data!AM962="","",Raw_Data!AM962)</f>
        <v/>
      </c>
      <c r="S959" s="12" t="str">
        <f t="shared" si="129"/>
        <v/>
      </c>
      <c r="T959" s="12" t="str">
        <f>IF(Raw_Data!AN962="","",Raw_Data!AN962)</f>
        <v/>
      </c>
      <c r="U959" s="12" t="str">
        <f t="shared" si="130"/>
        <v/>
      </c>
      <c r="V959" s="12" t="str">
        <f>IF(Raw_Data!AP962="","",IF(Raw_Data!AP962="oui",1,0))</f>
        <v/>
      </c>
      <c r="W959" s="12" t="str">
        <f>IF(Raw_Data!AQ962="","",IF(Raw_Data!AQ962="oui",1,0))</f>
        <v/>
      </c>
      <c r="X959" s="12" t="str">
        <f>IF(Raw_Data!AR962="","",IF(Raw_Data!AR962="oui",1,0))</f>
        <v/>
      </c>
      <c r="Y959" s="12" t="str">
        <f>IF(Raw_Data!AS962="","",IF(Raw_Data!AS962="oui",1,0))</f>
        <v/>
      </c>
      <c r="Z959" s="12" t="str">
        <f>IF(Raw_Data!V962="","",IF(Raw_Data!V962="oui",1,0))</f>
        <v/>
      </c>
      <c r="AA959" s="12" t="str">
        <f>IF(Raw_Data!W962="","",IF(Raw_Data!W962="oui",1,0))</f>
        <v/>
      </c>
      <c r="AB959" s="12" t="str">
        <f>IF(Raw_Data!Q962="","",IF(Raw_Data!Q962="oui",1,0))</f>
        <v/>
      </c>
      <c r="AC959" s="12">
        <f>Raw_Data!AF962</f>
        <v>0</v>
      </c>
      <c r="AD959" s="12" t="str">
        <f t="shared" si="131"/>
        <v/>
      </c>
      <c r="AE959" s="12" t="str">
        <f t="shared" si="132"/>
        <v/>
      </c>
      <c r="AF959" s="12" t="str">
        <f t="shared" si="133"/>
        <v/>
      </c>
      <c r="AG959" s="12">
        <f t="shared" si="134"/>
        <v>0</v>
      </c>
    </row>
    <row r="960" spans="1:33" ht="15" customHeight="1" x14ac:dyDescent="0.25">
      <c r="A960" s="12" t="str">
        <f>IF(Raw_Data!B963="","",Raw_Data!B963)</f>
        <v/>
      </c>
      <c r="B960" s="12">
        <f>IF(Raw_Data!X963&lt;&gt;"",Raw_Data!X963,Raw_Data!C963)</f>
        <v>0</v>
      </c>
      <c r="C960" s="12" t="str">
        <f>IF(Raw_Data!G963="","",Raw_Data!G963)</f>
        <v/>
      </c>
      <c r="D960" s="12" t="str">
        <f>IF(Raw_Data!H963="","",Raw_Data!H963)</f>
        <v/>
      </c>
      <c r="E960" s="12" t="str">
        <f>IF(Raw_Data!I963="","",Raw_Data!I963)</f>
        <v/>
      </c>
      <c r="F960" s="12" t="str">
        <f>IF(Raw_Data!J963="","",Raw_Data!J963)</f>
        <v/>
      </c>
      <c r="G960" s="12" t="str">
        <f>IF(Raw_Data!AH963&lt;&gt;"",Raw_Data!AH963,IF(Raw_Data!K963&lt;&gt;"",Raw_Data!K963,""))</f>
        <v/>
      </c>
      <c r="H960" s="12" t="str">
        <f>IF(Raw_Data!AI963&lt;&gt;"",Raw_Data!AI963,IF(Raw_Data!L963&lt;&gt;"",Raw_Data!L963,""))</f>
        <v/>
      </c>
      <c r="I960" s="12" t="str">
        <f t="shared" si="126"/>
        <v/>
      </c>
      <c r="J960" s="12" t="str">
        <f>IF(Raw_Data!M963="","",Raw_Data!M963)</f>
        <v/>
      </c>
      <c r="K960" s="12">
        <f>IF(Raw_Data!AJ963&lt;&gt;"",Raw_Data!AJ963,Raw_Data!N963)</f>
        <v>0</v>
      </c>
      <c r="L960" s="12">
        <f t="shared" si="127"/>
        <v>1</v>
      </c>
      <c r="M960" s="12" t="str">
        <f>IF(Raw_Data!AK963="","",Raw_Data!AK963)</f>
        <v/>
      </c>
      <c r="N960" s="12" t="str">
        <f>IF(Raw_Data!T963="","",Raw_Data!T963)</f>
        <v/>
      </c>
      <c r="O960" s="12" t="str">
        <f>IF(Raw_Data!AB963&lt;&gt;"",Raw_Data!AB963,IF(N960="tres_insatisfait",1,IF(N960="insatisfait",2,IF(N960="neutre",3,IF(N960="satisfait",4,IF(N960="tres_satisfait",5,""))))))</f>
        <v/>
      </c>
      <c r="P960" s="12">
        <f>IF(Raw_Data!AL963&lt;&gt;"",Raw_Data!AL963,Raw_Data!R963)</f>
        <v>0</v>
      </c>
      <c r="Q960" s="12">
        <f t="shared" si="128"/>
        <v>0</v>
      </c>
      <c r="R960" s="12" t="str">
        <f>IF(Raw_Data!AM963="","",Raw_Data!AM963)</f>
        <v/>
      </c>
      <c r="S960" s="12" t="str">
        <f t="shared" si="129"/>
        <v/>
      </c>
      <c r="T960" s="12" t="str">
        <f>IF(Raw_Data!AN963="","",Raw_Data!AN963)</f>
        <v/>
      </c>
      <c r="U960" s="12" t="str">
        <f t="shared" si="130"/>
        <v/>
      </c>
      <c r="V960" s="12" t="str">
        <f>IF(Raw_Data!AP963="","",IF(Raw_Data!AP963="oui",1,0))</f>
        <v/>
      </c>
      <c r="W960" s="12" t="str">
        <f>IF(Raw_Data!AQ963="","",IF(Raw_Data!AQ963="oui",1,0))</f>
        <v/>
      </c>
      <c r="X960" s="12" t="str">
        <f>IF(Raw_Data!AR963="","",IF(Raw_Data!AR963="oui",1,0))</f>
        <v/>
      </c>
      <c r="Y960" s="12" t="str">
        <f>IF(Raw_Data!AS963="","",IF(Raw_Data!AS963="oui",1,0))</f>
        <v/>
      </c>
      <c r="Z960" s="12" t="str">
        <f>IF(Raw_Data!V963="","",IF(Raw_Data!V963="oui",1,0))</f>
        <v/>
      </c>
      <c r="AA960" s="12" t="str">
        <f>IF(Raw_Data!W963="","",IF(Raw_Data!W963="oui",1,0))</f>
        <v/>
      </c>
      <c r="AB960" s="12" t="str">
        <f>IF(Raw_Data!Q963="","",IF(Raw_Data!Q963="oui",1,0))</f>
        <v/>
      </c>
      <c r="AC960" s="12">
        <f>Raw_Data!AF963</f>
        <v>0</v>
      </c>
      <c r="AD960" s="12" t="str">
        <f t="shared" si="131"/>
        <v/>
      </c>
      <c r="AE960" s="12" t="str">
        <f t="shared" si="132"/>
        <v/>
      </c>
      <c r="AF960" s="12" t="str">
        <f t="shared" si="133"/>
        <v/>
      </c>
      <c r="AG960" s="12">
        <f t="shared" si="134"/>
        <v>0</v>
      </c>
    </row>
    <row r="961" spans="1:33" ht="15" customHeight="1" x14ac:dyDescent="0.25">
      <c r="A961" s="12" t="str">
        <f>IF(Raw_Data!B964="","",Raw_Data!B964)</f>
        <v/>
      </c>
      <c r="B961" s="12">
        <f>IF(Raw_Data!X964&lt;&gt;"",Raw_Data!X964,Raw_Data!C964)</f>
        <v>0</v>
      </c>
      <c r="C961" s="12" t="str">
        <f>IF(Raw_Data!G964="","",Raw_Data!G964)</f>
        <v/>
      </c>
      <c r="D961" s="12" t="str">
        <f>IF(Raw_Data!H964="","",Raw_Data!H964)</f>
        <v/>
      </c>
      <c r="E961" s="12" t="str">
        <f>IF(Raw_Data!I964="","",Raw_Data!I964)</f>
        <v/>
      </c>
      <c r="F961" s="12" t="str">
        <f>IF(Raw_Data!J964="","",Raw_Data!J964)</f>
        <v/>
      </c>
      <c r="G961" s="12" t="str">
        <f>IF(Raw_Data!AH964&lt;&gt;"",Raw_Data!AH964,IF(Raw_Data!K964&lt;&gt;"",Raw_Data!K964,""))</f>
        <v/>
      </c>
      <c r="H961" s="12" t="str">
        <f>IF(Raw_Data!AI964&lt;&gt;"",Raw_Data!AI964,IF(Raw_Data!L964&lt;&gt;"",Raw_Data!L964,""))</f>
        <v/>
      </c>
      <c r="I961" s="12" t="str">
        <f t="shared" si="126"/>
        <v/>
      </c>
      <c r="J961" s="12" t="str">
        <f>IF(Raw_Data!M964="","",Raw_Data!M964)</f>
        <v/>
      </c>
      <c r="K961" s="12">
        <f>IF(Raw_Data!AJ964&lt;&gt;"",Raw_Data!AJ964,Raw_Data!N964)</f>
        <v>0</v>
      </c>
      <c r="L961" s="12">
        <f t="shared" si="127"/>
        <v>1</v>
      </c>
      <c r="M961" s="12" t="str">
        <f>IF(Raw_Data!AK964="","",Raw_Data!AK964)</f>
        <v/>
      </c>
      <c r="N961" s="12" t="str">
        <f>IF(Raw_Data!T964="","",Raw_Data!T964)</f>
        <v/>
      </c>
      <c r="O961" s="12" t="str">
        <f>IF(Raw_Data!AB964&lt;&gt;"",Raw_Data!AB964,IF(N961="tres_insatisfait",1,IF(N961="insatisfait",2,IF(N961="neutre",3,IF(N961="satisfait",4,IF(N961="tres_satisfait",5,""))))))</f>
        <v/>
      </c>
      <c r="P961" s="12">
        <f>IF(Raw_Data!AL964&lt;&gt;"",Raw_Data!AL964,Raw_Data!R964)</f>
        <v>0</v>
      </c>
      <c r="Q961" s="12">
        <f t="shared" si="128"/>
        <v>0</v>
      </c>
      <c r="R961" s="12" t="str">
        <f>IF(Raw_Data!AM964="","",Raw_Data!AM964)</f>
        <v/>
      </c>
      <c r="S961" s="12" t="str">
        <f t="shared" si="129"/>
        <v/>
      </c>
      <c r="T961" s="12" t="str">
        <f>IF(Raw_Data!AN964="","",Raw_Data!AN964)</f>
        <v/>
      </c>
      <c r="U961" s="12" t="str">
        <f t="shared" si="130"/>
        <v/>
      </c>
      <c r="V961" s="12" t="str">
        <f>IF(Raw_Data!AP964="","",IF(Raw_Data!AP964="oui",1,0))</f>
        <v/>
      </c>
      <c r="W961" s="12" t="str">
        <f>IF(Raw_Data!AQ964="","",IF(Raw_Data!AQ964="oui",1,0))</f>
        <v/>
      </c>
      <c r="X961" s="12" t="str">
        <f>IF(Raw_Data!AR964="","",IF(Raw_Data!AR964="oui",1,0))</f>
        <v/>
      </c>
      <c r="Y961" s="12" t="str">
        <f>IF(Raw_Data!AS964="","",IF(Raw_Data!AS964="oui",1,0))</f>
        <v/>
      </c>
      <c r="Z961" s="12" t="str">
        <f>IF(Raw_Data!V964="","",IF(Raw_Data!V964="oui",1,0))</f>
        <v/>
      </c>
      <c r="AA961" s="12" t="str">
        <f>IF(Raw_Data!W964="","",IF(Raw_Data!W964="oui",1,0))</f>
        <v/>
      </c>
      <c r="AB961" s="12" t="str">
        <f>IF(Raw_Data!Q964="","",IF(Raw_Data!Q964="oui",1,0))</f>
        <v/>
      </c>
      <c r="AC961" s="12">
        <f>Raw_Data!AF964</f>
        <v>0</v>
      </c>
      <c r="AD961" s="12" t="str">
        <f t="shared" si="131"/>
        <v/>
      </c>
      <c r="AE961" s="12" t="str">
        <f t="shared" si="132"/>
        <v/>
      </c>
      <c r="AF961" s="12" t="str">
        <f t="shared" si="133"/>
        <v/>
      </c>
      <c r="AG961" s="12">
        <f t="shared" si="134"/>
        <v>0</v>
      </c>
    </row>
    <row r="962" spans="1:33" ht="15" customHeight="1" x14ac:dyDescent="0.25">
      <c r="A962" s="12" t="str">
        <f>IF(Raw_Data!B965="","",Raw_Data!B965)</f>
        <v/>
      </c>
      <c r="B962" s="12">
        <f>IF(Raw_Data!X965&lt;&gt;"",Raw_Data!X965,Raw_Data!C965)</f>
        <v>0</v>
      </c>
      <c r="C962" s="12" t="str">
        <f>IF(Raw_Data!G965="","",Raw_Data!G965)</f>
        <v/>
      </c>
      <c r="D962" s="12" t="str">
        <f>IF(Raw_Data!H965="","",Raw_Data!H965)</f>
        <v/>
      </c>
      <c r="E962" s="12" t="str">
        <f>IF(Raw_Data!I965="","",Raw_Data!I965)</f>
        <v/>
      </c>
      <c r="F962" s="12" t="str">
        <f>IF(Raw_Data!J965="","",Raw_Data!J965)</f>
        <v/>
      </c>
      <c r="G962" s="12" t="str">
        <f>IF(Raw_Data!AH965&lt;&gt;"",Raw_Data!AH965,IF(Raw_Data!K965&lt;&gt;"",Raw_Data!K965,""))</f>
        <v/>
      </c>
      <c r="H962" s="12" t="str">
        <f>IF(Raw_Data!AI965&lt;&gt;"",Raw_Data!AI965,IF(Raw_Data!L965&lt;&gt;"",Raw_Data!L965,""))</f>
        <v/>
      </c>
      <c r="I962" s="12" t="str">
        <f t="shared" ref="I962:I1025" si="135">IF(H962="","",IF(H962&lt;18,"&lt;18 ans",IF(H962&lt;60,"18-59 ans","60 ans et +")))</f>
        <v/>
      </c>
      <c r="J962" s="12" t="str">
        <f>IF(Raw_Data!M965="","",Raw_Data!M965)</f>
        <v/>
      </c>
      <c r="K962" s="12">
        <f>IF(Raw_Data!AJ965&lt;&gt;"",Raw_Data!AJ965,Raw_Data!N965)</f>
        <v>0</v>
      </c>
      <c r="L962" s="12">
        <f t="shared" ref="L962:L1025" si="136">IF(K962="",0,1)</f>
        <v>1</v>
      </c>
      <c r="M962" s="12" t="str">
        <f>IF(Raw_Data!AK965="","",Raw_Data!AK965)</f>
        <v/>
      </c>
      <c r="N962" s="12" t="str">
        <f>IF(Raw_Data!T965="","",Raw_Data!T965)</f>
        <v/>
      </c>
      <c r="O962" s="12" t="str">
        <f>IF(Raw_Data!AB965&lt;&gt;"",Raw_Data!AB965,IF(N962="tres_insatisfait",1,IF(N962="insatisfait",2,IF(N962="neutre",3,IF(N962="satisfait",4,IF(N962="tres_satisfait",5,""))))))</f>
        <v/>
      </c>
      <c r="P962" s="12">
        <f>IF(Raw_Data!AL965&lt;&gt;"",Raw_Data!AL965,Raw_Data!R965)</f>
        <v>0</v>
      </c>
      <c r="Q962" s="12">
        <f t="shared" ref="Q962:Q1025" si="137">IF(P962="","",IF(P962="oui",1,0))</f>
        <v>0</v>
      </c>
      <c r="R962" s="12" t="str">
        <f>IF(Raw_Data!AM965="","",Raw_Data!AM965)</f>
        <v/>
      </c>
      <c r="S962" s="12" t="str">
        <f t="shared" ref="S962:S1025" si="138">IF(R962="","",IF(R962="oui",1,0))</f>
        <v/>
      </c>
      <c r="T962" s="12" t="str">
        <f>IF(Raw_Data!AN965="","",Raw_Data!AN965)</f>
        <v/>
      </c>
      <c r="U962" s="12" t="str">
        <f t="shared" ref="U962:U1025" si="139">IF(T962="","",IF(T962="oui",1,0))</f>
        <v/>
      </c>
      <c r="V962" s="12" t="str">
        <f>IF(Raw_Data!AP965="","",IF(Raw_Data!AP965="oui",1,0))</f>
        <v/>
      </c>
      <c r="W962" s="12" t="str">
        <f>IF(Raw_Data!AQ965="","",IF(Raw_Data!AQ965="oui",1,0))</f>
        <v/>
      </c>
      <c r="X962" s="12" t="str">
        <f>IF(Raw_Data!AR965="","",IF(Raw_Data!AR965="oui",1,0))</f>
        <v/>
      </c>
      <c r="Y962" s="12" t="str">
        <f>IF(Raw_Data!AS965="","",IF(Raw_Data!AS965="oui",1,0))</f>
        <v/>
      </c>
      <c r="Z962" s="12" t="str">
        <f>IF(Raw_Data!V965="","",IF(Raw_Data!V965="oui",1,0))</f>
        <v/>
      </c>
      <c r="AA962" s="12" t="str">
        <f>IF(Raw_Data!W965="","",IF(Raw_Data!W965="oui",1,0))</f>
        <v/>
      </c>
      <c r="AB962" s="12" t="str">
        <f>IF(Raw_Data!Q965="","",IF(Raw_Data!Q965="oui",1,0))</f>
        <v/>
      </c>
      <c r="AC962" s="12">
        <f>Raw_Data!AF965</f>
        <v>0</v>
      </c>
      <c r="AD962" s="12" t="str">
        <f t="shared" ref="AD962:AD1000" si="140">IF(A962="","",F962&amp;"|"&amp;E962&amp;"|"&amp;TEXT(B962,"YYYY-MM-DD"))</f>
        <v/>
      </c>
      <c r="AE962" s="12" t="str">
        <f t="shared" ref="AE962:AE1025" si="141">IF(AD962="","",IF(COUNTIF($AD$2:$AD$1000,AD962)&gt;1,1,0))</f>
        <v/>
      </c>
      <c r="AF962" s="12" t="str">
        <f t="shared" ref="AF962:AF1000" si="142">IF(A962="","",IF(OR(C962="",D962="",G962="",H962="",N962=""),1,0))</f>
        <v/>
      </c>
      <c r="AG962" s="12">
        <f t="shared" ref="AG962:AG1000" si="143">IF(A962="",0,1)</f>
        <v>0</v>
      </c>
    </row>
    <row r="963" spans="1:33" ht="15" customHeight="1" x14ac:dyDescent="0.25">
      <c r="A963" s="12" t="str">
        <f>IF(Raw_Data!B966="","",Raw_Data!B966)</f>
        <v/>
      </c>
      <c r="B963" s="12">
        <f>IF(Raw_Data!X966&lt;&gt;"",Raw_Data!X966,Raw_Data!C966)</f>
        <v>0</v>
      </c>
      <c r="C963" s="12" t="str">
        <f>IF(Raw_Data!G966="","",Raw_Data!G966)</f>
        <v/>
      </c>
      <c r="D963" s="12" t="str">
        <f>IF(Raw_Data!H966="","",Raw_Data!H966)</f>
        <v/>
      </c>
      <c r="E963" s="12" t="str">
        <f>IF(Raw_Data!I966="","",Raw_Data!I966)</f>
        <v/>
      </c>
      <c r="F963" s="12" t="str">
        <f>IF(Raw_Data!J966="","",Raw_Data!J966)</f>
        <v/>
      </c>
      <c r="G963" s="12" t="str">
        <f>IF(Raw_Data!AH966&lt;&gt;"",Raw_Data!AH966,IF(Raw_Data!K966&lt;&gt;"",Raw_Data!K966,""))</f>
        <v/>
      </c>
      <c r="H963" s="12" t="str">
        <f>IF(Raw_Data!AI966&lt;&gt;"",Raw_Data!AI966,IF(Raw_Data!L966&lt;&gt;"",Raw_Data!L966,""))</f>
        <v/>
      </c>
      <c r="I963" s="12" t="str">
        <f t="shared" si="135"/>
        <v/>
      </c>
      <c r="J963" s="12" t="str">
        <f>IF(Raw_Data!M966="","",Raw_Data!M966)</f>
        <v/>
      </c>
      <c r="K963" s="12">
        <f>IF(Raw_Data!AJ966&lt;&gt;"",Raw_Data!AJ966,Raw_Data!N966)</f>
        <v>0</v>
      </c>
      <c r="L963" s="12">
        <f t="shared" si="136"/>
        <v>1</v>
      </c>
      <c r="M963" s="12" t="str">
        <f>IF(Raw_Data!AK966="","",Raw_Data!AK966)</f>
        <v/>
      </c>
      <c r="N963" s="12" t="str">
        <f>IF(Raw_Data!T966="","",Raw_Data!T966)</f>
        <v/>
      </c>
      <c r="O963" s="12" t="str">
        <f>IF(Raw_Data!AB966&lt;&gt;"",Raw_Data!AB966,IF(N963="tres_insatisfait",1,IF(N963="insatisfait",2,IF(N963="neutre",3,IF(N963="satisfait",4,IF(N963="tres_satisfait",5,""))))))</f>
        <v/>
      </c>
      <c r="P963" s="12">
        <f>IF(Raw_Data!AL966&lt;&gt;"",Raw_Data!AL966,Raw_Data!R966)</f>
        <v>0</v>
      </c>
      <c r="Q963" s="12">
        <f t="shared" si="137"/>
        <v>0</v>
      </c>
      <c r="R963" s="12" t="str">
        <f>IF(Raw_Data!AM966="","",Raw_Data!AM966)</f>
        <v/>
      </c>
      <c r="S963" s="12" t="str">
        <f t="shared" si="138"/>
        <v/>
      </c>
      <c r="T963" s="12" t="str">
        <f>IF(Raw_Data!AN966="","",Raw_Data!AN966)</f>
        <v/>
      </c>
      <c r="U963" s="12" t="str">
        <f t="shared" si="139"/>
        <v/>
      </c>
      <c r="V963" s="12" t="str">
        <f>IF(Raw_Data!AP966="","",IF(Raw_Data!AP966="oui",1,0))</f>
        <v/>
      </c>
      <c r="W963" s="12" t="str">
        <f>IF(Raw_Data!AQ966="","",IF(Raw_Data!AQ966="oui",1,0))</f>
        <v/>
      </c>
      <c r="X963" s="12" t="str">
        <f>IF(Raw_Data!AR966="","",IF(Raw_Data!AR966="oui",1,0))</f>
        <v/>
      </c>
      <c r="Y963" s="12" t="str">
        <f>IF(Raw_Data!AS966="","",IF(Raw_Data!AS966="oui",1,0))</f>
        <v/>
      </c>
      <c r="Z963" s="12" t="str">
        <f>IF(Raw_Data!V966="","",IF(Raw_Data!V966="oui",1,0))</f>
        <v/>
      </c>
      <c r="AA963" s="12" t="str">
        <f>IF(Raw_Data!W966="","",IF(Raw_Data!W966="oui",1,0))</f>
        <v/>
      </c>
      <c r="AB963" s="12" t="str">
        <f>IF(Raw_Data!Q966="","",IF(Raw_Data!Q966="oui",1,0))</f>
        <v/>
      </c>
      <c r="AC963" s="12">
        <f>Raw_Data!AF966</f>
        <v>0</v>
      </c>
      <c r="AD963" s="12" t="str">
        <f t="shared" si="140"/>
        <v/>
      </c>
      <c r="AE963" s="12" t="str">
        <f t="shared" si="141"/>
        <v/>
      </c>
      <c r="AF963" s="12" t="str">
        <f t="shared" si="142"/>
        <v/>
      </c>
      <c r="AG963" s="12">
        <f t="shared" si="143"/>
        <v>0</v>
      </c>
    </row>
    <row r="964" spans="1:33" ht="15" customHeight="1" x14ac:dyDescent="0.25">
      <c r="A964" s="12" t="str">
        <f>IF(Raw_Data!B967="","",Raw_Data!B967)</f>
        <v/>
      </c>
      <c r="B964" s="12">
        <f>IF(Raw_Data!X967&lt;&gt;"",Raw_Data!X967,Raw_Data!C967)</f>
        <v>0</v>
      </c>
      <c r="C964" s="12" t="str">
        <f>IF(Raw_Data!G967="","",Raw_Data!G967)</f>
        <v/>
      </c>
      <c r="D964" s="12" t="str">
        <f>IF(Raw_Data!H967="","",Raw_Data!H967)</f>
        <v/>
      </c>
      <c r="E964" s="12" t="str">
        <f>IF(Raw_Data!I967="","",Raw_Data!I967)</f>
        <v/>
      </c>
      <c r="F964" s="12" t="str">
        <f>IF(Raw_Data!J967="","",Raw_Data!J967)</f>
        <v/>
      </c>
      <c r="G964" s="12" t="str">
        <f>IF(Raw_Data!AH967&lt;&gt;"",Raw_Data!AH967,IF(Raw_Data!K967&lt;&gt;"",Raw_Data!K967,""))</f>
        <v/>
      </c>
      <c r="H964" s="12" t="str">
        <f>IF(Raw_Data!AI967&lt;&gt;"",Raw_Data!AI967,IF(Raw_Data!L967&lt;&gt;"",Raw_Data!L967,""))</f>
        <v/>
      </c>
      <c r="I964" s="12" t="str">
        <f t="shared" si="135"/>
        <v/>
      </c>
      <c r="J964" s="12" t="str">
        <f>IF(Raw_Data!M967="","",Raw_Data!M967)</f>
        <v/>
      </c>
      <c r="K964" s="12">
        <f>IF(Raw_Data!AJ967&lt;&gt;"",Raw_Data!AJ967,Raw_Data!N967)</f>
        <v>0</v>
      </c>
      <c r="L964" s="12">
        <f t="shared" si="136"/>
        <v>1</v>
      </c>
      <c r="M964" s="12" t="str">
        <f>IF(Raw_Data!AK967="","",Raw_Data!AK967)</f>
        <v/>
      </c>
      <c r="N964" s="12" t="str">
        <f>IF(Raw_Data!T967="","",Raw_Data!T967)</f>
        <v/>
      </c>
      <c r="O964" s="12" t="str">
        <f>IF(Raw_Data!AB967&lt;&gt;"",Raw_Data!AB967,IF(N964="tres_insatisfait",1,IF(N964="insatisfait",2,IF(N964="neutre",3,IF(N964="satisfait",4,IF(N964="tres_satisfait",5,""))))))</f>
        <v/>
      </c>
      <c r="P964" s="12">
        <f>IF(Raw_Data!AL967&lt;&gt;"",Raw_Data!AL967,Raw_Data!R967)</f>
        <v>0</v>
      </c>
      <c r="Q964" s="12">
        <f t="shared" si="137"/>
        <v>0</v>
      </c>
      <c r="R964" s="12" t="str">
        <f>IF(Raw_Data!AM967="","",Raw_Data!AM967)</f>
        <v/>
      </c>
      <c r="S964" s="12" t="str">
        <f t="shared" si="138"/>
        <v/>
      </c>
      <c r="T964" s="12" t="str">
        <f>IF(Raw_Data!AN967="","",Raw_Data!AN967)</f>
        <v/>
      </c>
      <c r="U964" s="12" t="str">
        <f t="shared" si="139"/>
        <v/>
      </c>
      <c r="V964" s="12" t="str">
        <f>IF(Raw_Data!AP967="","",IF(Raw_Data!AP967="oui",1,0))</f>
        <v/>
      </c>
      <c r="W964" s="12" t="str">
        <f>IF(Raw_Data!AQ967="","",IF(Raw_Data!AQ967="oui",1,0))</f>
        <v/>
      </c>
      <c r="X964" s="12" t="str">
        <f>IF(Raw_Data!AR967="","",IF(Raw_Data!AR967="oui",1,0))</f>
        <v/>
      </c>
      <c r="Y964" s="12" t="str">
        <f>IF(Raw_Data!AS967="","",IF(Raw_Data!AS967="oui",1,0))</f>
        <v/>
      </c>
      <c r="Z964" s="12" t="str">
        <f>IF(Raw_Data!V967="","",IF(Raw_Data!V967="oui",1,0))</f>
        <v/>
      </c>
      <c r="AA964" s="12" t="str">
        <f>IF(Raw_Data!W967="","",IF(Raw_Data!W967="oui",1,0))</f>
        <v/>
      </c>
      <c r="AB964" s="12" t="str">
        <f>IF(Raw_Data!Q967="","",IF(Raw_Data!Q967="oui",1,0))</f>
        <v/>
      </c>
      <c r="AC964" s="12">
        <f>Raw_Data!AF967</f>
        <v>0</v>
      </c>
      <c r="AD964" s="12" t="str">
        <f t="shared" si="140"/>
        <v/>
      </c>
      <c r="AE964" s="12" t="str">
        <f t="shared" si="141"/>
        <v/>
      </c>
      <c r="AF964" s="12" t="str">
        <f t="shared" si="142"/>
        <v/>
      </c>
      <c r="AG964" s="12">
        <f t="shared" si="143"/>
        <v>0</v>
      </c>
    </row>
    <row r="965" spans="1:33" ht="15" customHeight="1" x14ac:dyDescent="0.25">
      <c r="A965" s="12" t="str">
        <f>IF(Raw_Data!B968="","",Raw_Data!B968)</f>
        <v/>
      </c>
      <c r="B965" s="12">
        <f>IF(Raw_Data!X968&lt;&gt;"",Raw_Data!X968,Raw_Data!C968)</f>
        <v>0</v>
      </c>
      <c r="C965" s="12" t="str">
        <f>IF(Raw_Data!G968="","",Raw_Data!G968)</f>
        <v/>
      </c>
      <c r="D965" s="12" t="str">
        <f>IF(Raw_Data!H968="","",Raw_Data!H968)</f>
        <v/>
      </c>
      <c r="E965" s="12" t="str">
        <f>IF(Raw_Data!I968="","",Raw_Data!I968)</f>
        <v/>
      </c>
      <c r="F965" s="12" t="str">
        <f>IF(Raw_Data!J968="","",Raw_Data!J968)</f>
        <v/>
      </c>
      <c r="G965" s="12" t="str">
        <f>IF(Raw_Data!AH968&lt;&gt;"",Raw_Data!AH968,IF(Raw_Data!K968&lt;&gt;"",Raw_Data!K968,""))</f>
        <v/>
      </c>
      <c r="H965" s="12" t="str">
        <f>IF(Raw_Data!AI968&lt;&gt;"",Raw_Data!AI968,IF(Raw_Data!L968&lt;&gt;"",Raw_Data!L968,""))</f>
        <v/>
      </c>
      <c r="I965" s="12" t="str">
        <f t="shared" si="135"/>
        <v/>
      </c>
      <c r="J965" s="12" t="str">
        <f>IF(Raw_Data!M968="","",Raw_Data!M968)</f>
        <v/>
      </c>
      <c r="K965" s="12">
        <f>IF(Raw_Data!AJ968&lt;&gt;"",Raw_Data!AJ968,Raw_Data!N968)</f>
        <v>0</v>
      </c>
      <c r="L965" s="12">
        <f t="shared" si="136"/>
        <v>1</v>
      </c>
      <c r="M965" s="12" t="str">
        <f>IF(Raw_Data!AK968="","",Raw_Data!AK968)</f>
        <v/>
      </c>
      <c r="N965" s="12" t="str">
        <f>IF(Raw_Data!T968="","",Raw_Data!T968)</f>
        <v/>
      </c>
      <c r="O965" s="12" t="str">
        <f>IF(Raw_Data!AB968&lt;&gt;"",Raw_Data!AB968,IF(N965="tres_insatisfait",1,IF(N965="insatisfait",2,IF(N965="neutre",3,IF(N965="satisfait",4,IF(N965="tres_satisfait",5,""))))))</f>
        <v/>
      </c>
      <c r="P965" s="12">
        <f>IF(Raw_Data!AL968&lt;&gt;"",Raw_Data!AL968,Raw_Data!R968)</f>
        <v>0</v>
      </c>
      <c r="Q965" s="12">
        <f t="shared" si="137"/>
        <v>0</v>
      </c>
      <c r="R965" s="12" t="str">
        <f>IF(Raw_Data!AM968="","",Raw_Data!AM968)</f>
        <v/>
      </c>
      <c r="S965" s="12" t="str">
        <f t="shared" si="138"/>
        <v/>
      </c>
      <c r="T965" s="12" t="str">
        <f>IF(Raw_Data!AN968="","",Raw_Data!AN968)</f>
        <v/>
      </c>
      <c r="U965" s="12" t="str">
        <f t="shared" si="139"/>
        <v/>
      </c>
      <c r="V965" s="12" t="str">
        <f>IF(Raw_Data!AP968="","",IF(Raw_Data!AP968="oui",1,0))</f>
        <v/>
      </c>
      <c r="W965" s="12" t="str">
        <f>IF(Raw_Data!AQ968="","",IF(Raw_Data!AQ968="oui",1,0))</f>
        <v/>
      </c>
      <c r="X965" s="12" t="str">
        <f>IF(Raw_Data!AR968="","",IF(Raw_Data!AR968="oui",1,0))</f>
        <v/>
      </c>
      <c r="Y965" s="12" t="str">
        <f>IF(Raw_Data!AS968="","",IF(Raw_Data!AS968="oui",1,0))</f>
        <v/>
      </c>
      <c r="Z965" s="12" t="str">
        <f>IF(Raw_Data!V968="","",IF(Raw_Data!V968="oui",1,0))</f>
        <v/>
      </c>
      <c r="AA965" s="12" t="str">
        <f>IF(Raw_Data!W968="","",IF(Raw_Data!W968="oui",1,0))</f>
        <v/>
      </c>
      <c r="AB965" s="12" t="str">
        <f>IF(Raw_Data!Q968="","",IF(Raw_Data!Q968="oui",1,0))</f>
        <v/>
      </c>
      <c r="AC965" s="12">
        <f>Raw_Data!AF968</f>
        <v>0</v>
      </c>
      <c r="AD965" s="12" t="str">
        <f t="shared" si="140"/>
        <v/>
      </c>
      <c r="AE965" s="12" t="str">
        <f t="shared" si="141"/>
        <v/>
      </c>
      <c r="AF965" s="12" t="str">
        <f t="shared" si="142"/>
        <v/>
      </c>
      <c r="AG965" s="12">
        <f t="shared" si="143"/>
        <v>0</v>
      </c>
    </row>
    <row r="966" spans="1:33" ht="15" customHeight="1" x14ac:dyDescent="0.25">
      <c r="A966" s="12" t="str">
        <f>IF(Raw_Data!B969="","",Raw_Data!B969)</f>
        <v/>
      </c>
      <c r="B966" s="12">
        <f>IF(Raw_Data!X969&lt;&gt;"",Raw_Data!X969,Raw_Data!C969)</f>
        <v>0</v>
      </c>
      <c r="C966" s="12" t="str">
        <f>IF(Raw_Data!G969="","",Raw_Data!G969)</f>
        <v/>
      </c>
      <c r="D966" s="12" t="str">
        <f>IF(Raw_Data!H969="","",Raw_Data!H969)</f>
        <v/>
      </c>
      <c r="E966" s="12" t="str">
        <f>IF(Raw_Data!I969="","",Raw_Data!I969)</f>
        <v/>
      </c>
      <c r="F966" s="12" t="str">
        <f>IF(Raw_Data!J969="","",Raw_Data!J969)</f>
        <v/>
      </c>
      <c r="G966" s="12" t="str">
        <f>IF(Raw_Data!AH969&lt;&gt;"",Raw_Data!AH969,IF(Raw_Data!K969&lt;&gt;"",Raw_Data!K969,""))</f>
        <v/>
      </c>
      <c r="H966" s="12" t="str">
        <f>IF(Raw_Data!AI969&lt;&gt;"",Raw_Data!AI969,IF(Raw_Data!L969&lt;&gt;"",Raw_Data!L969,""))</f>
        <v/>
      </c>
      <c r="I966" s="12" t="str">
        <f t="shared" si="135"/>
        <v/>
      </c>
      <c r="J966" s="12" t="str">
        <f>IF(Raw_Data!M969="","",Raw_Data!M969)</f>
        <v/>
      </c>
      <c r="K966" s="12">
        <f>IF(Raw_Data!AJ969&lt;&gt;"",Raw_Data!AJ969,Raw_Data!N969)</f>
        <v>0</v>
      </c>
      <c r="L966" s="12">
        <f t="shared" si="136"/>
        <v>1</v>
      </c>
      <c r="M966" s="12" t="str">
        <f>IF(Raw_Data!AK969="","",Raw_Data!AK969)</f>
        <v/>
      </c>
      <c r="N966" s="12" t="str">
        <f>IF(Raw_Data!T969="","",Raw_Data!T969)</f>
        <v/>
      </c>
      <c r="O966" s="12" t="str">
        <f>IF(Raw_Data!AB969&lt;&gt;"",Raw_Data!AB969,IF(N966="tres_insatisfait",1,IF(N966="insatisfait",2,IF(N966="neutre",3,IF(N966="satisfait",4,IF(N966="tres_satisfait",5,""))))))</f>
        <v/>
      </c>
      <c r="P966" s="12">
        <f>IF(Raw_Data!AL969&lt;&gt;"",Raw_Data!AL969,Raw_Data!R969)</f>
        <v>0</v>
      </c>
      <c r="Q966" s="12">
        <f t="shared" si="137"/>
        <v>0</v>
      </c>
      <c r="R966" s="12" t="str">
        <f>IF(Raw_Data!AM969="","",Raw_Data!AM969)</f>
        <v/>
      </c>
      <c r="S966" s="12" t="str">
        <f t="shared" si="138"/>
        <v/>
      </c>
      <c r="T966" s="12" t="str">
        <f>IF(Raw_Data!AN969="","",Raw_Data!AN969)</f>
        <v/>
      </c>
      <c r="U966" s="12" t="str">
        <f t="shared" si="139"/>
        <v/>
      </c>
      <c r="V966" s="12" t="str">
        <f>IF(Raw_Data!AP969="","",IF(Raw_Data!AP969="oui",1,0))</f>
        <v/>
      </c>
      <c r="W966" s="12" t="str">
        <f>IF(Raw_Data!AQ969="","",IF(Raw_Data!AQ969="oui",1,0))</f>
        <v/>
      </c>
      <c r="X966" s="12" t="str">
        <f>IF(Raw_Data!AR969="","",IF(Raw_Data!AR969="oui",1,0))</f>
        <v/>
      </c>
      <c r="Y966" s="12" t="str">
        <f>IF(Raw_Data!AS969="","",IF(Raw_Data!AS969="oui",1,0))</f>
        <v/>
      </c>
      <c r="Z966" s="12" t="str">
        <f>IF(Raw_Data!V969="","",IF(Raw_Data!V969="oui",1,0))</f>
        <v/>
      </c>
      <c r="AA966" s="12" t="str">
        <f>IF(Raw_Data!W969="","",IF(Raw_Data!W969="oui",1,0))</f>
        <v/>
      </c>
      <c r="AB966" s="12" t="str">
        <f>IF(Raw_Data!Q969="","",IF(Raw_Data!Q969="oui",1,0))</f>
        <v/>
      </c>
      <c r="AC966" s="12">
        <f>Raw_Data!AF969</f>
        <v>0</v>
      </c>
      <c r="AD966" s="12" t="str">
        <f t="shared" si="140"/>
        <v/>
      </c>
      <c r="AE966" s="12" t="str">
        <f t="shared" si="141"/>
        <v/>
      </c>
      <c r="AF966" s="12" t="str">
        <f t="shared" si="142"/>
        <v/>
      </c>
      <c r="AG966" s="12">
        <f t="shared" si="143"/>
        <v>0</v>
      </c>
    </row>
    <row r="967" spans="1:33" ht="15" customHeight="1" x14ac:dyDescent="0.25">
      <c r="A967" s="12" t="str">
        <f>IF(Raw_Data!B970="","",Raw_Data!B970)</f>
        <v/>
      </c>
      <c r="B967" s="12">
        <f>IF(Raw_Data!X970&lt;&gt;"",Raw_Data!X970,Raw_Data!C970)</f>
        <v>0</v>
      </c>
      <c r="C967" s="12" t="str">
        <f>IF(Raw_Data!G970="","",Raw_Data!G970)</f>
        <v/>
      </c>
      <c r="D967" s="12" t="str">
        <f>IF(Raw_Data!H970="","",Raw_Data!H970)</f>
        <v/>
      </c>
      <c r="E967" s="12" t="str">
        <f>IF(Raw_Data!I970="","",Raw_Data!I970)</f>
        <v/>
      </c>
      <c r="F967" s="12" t="str">
        <f>IF(Raw_Data!J970="","",Raw_Data!J970)</f>
        <v/>
      </c>
      <c r="G967" s="12" t="str">
        <f>IF(Raw_Data!AH970&lt;&gt;"",Raw_Data!AH970,IF(Raw_Data!K970&lt;&gt;"",Raw_Data!K970,""))</f>
        <v/>
      </c>
      <c r="H967" s="12" t="str">
        <f>IF(Raw_Data!AI970&lt;&gt;"",Raw_Data!AI970,IF(Raw_Data!L970&lt;&gt;"",Raw_Data!L970,""))</f>
        <v/>
      </c>
      <c r="I967" s="12" t="str">
        <f t="shared" si="135"/>
        <v/>
      </c>
      <c r="J967" s="12" t="str">
        <f>IF(Raw_Data!M970="","",Raw_Data!M970)</f>
        <v/>
      </c>
      <c r="K967" s="12">
        <f>IF(Raw_Data!AJ970&lt;&gt;"",Raw_Data!AJ970,Raw_Data!N970)</f>
        <v>0</v>
      </c>
      <c r="L967" s="12">
        <f t="shared" si="136"/>
        <v>1</v>
      </c>
      <c r="M967" s="12" t="str">
        <f>IF(Raw_Data!AK970="","",Raw_Data!AK970)</f>
        <v/>
      </c>
      <c r="N967" s="12" t="str">
        <f>IF(Raw_Data!T970="","",Raw_Data!T970)</f>
        <v/>
      </c>
      <c r="O967" s="12" t="str">
        <f>IF(Raw_Data!AB970&lt;&gt;"",Raw_Data!AB970,IF(N967="tres_insatisfait",1,IF(N967="insatisfait",2,IF(N967="neutre",3,IF(N967="satisfait",4,IF(N967="tres_satisfait",5,""))))))</f>
        <v/>
      </c>
      <c r="P967" s="12">
        <f>IF(Raw_Data!AL970&lt;&gt;"",Raw_Data!AL970,Raw_Data!R970)</f>
        <v>0</v>
      </c>
      <c r="Q967" s="12">
        <f t="shared" si="137"/>
        <v>0</v>
      </c>
      <c r="R967" s="12" t="str">
        <f>IF(Raw_Data!AM970="","",Raw_Data!AM970)</f>
        <v/>
      </c>
      <c r="S967" s="12" t="str">
        <f t="shared" si="138"/>
        <v/>
      </c>
      <c r="T967" s="12" t="str">
        <f>IF(Raw_Data!AN970="","",Raw_Data!AN970)</f>
        <v/>
      </c>
      <c r="U967" s="12" t="str">
        <f t="shared" si="139"/>
        <v/>
      </c>
      <c r="V967" s="12" t="str">
        <f>IF(Raw_Data!AP970="","",IF(Raw_Data!AP970="oui",1,0))</f>
        <v/>
      </c>
      <c r="W967" s="12" t="str">
        <f>IF(Raw_Data!AQ970="","",IF(Raw_Data!AQ970="oui",1,0))</f>
        <v/>
      </c>
      <c r="X967" s="12" t="str">
        <f>IF(Raw_Data!AR970="","",IF(Raw_Data!AR970="oui",1,0))</f>
        <v/>
      </c>
      <c r="Y967" s="12" t="str">
        <f>IF(Raw_Data!AS970="","",IF(Raw_Data!AS970="oui",1,0))</f>
        <v/>
      </c>
      <c r="Z967" s="12" t="str">
        <f>IF(Raw_Data!V970="","",IF(Raw_Data!V970="oui",1,0))</f>
        <v/>
      </c>
      <c r="AA967" s="12" t="str">
        <f>IF(Raw_Data!W970="","",IF(Raw_Data!W970="oui",1,0))</f>
        <v/>
      </c>
      <c r="AB967" s="12" t="str">
        <f>IF(Raw_Data!Q970="","",IF(Raw_Data!Q970="oui",1,0))</f>
        <v/>
      </c>
      <c r="AC967" s="12">
        <f>Raw_Data!AF970</f>
        <v>0</v>
      </c>
      <c r="AD967" s="12" t="str">
        <f t="shared" si="140"/>
        <v/>
      </c>
      <c r="AE967" s="12" t="str">
        <f t="shared" si="141"/>
        <v/>
      </c>
      <c r="AF967" s="12" t="str">
        <f t="shared" si="142"/>
        <v/>
      </c>
      <c r="AG967" s="12">
        <f t="shared" si="143"/>
        <v>0</v>
      </c>
    </row>
    <row r="968" spans="1:33" ht="15" customHeight="1" x14ac:dyDescent="0.25">
      <c r="A968" s="12" t="str">
        <f>IF(Raw_Data!B971="","",Raw_Data!B971)</f>
        <v/>
      </c>
      <c r="B968" s="12">
        <f>IF(Raw_Data!X971&lt;&gt;"",Raw_Data!X971,Raw_Data!C971)</f>
        <v>0</v>
      </c>
      <c r="C968" s="12" t="str">
        <f>IF(Raw_Data!G971="","",Raw_Data!G971)</f>
        <v/>
      </c>
      <c r="D968" s="12" t="str">
        <f>IF(Raw_Data!H971="","",Raw_Data!H971)</f>
        <v/>
      </c>
      <c r="E968" s="12" t="str">
        <f>IF(Raw_Data!I971="","",Raw_Data!I971)</f>
        <v/>
      </c>
      <c r="F968" s="12" t="str">
        <f>IF(Raw_Data!J971="","",Raw_Data!J971)</f>
        <v/>
      </c>
      <c r="G968" s="12" t="str">
        <f>IF(Raw_Data!AH971&lt;&gt;"",Raw_Data!AH971,IF(Raw_Data!K971&lt;&gt;"",Raw_Data!K971,""))</f>
        <v/>
      </c>
      <c r="H968" s="12" t="str">
        <f>IF(Raw_Data!AI971&lt;&gt;"",Raw_Data!AI971,IF(Raw_Data!L971&lt;&gt;"",Raw_Data!L971,""))</f>
        <v/>
      </c>
      <c r="I968" s="12" t="str">
        <f t="shared" si="135"/>
        <v/>
      </c>
      <c r="J968" s="12" t="str">
        <f>IF(Raw_Data!M971="","",Raw_Data!M971)</f>
        <v/>
      </c>
      <c r="K968" s="12">
        <f>IF(Raw_Data!AJ971&lt;&gt;"",Raw_Data!AJ971,Raw_Data!N971)</f>
        <v>0</v>
      </c>
      <c r="L968" s="12">
        <f t="shared" si="136"/>
        <v>1</v>
      </c>
      <c r="M968" s="12" t="str">
        <f>IF(Raw_Data!AK971="","",Raw_Data!AK971)</f>
        <v/>
      </c>
      <c r="N968" s="12" t="str">
        <f>IF(Raw_Data!T971="","",Raw_Data!T971)</f>
        <v/>
      </c>
      <c r="O968" s="12" t="str">
        <f>IF(Raw_Data!AB971&lt;&gt;"",Raw_Data!AB971,IF(N968="tres_insatisfait",1,IF(N968="insatisfait",2,IF(N968="neutre",3,IF(N968="satisfait",4,IF(N968="tres_satisfait",5,""))))))</f>
        <v/>
      </c>
      <c r="P968" s="12">
        <f>IF(Raw_Data!AL971&lt;&gt;"",Raw_Data!AL971,Raw_Data!R971)</f>
        <v>0</v>
      </c>
      <c r="Q968" s="12">
        <f t="shared" si="137"/>
        <v>0</v>
      </c>
      <c r="R968" s="12" t="str">
        <f>IF(Raw_Data!AM971="","",Raw_Data!AM971)</f>
        <v/>
      </c>
      <c r="S968" s="12" t="str">
        <f t="shared" si="138"/>
        <v/>
      </c>
      <c r="T968" s="12" t="str">
        <f>IF(Raw_Data!AN971="","",Raw_Data!AN971)</f>
        <v/>
      </c>
      <c r="U968" s="12" t="str">
        <f t="shared" si="139"/>
        <v/>
      </c>
      <c r="V968" s="12" t="str">
        <f>IF(Raw_Data!AP971="","",IF(Raw_Data!AP971="oui",1,0))</f>
        <v/>
      </c>
      <c r="W968" s="12" t="str">
        <f>IF(Raw_Data!AQ971="","",IF(Raw_Data!AQ971="oui",1,0))</f>
        <v/>
      </c>
      <c r="X968" s="12" t="str">
        <f>IF(Raw_Data!AR971="","",IF(Raw_Data!AR971="oui",1,0))</f>
        <v/>
      </c>
      <c r="Y968" s="12" t="str">
        <f>IF(Raw_Data!AS971="","",IF(Raw_Data!AS971="oui",1,0))</f>
        <v/>
      </c>
      <c r="Z968" s="12" t="str">
        <f>IF(Raw_Data!V971="","",IF(Raw_Data!V971="oui",1,0))</f>
        <v/>
      </c>
      <c r="AA968" s="12" t="str">
        <f>IF(Raw_Data!W971="","",IF(Raw_Data!W971="oui",1,0))</f>
        <v/>
      </c>
      <c r="AB968" s="12" t="str">
        <f>IF(Raw_Data!Q971="","",IF(Raw_Data!Q971="oui",1,0))</f>
        <v/>
      </c>
      <c r="AC968" s="12">
        <f>Raw_Data!AF971</f>
        <v>0</v>
      </c>
      <c r="AD968" s="12" t="str">
        <f t="shared" si="140"/>
        <v/>
      </c>
      <c r="AE968" s="12" t="str">
        <f t="shared" si="141"/>
        <v/>
      </c>
      <c r="AF968" s="12" t="str">
        <f t="shared" si="142"/>
        <v/>
      </c>
      <c r="AG968" s="12">
        <f t="shared" si="143"/>
        <v>0</v>
      </c>
    </row>
    <row r="969" spans="1:33" ht="15" customHeight="1" x14ac:dyDescent="0.25">
      <c r="A969" s="12" t="str">
        <f>IF(Raw_Data!B972="","",Raw_Data!B972)</f>
        <v/>
      </c>
      <c r="B969" s="12">
        <f>IF(Raw_Data!X972&lt;&gt;"",Raw_Data!X972,Raw_Data!C972)</f>
        <v>0</v>
      </c>
      <c r="C969" s="12" t="str">
        <f>IF(Raw_Data!G972="","",Raw_Data!G972)</f>
        <v/>
      </c>
      <c r="D969" s="12" t="str">
        <f>IF(Raw_Data!H972="","",Raw_Data!H972)</f>
        <v/>
      </c>
      <c r="E969" s="12" t="str">
        <f>IF(Raw_Data!I972="","",Raw_Data!I972)</f>
        <v/>
      </c>
      <c r="F969" s="12" t="str">
        <f>IF(Raw_Data!J972="","",Raw_Data!J972)</f>
        <v/>
      </c>
      <c r="G969" s="12" t="str">
        <f>IF(Raw_Data!AH972&lt;&gt;"",Raw_Data!AH972,IF(Raw_Data!K972&lt;&gt;"",Raw_Data!K972,""))</f>
        <v/>
      </c>
      <c r="H969" s="12" t="str">
        <f>IF(Raw_Data!AI972&lt;&gt;"",Raw_Data!AI972,IF(Raw_Data!L972&lt;&gt;"",Raw_Data!L972,""))</f>
        <v/>
      </c>
      <c r="I969" s="12" t="str">
        <f t="shared" si="135"/>
        <v/>
      </c>
      <c r="J969" s="12" t="str">
        <f>IF(Raw_Data!M972="","",Raw_Data!M972)</f>
        <v/>
      </c>
      <c r="K969" s="12">
        <f>IF(Raw_Data!AJ972&lt;&gt;"",Raw_Data!AJ972,Raw_Data!N972)</f>
        <v>0</v>
      </c>
      <c r="L969" s="12">
        <f t="shared" si="136"/>
        <v>1</v>
      </c>
      <c r="M969" s="12" t="str">
        <f>IF(Raw_Data!AK972="","",Raw_Data!AK972)</f>
        <v/>
      </c>
      <c r="N969" s="12" t="str">
        <f>IF(Raw_Data!T972="","",Raw_Data!T972)</f>
        <v/>
      </c>
      <c r="O969" s="12" t="str">
        <f>IF(Raw_Data!AB972&lt;&gt;"",Raw_Data!AB972,IF(N969="tres_insatisfait",1,IF(N969="insatisfait",2,IF(N969="neutre",3,IF(N969="satisfait",4,IF(N969="tres_satisfait",5,""))))))</f>
        <v/>
      </c>
      <c r="P969" s="12">
        <f>IF(Raw_Data!AL972&lt;&gt;"",Raw_Data!AL972,Raw_Data!R972)</f>
        <v>0</v>
      </c>
      <c r="Q969" s="12">
        <f t="shared" si="137"/>
        <v>0</v>
      </c>
      <c r="R969" s="12" t="str">
        <f>IF(Raw_Data!AM972="","",Raw_Data!AM972)</f>
        <v/>
      </c>
      <c r="S969" s="12" t="str">
        <f t="shared" si="138"/>
        <v/>
      </c>
      <c r="T969" s="12" t="str">
        <f>IF(Raw_Data!AN972="","",Raw_Data!AN972)</f>
        <v/>
      </c>
      <c r="U969" s="12" t="str">
        <f t="shared" si="139"/>
        <v/>
      </c>
      <c r="V969" s="12" t="str">
        <f>IF(Raw_Data!AP972="","",IF(Raw_Data!AP972="oui",1,0))</f>
        <v/>
      </c>
      <c r="W969" s="12" t="str">
        <f>IF(Raw_Data!AQ972="","",IF(Raw_Data!AQ972="oui",1,0))</f>
        <v/>
      </c>
      <c r="X969" s="12" t="str">
        <f>IF(Raw_Data!AR972="","",IF(Raw_Data!AR972="oui",1,0))</f>
        <v/>
      </c>
      <c r="Y969" s="12" t="str">
        <f>IF(Raw_Data!AS972="","",IF(Raw_Data!AS972="oui",1,0))</f>
        <v/>
      </c>
      <c r="Z969" s="12" t="str">
        <f>IF(Raw_Data!V972="","",IF(Raw_Data!V972="oui",1,0))</f>
        <v/>
      </c>
      <c r="AA969" s="12" t="str">
        <f>IF(Raw_Data!W972="","",IF(Raw_Data!W972="oui",1,0))</f>
        <v/>
      </c>
      <c r="AB969" s="12" t="str">
        <f>IF(Raw_Data!Q972="","",IF(Raw_Data!Q972="oui",1,0))</f>
        <v/>
      </c>
      <c r="AC969" s="12">
        <f>Raw_Data!AF972</f>
        <v>0</v>
      </c>
      <c r="AD969" s="12" t="str">
        <f t="shared" si="140"/>
        <v/>
      </c>
      <c r="AE969" s="12" t="str">
        <f t="shared" si="141"/>
        <v/>
      </c>
      <c r="AF969" s="12" t="str">
        <f t="shared" si="142"/>
        <v/>
      </c>
      <c r="AG969" s="12">
        <f t="shared" si="143"/>
        <v>0</v>
      </c>
    </row>
    <row r="970" spans="1:33" ht="15" customHeight="1" x14ac:dyDescent="0.25">
      <c r="A970" s="12" t="str">
        <f>IF(Raw_Data!B973="","",Raw_Data!B973)</f>
        <v/>
      </c>
      <c r="B970" s="12">
        <f>IF(Raw_Data!X973&lt;&gt;"",Raw_Data!X973,Raw_Data!C973)</f>
        <v>0</v>
      </c>
      <c r="C970" s="12" t="str">
        <f>IF(Raw_Data!G973="","",Raw_Data!G973)</f>
        <v/>
      </c>
      <c r="D970" s="12" t="str">
        <f>IF(Raw_Data!H973="","",Raw_Data!H973)</f>
        <v/>
      </c>
      <c r="E970" s="12" t="str">
        <f>IF(Raw_Data!I973="","",Raw_Data!I973)</f>
        <v/>
      </c>
      <c r="F970" s="12" t="str">
        <f>IF(Raw_Data!J973="","",Raw_Data!J973)</f>
        <v/>
      </c>
      <c r="G970" s="12" t="str">
        <f>IF(Raw_Data!AH973&lt;&gt;"",Raw_Data!AH973,IF(Raw_Data!K973&lt;&gt;"",Raw_Data!K973,""))</f>
        <v/>
      </c>
      <c r="H970" s="12" t="str">
        <f>IF(Raw_Data!AI973&lt;&gt;"",Raw_Data!AI973,IF(Raw_Data!L973&lt;&gt;"",Raw_Data!L973,""))</f>
        <v/>
      </c>
      <c r="I970" s="12" t="str">
        <f t="shared" si="135"/>
        <v/>
      </c>
      <c r="J970" s="12" t="str">
        <f>IF(Raw_Data!M973="","",Raw_Data!M973)</f>
        <v/>
      </c>
      <c r="K970" s="12">
        <f>IF(Raw_Data!AJ973&lt;&gt;"",Raw_Data!AJ973,Raw_Data!N973)</f>
        <v>0</v>
      </c>
      <c r="L970" s="12">
        <f t="shared" si="136"/>
        <v>1</v>
      </c>
      <c r="M970" s="12" t="str">
        <f>IF(Raw_Data!AK973="","",Raw_Data!AK973)</f>
        <v/>
      </c>
      <c r="N970" s="12" t="str">
        <f>IF(Raw_Data!T973="","",Raw_Data!T973)</f>
        <v/>
      </c>
      <c r="O970" s="12" t="str">
        <f>IF(Raw_Data!AB973&lt;&gt;"",Raw_Data!AB973,IF(N970="tres_insatisfait",1,IF(N970="insatisfait",2,IF(N970="neutre",3,IF(N970="satisfait",4,IF(N970="tres_satisfait",5,""))))))</f>
        <v/>
      </c>
      <c r="P970" s="12">
        <f>IF(Raw_Data!AL973&lt;&gt;"",Raw_Data!AL973,Raw_Data!R973)</f>
        <v>0</v>
      </c>
      <c r="Q970" s="12">
        <f t="shared" si="137"/>
        <v>0</v>
      </c>
      <c r="R970" s="12" t="str">
        <f>IF(Raw_Data!AM973="","",Raw_Data!AM973)</f>
        <v/>
      </c>
      <c r="S970" s="12" t="str">
        <f t="shared" si="138"/>
        <v/>
      </c>
      <c r="T970" s="12" t="str">
        <f>IF(Raw_Data!AN973="","",Raw_Data!AN973)</f>
        <v/>
      </c>
      <c r="U970" s="12" t="str">
        <f t="shared" si="139"/>
        <v/>
      </c>
      <c r="V970" s="12" t="str">
        <f>IF(Raw_Data!AP973="","",IF(Raw_Data!AP973="oui",1,0))</f>
        <v/>
      </c>
      <c r="W970" s="12" t="str">
        <f>IF(Raw_Data!AQ973="","",IF(Raw_Data!AQ973="oui",1,0))</f>
        <v/>
      </c>
      <c r="X970" s="12" t="str">
        <f>IF(Raw_Data!AR973="","",IF(Raw_Data!AR973="oui",1,0))</f>
        <v/>
      </c>
      <c r="Y970" s="12" t="str">
        <f>IF(Raw_Data!AS973="","",IF(Raw_Data!AS973="oui",1,0))</f>
        <v/>
      </c>
      <c r="Z970" s="12" t="str">
        <f>IF(Raw_Data!V973="","",IF(Raw_Data!V973="oui",1,0))</f>
        <v/>
      </c>
      <c r="AA970" s="12" t="str">
        <f>IF(Raw_Data!W973="","",IF(Raw_Data!W973="oui",1,0))</f>
        <v/>
      </c>
      <c r="AB970" s="12" t="str">
        <f>IF(Raw_Data!Q973="","",IF(Raw_Data!Q973="oui",1,0))</f>
        <v/>
      </c>
      <c r="AC970" s="12">
        <f>Raw_Data!AF973</f>
        <v>0</v>
      </c>
      <c r="AD970" s="12" t="str">
        <f t="shared" si="140"/>
        <v/>
      </c>
      <c r="AE970" s="12" t="str">
        <f t="shared" si="141"/>
        <v/>
      </c>
      <c r="AF970" s="12" t="str">
        <f t="shared" si="142"/>
        <v/>
      </c>
      <c r="AG970" s="12">
        <f t="shared" si="143"/>
        <v>0</v>
      </c>
    </row>
    <row r="971" spans="1:33" ht="15" customHeight="1" x14ac:dyDescent="0.25">
      <c r="A971" s="12" t="str">
        <f>IF(Raw_Data!B974="","",Raw_Data!B974)</f>
        <v/>
      </c>
      <c r="B971" s="12">
        <f>IF(Raw_Data!X974&lt;&gt;"",Raw_Data!X974,Raw_Data!C974)</f>
        <v>0</v>
      </c>
      <c r="C971" s="12" t="str">
        <f>IF(Raw_Data!G974="","",Raw_Data!G974)</f>
        <v/>
      </c>
      <c r="D971" s="12" t="str">
        <f>IF(Raw_Data!H974="","",Raw_Data!H974)</f>
        <v/>
      </c>
      <c r="E971" s="12" t="str">
        <f>IF(Raw_Data!I974="","",Raw_Data!I974)</f>
        <v/>
      </c>
      <c r="F971" s="12" t="str">
        <f>IF(Raw_Data!J974="","",Raw_Data!J974)</f>
        <v/>
      </c>
      <c r="G971" s="12" t="str">
        <f>IF(Raw_Data!AH974&lt;&gt;"",Raw_Data!AH974,IF(Raw_Data!K974&lt;&gt;"",Raw_Data!K974,""))</f>
        <v/>
      </c>
      <c r="H971" s="12" t="str">
        <f>IF(Raw_Data!AI974&lt;&gt;"",Raw_Data!AI974,IF(Raw_Data!L974&lt;&gt;"",Raw_Data!L974,""))</f>
        <v/>
      </c>
      <c r="I971" s="12" t="str">
        <f t="shared" si="135"/>
        <v/>
      </c>
      <c r="J971" s="12" t="str">
        <f>IF(Raw_Data!M974="","",Raw_Data!M974)</f>
        <v/>
      </c>
      <c r="K971" s="12">
        <f>IF(Raw_Data!AJ974&lt;&gt;"",Raw_Data!AJ974,Raw_Data!N974)</f>
        <v>0</v>
      </c>
      <c r="L971" s="12">
        <f t="shared" si="136"/>
        <v>1</v>
      </c>
      <c r="M971" s="12" t="str">
        <f>IF(Raw_Data!AK974="","",Raw_Data!AK974)</f>
        <v/>
      </c>
      <c r="N971" s="12" t="str">
        <f>IF(Raw_Data!T974="","",Raw_Data!T974)</f>
        <v/>
      </c>
      <c r="O971" s="12" t="str">
        <f>IF(Raw_Data!AB974&lt;&gt;"",Raw_Data!AB974,IF(N971="tres_insatisfait",1,IF(N971="insatisfait",2,IF(N971="neutre",3,IF(N971="satisfait",4,IF(N971="tres_satisfait",5,""))))))</f>
        <v/>
      </c>
      <c r="P971" s="12">
        <f>IF(Raw_Data!AL974&lt;&gt;"",Raw_Data!AL974,Raw_Data!R974)</f>
        <v>0</v>
      </c>
      <c r="Q971" s="12">
        <f t="shared" si="137"/>
        <v>0</v>
      </c>
      <c r="R971" s="12" t="str">
        <f>IF(Raw_Data!AM974="","",Raw_Data!AM974)</f>
        <v/>
      </c>
      <c r="S971" s="12" t="str">
        <f t="shared" si="138"/>
        <v/>
      </c>
      <c r="T971" s="12" t="str">
        <f>IF(Raw_Data!AN974="","",Raw_Data!AN974)</f>
        <v/>
      </c>
      <c r="U971" s="12" t="str">
        <f t="shared" si="139"/>
        <v/>
      </c>
      <c r="V971" s="12" t="str">
        <f>IF(Raw_Data!AP974="","",IF(Raw_Data!AP974="oui",1,0))</f>
        <v/>
      </c>
      <c r="W971" s="12" t="str">
        <f>IF(Raw_Data!AQ974="","",IF(Raw_Data!AQ974="oui",1,0))</f>
        <v/>
      </c>
      <c r="X971" s="12" t="str">
        <f>IF(Raw_Data!AR974="","",IF(Raw_Data!AR974="oui",1,0))</f>
        <v/>
      </c>
      <c r="Y971" s="12" t="str">
        <f>IF(Raw_Data!AS974="","",IF(Raw_Data!AS974="oui",1,0))</f>
        <v/>
      </c>
      <c r="Z971" s="12" t="str">
        <f>IF(Raw_Data!V974="","",IF(Raw_Data!V974="oui",1,0))</f>
        <v/>
      </c>
      <c r="AA971" s="12" t="str">
        <f>IF(Raw_Data!W974="","",IF(Raw_Data!W974="oui",1,0))</f>
        <v/>
      </c>
      <c r="AB971" s="12" t="str">
        <f>IF(Raw_Data!Q974="","",IF(Raw_Data!Q974="oui",1,0))</f>
        <v/>
      </c>
      <c r="AC971" s="12">
        <f>Raw_Data!AF974</f>
        <v>0</v>
      </c>
      <c r="AD971" s="12" t="str">
        <f t="shared" si="140"/>
        <v/>
      </c>
      <c r="AE971" s="12" t="str">
        <f t="shared" si="141"/>
        <v/>
      </c>
      <c r="AF971" s="12" t="str">
        <f t="shared" si="142"/>
        <v/>
      </c>
      <c r="AG971" s="12">
        <f t="shared" si="143"/>
        <v>0</v>
      </c>
    </row>
    <row r="972" spans="1:33" ht="15" customHeight="1" x14ac:dyDescent="0.25">
      <c r="A972" s="12" t="str">
        <f>IF(Raw_Data!B975="","",Raw_Data!B975)</f>
        <v/>
      </c>
      <c r="B972" s="12">
        <f>IF(Raw_Data!X975&lt;&gt;"",Raw_Data!X975,Raw_Data!C975)</f>
        <v>0</v>
      </c>
      <c r="C972" s="12" t="str">
        <f>IF(Raw_Data!G975="","",Raw_Data!G975)</f>
        <v/>
      </c>
      <c r="D972" s="12" t="str">
        <f>IF(Raw_Data!H975="","",Raw_Data!H975)</f>
        <v/>
      </c>
      <c r="E972" s="12" t="str">
        <f>IF(Raw_Data!I975="","",Raw_Data!I975)</f>
        <v/>
      </c>
      <c r="F972" s="12" t="str">
        <f>IF(Raw_Data!J975="","",Raw_Data!J975)</f>
        <v/>
      </c>
      <c r="G972" s="12" t="str">
        <f>IF(Raw_Data!AH975&lt;&gt;"",Raw_Data!AH975,IF(Raw_Data!K975&lt;&gt;"",Raw_Data!K975,""))</f>
        <v/>
      </c>
      <c r="H972" s="12" t="str">
        <f>IF(Raw_Data!AI975&lt;&gt;"",Raw_Data!AI975,IF(Raw_Data!L975&lt;&gt;"",Raw_Data!L975,""))</f>
        <v/>
      </c>
      <c r="I972" s="12" t="str">
        <f t="shared" si="135"/>
        <v/>
      </c>
      <c r="J972" s="12" t="str">
        <f>IF(Raw_Data!M975="","",Raw_Data!M975)</f>
        <v/>
      </c>
      <c r="K972" s="12">
        <f>IF(Raw_Data!AJ975&lt;&gt;"",Raw_Data!AJ975,Raw_Data!N975)</f>
        <v>0</v>
      </c>
      <c r="L972" s="12">
        <f t="shared" si="136"/>
        <v>1</v>
      </c>
      <c r="M972" s="12" t="str">
        <f>IF(Raw_Data!AK975="","",Raw_Data!AK975)</f>
        <v/>
      </c>
      <c r="N972" s="12" t="str">
        <f>IF(Raw_Data!T975="","",Raw_Data!T975)</f>
        <v/>
      </c>
      <c r="O972" s="12" t="str">
        <f>IF(Raw_Data!AB975&lt;&gt;"",Raw_Data!AB975,IF(N972="tres_insatisfait",1,IF(N972="insatisfait",2,IF(N972="neutre",3,IF(N972="satisfait",4,IF(N972="tres_satisfait",5,""))))))</f>
        <v/>
      </c>
      <c r="P972" s="12">
        <f>IF(Raw_Data!AL975&lt;&gt;"",Raw_Data!AL975,Raw_Data!R975)</f>
        <v>0</v>
      </c>
      <c r="Q972" s="12">
        <f t="shared" si="137"/>
        <v>0</v>
      </c>
      <c r="R972" s="12" t="str">
        <f>IF(Raw_Data!AM975="","",Raw_Data!AM975)</f>
        <v/>
      </c>
      <c r="S972" s="12" t="str">
        <f t="shared" si="138"/>
        <v/>
      </c>
      <c r="T972" s="12" t="str">
        <f>IF(Raw_Data!AN975="","",Raw_Data!AN975)</f>
        <v/>
      </c>
      <c r="U972" s="12" t="str">
        <f t="shared" si="139"/>
        <v/>
      </c>
      <c r="V972" s="12" t="str">
        <f>IF(Raw_Data!AP975="","",IF(Raw_Data!AP975="oui",1,0))</f>
        <v/>
      </c>
      <c r="W972" s="12" t="str">
        <f>IF(Raw_Data!AQ975="","",IF(Raw_Data!AQ975="oui",1,0))</f>
        <v/>
      </c>
      <c r="X972" s="12" t="str">
        <f>IF(Raw_Data!AR975="","",IF(Raw_Data!AR975="oui",1,0))</f>
        <v/>
      </c>
      <c r="Y972" s="12" t="str">
        <f>IF(Raw_Data!AS975="","",IF(Raw_Data!AS975="oui",1,0))</f>
        <v/>
      </c>
      <c r="Z972" s="12" t="str">
        <f>IF(Raw_Data!V975="","",IF(Raw_Data!V975="oui",1,0))</f>
        <v/>
      </c>
      <c r="AA972" s="12" t="str">
        <f>IF(Raw_Data!W975="","",IF(Raw_Data!W975="oui",1,0))</f>
        <v/>
      </c>
      <c r="AB972" s="12" t="str">
        <f>IF(Raw_Data!Q975="","",IF(Raw_Data!Q975="oui",1,0))</f>
        <v/>
      </c>
      <c r="AC972" s="12">
        <f>Raw_Data!AF975</f>
        <v>0</v>
      </c>
      <c r="AD972" s="12" t="str">
        <f t="shared" si="140"/>
        <v/>
      </c>
      <c r="AE972" s="12" t="str">
        <f t="shared" si="141"/>
        <v/>
      </c>
      <c r="AF972" s="12" t="str">
        <f t="shared" si="142"/>
        <v/>
      </c>
      <c r="AG972" s="12">
        <f t="shared" si="143"/>
        <v>0</v>
      </c>
    </row>
    <row r="973" spans="1:33" ht="15" customHeight="1" x14ac:dyDescent="0.25">
      <c r="A973" s="12" t="str">
        <f>IF(Raw_Data!B976="","",Raw_Data!B976)</f>
        <v/>
      </c>
      <c r="B973" s="12">
        <f>IF(Raw_Data!X976&lt;&gt;"",Raw_Data!X976,Raw_Data!C976)</f>
        <v>0</v>
      </c>
      <c r="C973" s="12" t="str">
        <f>IF(Raw_Data!G976="","",Raw_Data!G976)</f>
        <v/>
      </c>
      <c r="D973" s="12" t="str">
        <f>IF(Raw_Data!H976="","",Raw_Data!H976)</f>
        <v/>
      </c>
      <c r="E973" s="12" t="str">
        <f>IF(Raw_Data!I976="","",Raw_Data!I976)</f>
        <v/>
      </c>
      <c r="F973" s="12" t="str">
        <f>IF(Raw_Data!J976="","",Raw_Data!J976)</f>
        <v/>
      </c>
      <c r="G973" s="12" t="str">
        <f>IF(Raw_Data!AH976&lt;&gt;"",Raw_Data!AH976,IF(Raw_Data!K976&lt;&gt;"",Raw_Data!K976,""))</f>
        <v/>
      </c>
      <c r="H973" s="12" t="str">
        <f>IF(Raw_Data!AI976&lt;&gt;"",Raw_Data!AI976,IF(Raw_Data!L976&lt;&gt;"",Raw_Data!L976,""))</f>
        <v/>
      </c>
      <c r="I973" s="12" t="str">
        <f t="shared" si="135"/>
        <v/>
      </c>
      <c r="J973" s="12" t="str">
        <f>IF(Raw_Data!M976="","",Raw_Data!M976)</f>
        <v/>
      </c>
      <c r="K973" s="12">
        <f>IF(Raw_Data!AJ976&lt;&gt;"",Raw_Data!AJ976,Raw_Data!N976)</f>
        <v>0</v>
      </c>
      <c r="L973" s="12">
        <f t="shared" si="136"/>
        <v>1</v>
      </c>
      <c r="M973" s="12" t="str">
        <f>IF(Raw_Data!AK976="","",Raw_Data!AK976)</f>
        <v/>
      </c>
      <c r="N973" s="12" t="str">
        <f>IF(Raw_Data!T976="","",Raw_Data!T976)</f>
        <v/>
      </c>
      <c r="O973" s="12" t="str">
        <f>IF(Raw_Data!AB976&lt;&gt;"",Raw_Data!AB976,IF(N973="tres_insatisfait",1,IF(N973="insatisfait",2,IF(N973="neutre",3,IF(N973="satisfait",4,IF(N973="tres_satisfait",5,""))))))</f>
        <v/>
      </c>
      <c r="P973" s="12">
        <f>IF(Raw_Data!AL976&lt;&gt;"",Raw_Data!AL976,Raw_Data!R976)</f>
        <v>0</v>
      </c>
      <c r="Q973" s="12">
        <f t="shared" si="137"/>
        <v>0</v>
      </c>
      <c r="R973" s="12" t="str">
        <f>IF(Raw_Data!AM976="","",Raw_Data!AM976)</f>
        <v/>
      </c>
      <c r="S973" s="12" t="str">
        <f t="shared" si="138"/>
        <v/>
      </c>
      <c r="T973" s="12" t="str">
        <f>IF(Raw_Data!AN976="","",Raw_Data!AN976)</f>
        <v/>
      </c>
      <c r="U973" s="12" t="str">
        <f t="shared" si="139"/>
        <v/>
      </c>
      <c r="V973" s="12" t="str">
        <f>IF(Raw_Data!AP976="","",IF(Raw_Data!AP976="oui",1,0))</f>
        <v/>
      </c>
      <c r="W973" s="12" t="str">
        <f>IF(Raw_Data!AQ976="","",IF(Raw_Data!AQ976="oui",1,0))</f>
        <v/>
      </c>
      <c r="X973" s="12" t="str">
        <f>IF(Raw_Data!AR976="","",IF(Raw_Data!AR976="oui",1,0))</f>
        <v/>
      </c>
      <c r="Y973" s="12" t="str">
        <f>IF(Raw_Data!AS976="","",IF(Raw_Data!AS976="oui",1,0))</f>
        <v/>
      </c>
      <c r="Z973" s="12" t="str">
        <f>IF(Raw_Data!V976="","",IF(Raw_Data!V976="oui",1,0))</f>
        <v/>
      </c>
      <c r="AA973" s="12" t="str">
        <f>IF(Raw_Data!W976="","",IF(Raw_Data!W976="oui",1,0))</f>
        <v/>
      </c>
      <c r="AB973" s="12" t="str">
        <f>IF(Raw_Data!Q976="","",IF(Raw_Data!Q976="oui",1,0))</f>
        <v/>
      </c>
      <c r="AC973" s="12">
        <f>Raw_Data!AF976</f>
        <v>0</v>
      </c>
      <c r="AD973" s="12" t="str">
        <f t="shared" si="140"/>
        <v/>
      </c>
      <c r="AE973" s="12" t="str">
        <f t="shared" si="141"/>
        <v/>
      </c>
      <c r="AF973" s="12" t="str">
        <f t="shared" si="142"/>
        <v/>
      </c>
      <c r="AG973" s="12">
        <f t="shared" si="143"/>
        <v>0</v>
      </c>
    </row>
    <row r="974" spans="1:33" ht="15" customHeight="1" x14ac:dyDescent="0.25">
      <c r="A974" s="12" t="str">
        <f>IF(Raw_Data!B977="","",Raw_Data!B977)</f>
        <v/>
      </c>
      <c r="B974" s="12">
        <f>IF(Raw_Data!X977&lt;&gt;"",Raw_Data!X977,Raw_Data!C977)</f>
        <v>0</v>
      </c>
      <c r="C974" s="12" t="str">
        <f>IF(Raw_Data!G977="","",Raw_Data!G977)</f>
        <v/>
      </c>
      <c r="D974" s="12" t="str">
        <f>IF(Raw_Data!H977="","",Raw_Data!H977)</f>
        <v/>
      </c>
      <c r="E974" s="12" t="str">
        <f>IF(Raw_Data!I977="","",Raw_Data!I977)</f>
        <v/>
      </c>
      <c r="F974" s="12" t="str">
        <f>IF(Raw_Data!J977="","",Raw_Data!J977)</f>
        <v/>
      </c>
      <c r="G974" s="12" t="str">
        <f>IF(Raw_Data!AH977&lt;&gt;"",Raw_Data!AH977,IF(Raw_Data!K977&lt;&gt;"",Raw_Data!K977,""))</f>
        <v/>
      </c>
      <c r="H974" s="12" t="str">
        <f>IF(Raw_Data!AI977&lt;&gt;"",Raw_Data!AI977,IF(Raw_Data!L977&lt;&gt;"",Raw_Data!L977,""))</f>
        <v/>
      </c>
      <c r="I974" s="12" t="str">
        <f t="shared" si="135"/>
        <v/>
      </c>
      <c r="J974" s="12" t="str">
        <f>IF(Raw_Data!M977="","",Raw_Data!M977)</f>
        <v/>
      </c>
      <c r="K974" s="12">
        <f>IF(Raw_Data!AJ977&lt;&gt;"",Raw_Data!AJ977,Raw_Data!N977)</f>
        <v>0</v>
      </c>
      <c r="L974" s="12">
        <f t="shared" si="136"/>
        <v>1</v>
      </c>
      <c r="M974" s="12" t="str">
        <f>IF(Raw_Data!AK977="","",Raw_Data!AK977)</f>
        <v/>
      </c>
      <c r="N974" s="12" t="str">
        <f>IF(Raw_Data!T977="","",Raw_Data!T977)</f>
        <v/>
      </c>
      <c r="O974" s="12" t="str">
        <f>IF(Raw_Data!AB977&lt;&gt;"",Raw_Data!AB977,IF(N974="tres_insatisfait",1,IF(N974="insatisfait",2,IF(N974="neutre",3,IF(N974="satisfait",4,IF(N974="tres_satisfait",5,""))))))</f>
        <v/>
      </c>
      <c r="P974" s="12">
        <f>IF(Raw_Data!AL977&lt;&gt;"",Raw_Data!AL977,Raw_Data!R977)</f>
        <v>0</v>
      </c>
      <c r="Q974" s="12">
        <f t="shared" si="137"/>
        <v>0</v>
      </c>
      <c r="R974" s="12" t="str">
        <f>IF(Raw_Data!AM977="","",Raw_Data!AM977)</f>
        <v/>
      </c>
      <c r="S974" s="12" t="str">
        <f t="shared" si="138"/>
        <v/>
      </c>
      <c r="T974" s="12" t="str">
        <f>IF(Raw_Data!AN977="","",Raw_Data!AN977)</f>
        <v/>
      </c>
      <c r="U974" s="12" t="str">
        <f t="shared" si="139"/>
        <v/>
      </c>
      <c r="V974" s="12" t="str">
        <f>IF(Raw_Data!AP977="","",IF(Raw_Data!AP977="oui",1,0))</f>
        <v/>
      </c>
      <c r="W974" s="12" t="str">
        <f>IF(Raw_Data!AQ977="","",IF(Raw_Data!AQ977="oui",1,0))</f>
        <v/>
      </c>
      <c r="X974" s="12" t="str">
        <f>IF(Raw_Data!AR977="","",IF(Raw_Data!AR977="oui",1,0))</f>
        <v/>
      </c>
      <c r="Y974" s="12" t="str">
        <f>IF(Raw_Data!AS977="","",IF(Raw_Data!AS977="oui",1,0))</f>
        <v/>
      </c>
      <c r="Z974" s="12" t="str">
        <f>IF(Raw_Data!V977="","",IF(Raw_Data!V977="oui",1,0))</f>
        <v/>
      </c>
      <c r="AA974" s="12" t="str">
        <f>IF(Raw_Data!W977="","",IF(Raw_Data!W977="oui",1,0))</f>
        <v/>
      </c>
      <c r="AB974" s="12" t="str">
        <f>IF(Raw_Data!Q977="","",IF(Raw_Data!Q977="oui",1,0))</f>
        <v/>
      </c>
      <c r="AC974" s="12">
        <f>Raw_Data!AF977</f>
        <v>0</v>
      </c>
      <c r="AD974" s="12" t="str">
        <f t="shared" si="140"/>
        <v/>
      </c>
      <c r="AE974" s="12" t="str">
        <f t="shared" si="141"/>
        <v/>
      </c>
      <c r="AF974" s="12" t="str">
        <f t="shared" si="142"/>
        <v/>
      </c>
      <c r="AG974" s="12">
        <f t="shared" si="143"/>
        <v>0</v>
      </c>
    </row>
    <row r="975" spans="1:33" ht="15" customHeight="1" x14ac:dyDescent="0.25">
      <c r="A975" s="12" t="str">
        <f>IF(Raw_Data!B978="","",Raw_Data!B978)</f>
        <v/>
      </c>
      <c r="B975" s="12">
        <f>IF(Raw_Data!X978&lt;&gt;"",Raw_Data!X978,Raw_Data!C978)</f>
        <v>0</v>
      </c>
      <c r="C975" s="12" t="str">
        <f>IF(Raw_Data!G978="","",Raw_Data!G978)</f>
        <v/>
      </c>
      <c r="D975" s="12" t="str">
        <f>IF(Raw_Data!H978="","",Raw_Data!H978)</f>
        <v/>
      </c>
      <c r="E975" s="12" t="str">
        <f>IF(Raw_Data!I978="","",Raw_Data!I978)</f>
        <v/>
      </c>
      <c r="F975" s="12" t="str">
        <f>IF(Raw_Data!J978="","",Raw_Data!J978)</f>
        <v/>
      </c>
      <c r="G975" s="12" t="str">
        <f>IF(Raw_Data!AH978&lt;&gt;"",Raw_Data!AH978,IF(Raw_Data!K978&lt;&gt;"",Raw_Data!K978,""))</f>
        <v/>
      </c>
      <c r="H975" s="12" t="str">
        <f>IF(Raw_Data!AI978&lt;&gt;"",Raw_Data!AI978,IF(Raw_Data!L978&lt;&gt;"",Raw_Data!L978,""))</f>
        <v/>
      </c>
      <c r="I975" s="12" t="str">
        <f t="shared" si="135"/>
        <v/>
      </c>
      <c r="J975" s="12" t="str">
        <f>IF(Raw_Data!M978="","",Raw_Data!M978)</f>
        <v/>
      </c>
      <c r="K975" s="12">
        <f>IF(Raw_Data!AJ978&lt;&gt;"",Raw_Data!AJ978,Raw_Data!N978)</f>
        <v>0</v>
      </c>
      <c r="L975" s="12">
        <f t="shared" si="136"/>
        <v>1</v>
      </c>
      <c r="M975" s="12" t="str">
        <f>IF(Raw_Data!AK978="","",Raw_Data!AK978)</f>
        <v/>
      </c>
      <c r="N975" s="12" t="str">
        <f>IF(Raw_Data!T978="","",Raw_Data!T978)</f>
        <v/>
      </c>
      <c r="O975" s="12" t="str">
        <f>IF(Raw_Data!AB978&lt;&gt;"",Raw_Data!AB978,IF(N975="tres_insatisfait",1,IF(N975="insatisfait",2,IF(N975="neutre",3,IF(N975="satisfait",4,IF(N975="tres_satisfait",5,""))))))</f>
        <v/>
      </c>
      <c r="P975" s="12">
        <f>IF(Raw_Data!AL978&lt;&gt;"",Raw_Data!AL978,Raw_Data!R978)</f>
        <v>0</v>
      </c>
      <c r="Q975" s="12">
        <f t="shared" si="137"/>
        <v>0</v>
      </c>
      <c r="R975" s="12" t="str">
        <f>IF(Raw_Data!AM978="","",Raw_Data!AM978)</f>
        <v/>
      </c>
      <c r="S975" s="12" t="str">
        <f t="shared" si="138"/>
        <v/>
      </c>
      <c r="T975" s="12" t="str">
        <f>IF(Raw_Data!AN978="","",Raw_Data!AN978)</f>
        <v/>
      </c>
      <c r="U975" s="12" t="str">
        <f t="shared" si="139"/>
        <v/>
      </c>
      <c r="V975" s="12" t="str">
        <f>IF(Raw_Data!AP978="","",IF(Raw_Data!AP978="oui",1,0))</f>
        <v/>
      </c>
      <c r="W975" s="12" t="str">
        <f>IF(Raw_Data!AQ978="","",IF(Raw_Data!AQ978="oui",1,0))</f>
        <v/>
      </c>
      <c r="X975" s="12" t="str">
        <f>IF(Raw_Data!AR978="","",IF(Raw_Data!AR978="oui",1,0))</f>
        <v/>
      </c>
      <c r="Y975" s="12" t="str">
        <f>IF(Raw_Data!AS978="","",IF(Raw_Data!AS978="oui",1,0))</f>
        <v/>
      </c>
      <c r="Z975" s="12" t="str">
        <f>IF(Raw_Data!V978="","",IF(Raw_Data!V978="oui",1,0))</f>
        <v/>
      </c>
      <c r="AA975" s="12" t="str">
        <f>IF(Raw_Data!W978="","",IF(Raw_Data!W978="oui",1,0))</f>
        <v/>
      </c>
      <c r="AB975" s="12" t="str">
        <f>IF(Raw_Data!Q978="","",IF(Raw_Data!Q978="oui",1,0))</f>
        <v/>
      </c>
      <c r="AC975" s="12">
        <f>Raw_Data!AF978</f>
        <v>0</v>
      </c>
      <c r="AD975" s="12" t="str">
        <f t="shared" si="140"/>
        <v/>
      </c>
      <c r="AE975" s="12" t="str">
        <f t="shared" si="141"/>
        <v/>
      </c>
      <c r="AF975" s="12" t="str">
        <f t="shared" si="142"/>
        <v/>
      </c>
      <c r="AG975" s="12">
        <f t="shared" si="143"/>
        <v>0</v>
      </c>
    </row>
    <row r="976" spans="1:33" ht="15" customHeight="1" x14ac:dyDescent="0.25">
      <c r="A976" s="12" t="str">
        <f>IF(Raw_Data!B979="","",Raw_Data!B979)</f>
        <v/>
      </c>
      <c r="B976" s="12">
        <f>IF(Raw_Data!X979&lt;&gt;"",Raw_Data!X979,Raw_Data!C979)</f>
        <v>0</v>
      </c>
      <c r="C976" s="12" t="str">
        <f>IF(Raw_Data!G979="","",Raw_Data!G979)</f>
        <v/>
      </c>
      <c r="D976" s="12" t="str">
        <f>IF(Raw_Data!H979="","",Raw_Data!H979)</f>
        <v/>
      </c>
      <c r="E976" s="12" t="str">
        <f>IF(Raw_Data!I979="","",Raw_Data!I979)</f>
        <v/>
      </c>
      <c r="F976" s="12" t="str">
        <f>IF(Raw_Data!J979="","",Raw_Data!J979)</f>
        <v/>
      </c>
      <c r="G976" s="12" t="str">
        <f>IF(Raw_Data!AH979&lt;&gt;"",Raw_Data!AH979,IF(Raw_Data!K979&lt;&gt;"",Raw_Data!K979,""))</f>
        <v/>
      </c>
      <c r="H976" s="12" t="str">
        <f>IF(Raw_Data!AI979&lt;&gt;"",Raw_Data!AI979,IF(Raw_Data!L979&lt;&gt;"",Raw_Data!L979,""))</f>
        <v/>
      </c>
      <c r="I976" s="12" t="str">
        <f t="shared" si="135"/>
        <v/>
      </c>
      <c r="J976" s="12" t="str">
        <f>IF(Raw_Data!M979="","",Raw_Data!M979)</f>
        <v/>
      </c>
      <c r="K976" s="12">
        <f>IF(Raw_Data!AJ979&lt;&gt;"",Raw_Data!AJ979,Raw_Data!N979)</f>
        <v>0</v>
      </c>
      <c r="L976" s="12">
        <f t="shared" si="136"/>
        <v>1</v>
      </c>
      <c r="M976" s="12" t="str">
        <f>IF(Raw_Data!AK979="","",Raw_Data!AK979)</f>
        <v/>
      </c>
      <c r="N976" s="12" t="str">
        <f>IF(Raw_Data!T979="","",Raw_Data!T979)</f>
        <v/>
      </c>
      <c r="O976" s="12" t="str">
        <f>IF(Raw_Data!AB979&lt;&gt;"",Raw_Data!AB979,IF(N976="tres_insatisfait",1,IF(N976="insatisfait",2,IF(N976="neutre",3,IF(N976="satisfait",4,IF(N976="tres_satisfait",5,""))))))</f>
        <v/>
      </c>
      <c r="P976" s="12">
        <f>IF(Raw_Data!AL979&lt;&gt;"",Raw_Data!AL979,Raw_Data!R979)</f>
        <v>0</v>
      </c>
      <c r="Q976" s="12">
        <f t="shared" si="137"/>
        <v>0</v>
      </c>
      <c r="R976" s="12" t="str">
        <f>IF(Raw_Data!AM979="","",Raw_Data!AM979)</f>
        <v/>
      </c>
      <c r="S976" s="12" t="str">
        <f t="shared" si="138"/>
        <v/>
      </c>
      <c r="T976" s="12" t="str">
        <f>IF(Raw_Data!AN979="","",Raw_Data!AN979)</f>
        <v/>
      </c>
      <c r="U976" s="12" t="str">
        <f t="shared" si="139"/>
        <v/>
      </c>
      <c r="V976" s="12" t="str">
        <f>IF(Raw_Data!AP979="","",IF(Raw_Data!AP979="oui",1,0))</f>
        <v/>
      </c>
      <c r="W976" s="12" t="str">
        <f>IF(Raw_Data!AQ979="","",IF(Raw_Data!AQ979="oui",1,0))</f>
        <v/>
      </c>
      <c r="X976" s="12" t="str">
        <f>IF(Raw_Data!AR979="","",IF(Raw_Data!AR979="oui",1,0))</f>
        <v/>
      </c>
      <c r="Y976" s="12" t="str">
        <f>IF(Raw_Data!AS979="","",IF(Raw_Data!AS979="oui",1,0))</f>
        <v/>
      </c>
      <c r="Z976" s="12" t="str">
        <f>IF(Raw_Data!V979="","",IF(Raw_Data!V979="oui",1,0))</f>
        <v/>
      </c>
      <c r="AA976" s="12" t="str">
        <f>IF(Raw_Data!W979="","",IF(Raw_Data!W979="oui",1,0))</f>
        <v/>
      </c>
      <c r="AB976" s="12" t="str">
        <f>IF(Raw_Data!Q979="","",IF(Raw_Data!Q979="oui",1,0))</f>
        <v/>
      </c>
      <c r="AC976" s="12">
        <f>Raw_Data!AF979</f>
        <v>0</v>
      </c>
      <c r="AD976" s="12" t="str">
        <f t="shared" si="140"/>
        <v/>
      </c>
      <c r="AE976" s="12" t="str">
        <f t="shared" si="141"/>
        <v/>
      </c>
      <c r="AF976" s="12" t="str">
        <f t="shared" si="142"/>
        <v/>
      </c>
      <c r="AG976" s="12">
        <f t="shared" si="143"/>
        <v>0</v>
      </c>
    </row>
    <row r="977" spans="1:33" ht="15" customHeight="1" x14ac:dyDescent="0.25">
      <c r="A977" s="12" t="str">
        <f>IF(Raw_Data!B980="","",Raw_Data!B980)</f>
        <v/>
      </c>
      <c r="B977" s="12">
        <f>IF(Raw_Data!X980&lt;&gt;"",Raw_Data!X980,Raw_Data!C980)</f>
        <v>0</v>
      </c>
      <c r="C977" s="12" t="str">
        <f>IF(Raw_Data!G980="","",Raw_Data!G980)</f>
        <v/>
      </c>
      <c r="D977" s="12" t="str">
        <f>IF(Raw_Data!H980="","",Raw_Data!H980)</f>
        <v/>
      </c>
      <c r="E977" s="12" t="str">
        <f>IF(Raw_Data!I980="","",Raw_Data!I980)</f>
        <v/>
      </c>
      <c r="F977" s="12" t="str">
        <f>IF(Raw_Data!J980="","",Raw_Data!J980)</f>
        <v/>
      </c>
      <c r="G977" s="12" t="str">
        <f>IF(Raw_Data!AH980&lt;&gt;"",Raw_Data!AH980,IF(Raw_Data!K980&lt;&gt;"",Raw_Data!K980,""))</f>
        <v/>
      </c>
      <c r="H977" s="12" t="str">
        <f>IF(Raw_Data!AI980&lt;&gt;"",Raw_Data!AI980,IF(Raw_Data!L980&lt;&gt;"",Raw_Data!L980,""))</f>
        <v/>
      </c>
      <c r="I977" s="12" t="str">
        <f t="shared" si="135"/>
        <v/>
      </c>
      <c r="J977" s="12" t="str">
        <f>IF(Raw_Data!M980="","",Raw_Data!M980)</f>
        <v/>
      </c>
      <c r="K977" s="12">
        <f>IF(Raw_Data!AJ980&lt;&gt;"",Raw_Data!AJ980,Raw_Data!N980)</f>
        <v>0</v>
      </c>
      <c r="L977" s="12">
        <f t="shared" si="136"/>
        <v>1</v>
      </c>
      <c r="M977" s="12" t="str">
        <f>IF(Raw_Data!AK980="","",Raw_Data!AK980)</f>
        <v/>
      </c>
      <c r="N977" s="12" t="str">
        <f>IF(Raw_Data!T980="","",Raw_Data!T980)</f>
        <v/>
      </c>
      <c r="O977" s="12" t="str">
        <f>IF(Raw_Data!AB980&lt;&gt;"",Raw_Data!AB980,IF(N977="tres_insatisfait",1,IF(N977="insatisfait",2,IF(N977="neutre",3,IF(N977="satisfait",4,IF(N977="tres_satisfait",5,""))))))</f>
        <v/>
      </c>
      <c r="P977" s="12">
        <f>IF(Raw_Data!AL980&lt;&gt;"",Raw_Data!AL980,Raw_Data!R980)</f>
        <v>0</v>
      </c>
      <c r="Q977" s="12">
        <f t="shared" si="137"/>
        <v>0</v>
      </c>
      <c r="R977" s="12" t="str">
        <f>IF(Raw_Data!AM980="","",Raw_Data!AM980)</f>
        <v/>
      </c>
      <c r="S977" s="12" t="str">
        <f t="shared" si="138"/>
        <v/>
      </c>
      <c r="T977" s="12" t="str">
        <f>IF(Raw_Data!AN980="","",Raw_Data!AN980)</f>
        <v/>
      </c>
      <c r="U977" s="12" t="str">
        <f t="shared" si="139"/>
        <v/>
      </c>
      <c r="V977" s="12" t="str">
        <f>IF(Raw_Data!AP980="","",IF(Raw_Data!AP980="oui",1,0))</f>
        <v/>
      </c>
      <c r="W977" s="12" t="str">
        <f>IF(Raw_Data!AQ980="","",IF(Raw_Data!AQ980="oui",1,0))</f>
        <v/>
      </c>
      <c r="X977" s="12" t="str">
        <f>IF(Raw_Data!AR980="","",IF(Raw_Data!AR980="oui",1,0))</f>
        <v/>
      </c>
      <c r="Y977" s="12" t="str">
        <f>IF(Raw_Data!AS980="","",IF(Raw_Data!AS980="oui",1,0))</f>
        <v/>
      </c>
      <c r="Z977" s="12" t="str">
        <f>IF(Raw_Data!V980="","",IF(Raw_Data!V980="oui",1,0))</f>
        <v/>
      </c>
      <c r="AA977" s="12" t="str">
        <f>IF(Raw_Data!W980="","",IF(Raw_Data!W980="oui",1,0))</f>
        <v/>
      </c>
      <c r="AB977" s="12" t="str">
        <f>IF(Raw_Data!Q980="","",IF(Raw_Data!Q980="oui",1,0))</f>
        <v/>
      </c>
      <c r="AC977" s="12">
        <f>Raw_Data!AF980</f>
        <v>0</v>
      </c>
      <c r="AD977" s="12" t="str">
        <f t="shared" si="140"/>
        <v/>
      </c>
      <c r="AE977" s="12" t="str">
        <f t="shared" si="141"/>
        <v/>
      </c>
      <c r="AF977" s="12" t="str">
        <f t="shared" si="142"/>
        <v/>
      </c>
      <c r="AG977" s="12">
        <f t="shared" si="143"/>
        <v>0</v>
      </c>
    </row>
    <row r="978" spans="1:33" ht="15" customHeight="1" x14ac:dyDescent="0.25">
      <c r="A978" s="12" t="str">
        <f>IF(Raw_Data!B981="","",Raw_Data!B981)</f>
        <v/>
      </c>
      <c r="B978" s="12">
        <f>IF(Raw_Data!X981&lt;&gt;"",Raw_Data!X981,Raw_Data!C981)</f>
        <v>0</v>
      </c>
      <c r="C978" s="12" t="str">
        <f>IF(Raw_Data!G981="","",Raw_Data!G981)</f>
        <v/>
      </c>
      <c r="D978" s="12" t="str">
        <f>IF(Raw_Data!H981="","",Raw_Data!H981)</f>
        <v/>
      </c>
      <c r="E978" s="12" t="str">
        <f>IF(Raw_Data!I981="","",Raw_Data!I981)</f>
        <v/>
      </c>
      <c r="F978" s="12" t="str">
        <f>IF(Raw_Data!J981="","",Raw_Data!J981)</f>
        <v/>
      </c>
      <c r="G978" s="12" t="str">
        <f>IF(Raw_Data!AH981&lt;&gt;"",Raw_Data!AH981,IF(Raw_Data!K981&lt;&gt;"",Raw_Data!K981,""))</f>
        <v/>
      </c>
      <c r="H978" s="12" t="str">
        <f>IF(Raw_Data!AI981&lt;&gt;"",Raw_Data!AI981,IF(Raw_Data!L981&lt;&gt;"",Raw_Data!L981,""))</f>
        <v/>
      </c>
      <c r="I978" s="12" t="str">
        <f t="shared" si="135"/>
        <v/>
      </c>
      <c r="J978" s="12" t="str">
        <f>IF(Raw_Data!M981="","",Raw_Data!M981)</f>
        <v/>
      </c>
      <c r="K978" s="12">
        <f>IF(Raw_Data!AJ981&lt;&gt;"",Raw_Data!AJ981,Raw_Data!N981)</f>
        <v>0</v>
      </c>
      <c r="L978" s="12">
        <f t="shared" si="136"/>
        <v>1</v>
      </c>
      <c r="M978" s="12" t="str">
        <f>IF(Raw_Data!AK981="","",Raw_Data!AK981)</f>
        <v/>
      </c>
      <c r="N978" s="12" t="str">
        <f>IF(Raw_Data!T981="","",Raw_Data!T981)</f>
        <v/>
      </c>
      <c r="O978" s="12" t="str">
        <f>IF(Raw_Data!AB981&lt;&gt;"",Raw_Data!AB981,IF(N978="tres_insatisfait",1,IF(N978="insatisfait",2,IF(N978="neutre",3,IF(N978="satisfait",4,IF(N978="tres_satisfait",5,""))))))</f>
        <v/>
      </c>
      <c r="P978" s="12">
        <f>IF(Raw_Data!AL981&lt;&gt;"",Raw_Data!AL981,Raw_Data!R981)</f>
        <v>0</v>
      </c>
      <c r="Q978" s="12">
        <f t="shared" si="137"/>
        <v>0</v>
      </c>
      <c r="R978" s="12" t="str">
        <f>IF(Raw_Data!AM981="","",Raw_Data!AM981)</f>
        <v/>
      </c>
      <c r="S978" s="12" t="str">
        <f t="shared" si="138"/>
        <v/>
      </c>
      <c r="T978" s="12" t="str">
        <f>IF(Raw_Data!AN981="","",Raw_Data!AN981)</f>
        <v/>
      </c>
      <c r="U978" s="12" t="str">
        <f t="shared" si="139"/>
        <v/>
      </c>
      <c r="V978" s="12" t="str">
        <f>IF(Raw_Data!AP981="","",IF(Raw_Data!AP981="oui",1,0))</f>
        <v/>
      </c>
      <c r="W978" s="12" t="str">
        <f>IF(Raw_Data!AQ981="","",IF(Raw_Data!AQ981="oui",1,0))</f>
        <v/>
      </c>
      <c r="X978" s="12" t="str">
        <f>IF(Raw_Data!AR981="","",IF(Raw_Data!AR981="oui",1,0))</f>
        <v/>
      </c>
      <c r="Y978" s="12" t="str">
        <f>IF(Raw_Data!AS981="","",IF(Raw_Data!AS981="oui",1,0))</f>
        <v/>
      </c>
      <c r="Z978" s="12" t="str">
        <f>IF(Raw_Data!V981="","",IF(Raw_Data!V981="oui",1,0))</f>
        <v/>
      </c>
      <c r="AA978" s="12" t="str">
        <f>IF(Raw_Data!W981="","",IF(Raw_Data!W981="oui",1,0))</f>
        <v/>
      </c>
      <c r="AB978" s="12" t="str">
        <f>IF(Raw_Data!Q981="","",IF(Raw_Data!Q981="oui",1,0))</f>
        <v/>
      </c>
      <c r="AC978" s="12">
        <f>Raw_Data!AF981</f>
        <v>0</v>
      </c>
      <c r="AD978" s="12" t="str">
        <f t="shared" si="140"/>
        <v/>
      </c>
      <c r="AE978" s="12" t="str">
        <f t="shared" si="141"/>
        <v/>
      </c>
      <c r="AF978" s="12" t="str">
        <f t="shared" si="142"/>
        <v/>
      </c>
      <c r="AG978" s="12">
        <f t="shared" si="143"/>
        <v>0</v>
      </c>
    </row>
    <row r="979" spans="1:33" ht="15" customHeight="1" x14ac:dyDescent="0.25">
      <c r="A979" s="12" t="str">
        <f>IF(Raw_Data!B982="","",Raw_Data!B982)</f>
        <v/>
      </c>
      <c r="B979" s="12">
        <f>IF(Raw_Data!X982&lt;&gt;"",Raw_Data!X982,Raw_Data!C982)</f>
        <v>0</v>
      </c>
      <c r="C979" s="12" t="str">
        <f>IF(Raw_Data!G982="","",Raw_Data!G982)</f>
        <v/>
      </c>
      <c r="D979" s="12" t="str">
        <f>IF(Raw_Data!H982="","",Raw_Data!H982)</f>
        <v/>
      </c>
      <c r="E979" s="12" t="str">
        <f>IF(Raw_Data!I982="","",Raw_Data!I982)</f>
        <v/>
      </c>
      <c r="F979" s="12" t="str">
        <f>IF(Raw_Data!J982="","",Raw_Data!J982)</f>
        <v/>
      </c>
      <c r="G979" s="12" t="str">
        <f>IF(Raw_Data!AH982&lt;&gt;"",Raw_Data!AH982,IF(Raw_Data!K982&lt;&gt;"",Raw_Data!K982,""))</f>
        <v/>
      </c>
      <c r="H979" s="12" t="str">
        <f>IF(Raw_Data!AI982&lt;&gt;"",Raw_Data!AI982,IF(Raw_Data!L982&lt;&gt;"",Raw_Data!L982,""))</f>
        <v/>
      </c>
      <c r="I979" s="12" t="str">
        <f t="shared" si="135"/>
        <v/>
      </c>
      <c r="J979" s="12" t="str">
        <f>IF(Raw_Data!M982="","",Raw_Data!M982)</f>
        <v/>
      </c>
      <c r="K979" s="12">
        <f>IF(Raw_Data!AJ982&lt;&gt;"",Raw_Data!AJ982,Raw_Data!N982)</f>
        <v>0</v>
      </c>
      <c r="L979" s="12">
        <f t="shared" si="136"/>
        <v>1</v>
      </c>
      <c r="M979" s="12" t="str">
        <f>IF(Raw_Data!AK982="","",Raw_Data!AK982)</f>
        <v/>
      </c>
      <c r="N979" s="12" t="str">
        <f>IF(Raw_Data!T982="","",Raw_Data!T982)</f>
        <v/>
      </c>
      <c r="O979" s="12" t="str">
        <f>IF(Raw_Data!AB982&lt;&gt;"",Raw_Data!AB982,IF(N979="tres_insatisfait",1,IF(N979="insatisfait",2,IF(N979="neutre",3,IF(N979="satisfait",4,IF(N979="tres_satisfait",5,""))))))</f>
        <v/>
      </c>
      <c r="P979" s="12">
        <f>IF(Raw_Data!AL982&lt;&gt;"",Raw_Data!AL982,Raw_Data!R982)</f>
        <v>0</v>
      </c>
      <c r="Q979" s="12">
        <f t="shared" si="137"/>
        <v>0</v>
      </c>
      <c r="R979" s="12" t="str">
        <f>IF(Raw_Data!AM982="","",Raw_Data!AM982)</f>
        <v/>
      </c>
      <c r="S979" s="12" t="str">
        <f t="shared" si="138"/>
        <v/>
      </c>
      <c r="T979" s="12" t="str">
        <f>IF(Raw_Data!AN982="","",Raw_Data!AN982)</f>
        <v/>
      </c>
      <c r="U979" s="12" t="str">
        <f t="shared" si="139"/>
        <v/>
      </c>
      <c r="V979" s="12" t="str">
        <f>IF(Raw_Data!AP982="","",IF(Raw_Data!AP982="oui",1,0))</f>
        <v/>
      </c>
      <c r="W979" s="12" t="str">
        <f>IF(Raw_Data!AQ982="","",IF(Raw_Data!AQ982="oui",1,0))</f>
        <v/>
      </c>
      <c r="X979" s="12" t="str">
        <f>IF(Raw_Data!AR982="","",IF(Raw_Data!AR982="oui",1,0))</f>
        <v/>
      </c>
      <c r="Y979" s="12" t="str">
        <f>IF(Raw_Data!AS982="","",IF(Raw_Data!AS982="oui",1,0))</f>
        <v/>
      </c>
      <c r="Z979" s="12" t="str">
        <f>IF(Raw_Data!V982="","",IF(Raw_Data!V982="oui",1,0))</f>
        <v/>
      </c>
      <c r="AA979" s="12" t="str">
        <f>IF(Raw_Data!W982="","",IF(Raw_Data!W982="oui",1,0))</f>
        <v/>
      </c>
      <c r="AB979" s="12" t="str">
        <f>IF(Raw_Data!Q982="","",IF(Raw_Data!Q982="oui",1,0))</f>
        <v/>
      </c>
      <c r="AC979" s="12">
        <f>Raw_Data!AF982</f>
        <v>0</v>
      </c>
      <c r="AD979" s="12" t="str">
        <f t="shared" si="140"/>
        <v/>
      </c>
      <c r="AE979" s="12" t="str">
        <f t="shared" si="141"/>
        <v/>
      </c>
      <c r="AF979" s="12" t="str">
        <f t="shared" si="142"/>
        <v/>
      </c>
      <c r="AG979" s="12">
        <f t="shared" si="143"/>
        <v>0</v>
      </c>
    </row>
    <row r="980" spans="1:33" ht="15" customHeight="1" x14ac:dyDescent="0.25">
      <c r="A980" s="12" t="str">
        <f>IF(Raw_Data!B983="","",Raw_Data!B983)</f>
        <v/>
      </c>
      <c r="B980" s="12">
        <f>IF(Raw_Data!X983&lt;&gt;"",Raw_Data!X983,Raw_Data!C983)</f>
        <v>0</v>
      </c>
      <c r="C980" s="12" t="str">
        <f>IF(Raw_Data!G983="","",Raw_Data!G983)</f>
        <v/>
      </c>
      <c r="D980" s="12" t="str">
        <f>IF(Raw_Data!H983="","",Raw_Data!H983)</f>
        <v/>
      </c>
      <c r="E980" s="12" t="str">
        <f>IF(Raw_Data!I983="","",Raw_Data!I983)</f>
        <v/>
      </c>
      <c r="F980" s="12" t="str">
        <f>IF(Raw_Data!J983="","",Raw_Data!J983)</f>
        <v/>
      </c>
      <c r="G980" s="12" t="str">
        <f>IF(Raw_Data!AH983&lt;&gt;"",Raw_Data!AH983,IF(Raw_Data!K983&lt;&gt;"",Raw_Data!K983,""))</f>
        <v/>
      </c>
      <c r="H980" s="12" t="str">
        <f>IF(Raw_Data!AI983&lt;&gt;"",Raw_Data!AI983,IF(Raw_Data!L983&lt;&gt;"",Raw_Data!L983,""))</f>
        <v/>
      </c>
      <c r="I980" s="12" t="str">
        <f t="shared" si="135"/>
        <v/>
      </c>
      <c r="J980" s="12" t="str">
        <f>IF(Raw_Data!M983="","",Raw_Data!M983)</f>
        <v/>
      </c>
      <c r="K980" s="12">
        <f>IF(Raw_Data!AJ983&lt;&gt;"",Raw_Data!AJ983,Raw_Data!N983)</f>
        <v>0</v>
      </c>
      <c r="L980" s="12">
        <f t="shared" si="136"/>
        <v>1</v>
      </c>
      <c r="M980" s="12" t="str">
        <f>IF(Raw_Data!AK983="","",Raw_Data!AK983)</f>
        <v/>
      </c>
      <c r="N980" s="12" t="str">
        <f>IF(Raw_Data!T983="","",Raw_Data!T983)</f>
        <v/>
      </c>
      <c r="O980" s="12" t="str">
        <f>IF(Raw_Data!AB983&lt;&gt;"",Raw_Data!AB983,IF(N980="tres_insatisfait",1,IF(N980="insatisfait",2,IF(N980="neutre",3,IF(N980="satisfait",4,IF(N980="tres_satisfait",5,""))))))</f>
        <v/>
      </c>
      <c r="P980" s="12">
        <f>IF(Raw_Data!AL983&lt;&gt;"",Raw_Data!AL983,Raw_Data!R983)</f>
        <v>0</v>
      </c>
      <c r="Q980" s="12">
        <f t="shared" si="137"/>
        <v>0</v>
      </c>
      <c r="R980" s="12" t="str">
        <f>IF(Raw_Data!AM983="","",Raw_Data!AM983)</f>
        <v/>
      </c>
      <c r="S980" s="12" t="str">
        <f t="shared" si="138"/>
        <v/>
      </c>
      <c r="T980" s="12" t="str">
        <f>IF(Raw_Data!AN983="","",Raw_Data!AN983)</f>
        <v/>
      </c>
      <c r="U980" s="12" t="str">
        <f t="shared" si="139"/>
        <v/>
      </c>
      <c r="V980" s="12" t="str">
        <f>IF(Raw_Data!AP983="","",IF(Raw_Data!AP983="oui",1,0))</f>
        <v/>
      </c>
      <c r="W980" s="12" t="str">
        <f>IF(Raw_Data!AQ983="","",IF(Raw_Data!AQ983="oui",1,0))</f>
        <v/>
      </c>
      <c r="X980" s="12" t="str">
        <f>IF(Raw_Data!AR983="","",IF(Raw_Data!AR983="oui",1,0))</f>
        <v/>
      </c>
      <c r="Y980" s="12" t="str">
        <f>IF(Raw_Data!AS983="","",IF(Raw_Data!AS983="oui",1,0))</f>
        <v/>
      </c>
      <c r="Z980" s="12" t="str">
        <f>IF(Raw_Data!V983="","",IF(Raw_Data!V983="oui",1,0))</f>
        <v/>
      </c>
      <c r="AA980" s="12" t="str">
        <f>IF(Raw_Data!W983="","",IF(Raw_Data!W983="oui",1,0))</f>
        <v/>
      </c>
      <c r="AB980" s="12" t="str">
        <f>IF(Raw_Data!Q983="","",IF(Raw_Data!Q983="oui",1,0))</f>
        <v/>
      </c>
      <c r="AC980" s="12">
        <f>Raw_Data!AF983</f>
        <v>0</v>
      </c>
      <c r="AD980" s="12" t="str">
        <f t="shared" si="140"/>
        <v/>
      </c>
      <c r="AE980" s="12" t="str">
        <f t="shared" si="141"/>
        <v/>
      </c>
      <c r="AF980" s="12" t="str">
        <f t="shared" si="142"/>
        <v/>
      </c>
      <c r="AG980" s="12">
        <f t="shared" si="143"/>
        <v>0</v>
      </c>
    </row>
    <row r="981" spans="1:33" ht="15" customHeight="1" x14ac:dyDescent="0.25">
      <c r="A981" s="12" t="str">
        <f>IF(Raw_Data!B984="","",Raw_Data!B984)</f>
        <v/>
      </c>
      <c r="B981" s="12">
        <f>IF(Raw_Data!X984&lt;&gt;"",Raw_Data!X984,Raw_Data!C984)</f>
        <v>0</v>
      </c>
      <c r="C981" s="12" t="str">
        <f>IF(Raw_Data!G984="","",Raw_Data!G984)</f>
        <v/>
      </c>
      <c r="D981" s="12" t="str">
        <f>IF(Raw_Data!H984="","",Raw_Data!H984)</f>
        <v/>
      </c>
      <c r="E981" s="12" t="str">
        <f>IF(Raw_Data!I984="","",Raw_Data!I984)</f>
        <v/>
      </c>
      <c r="F981" s="12" t="str">
        <f>IF(Raw_Data!J984="","",Raw_Data!J984)</f>
        <v/>
      </c>
      <c r="G981" s="12" t="str">
        <f>IF(Raw_Data!AH984&lt;&gt;"",Raw_Data!AH984,IF(Raw_Data!K984&lt;&gt;"",Raw_Data!K984,""))</f>
        <v/>
      </c>
      <c r="H981" s="12" t="str">
        <f>IF(Raw_Data!AI984&lt;&gt;"",Raw_Data!AI984,IF(Raw_Data!L984&lt;&gt;"",Raw_Data!L984,""))</f>
        <v/>
      </c>
      <c r="I981" s="12" t="str">
        <f t="shared" si="135"/>
        <v/>
      </c>
      <c r="J981" s="12" t="str">
        <f>IF(Raw_Data!M984="","",Raw_Data!M984)</f>
        <v/>
      </c>
      <c r="K981" s="12">
        <f>IF(Raw_Data!AJ984&lt;&gt;"",Raw_Data!AJ984,Raw_Data!N984)</f>
        <v>0</v>
      </c>
      <c r="L981" s="12">
        <f t="shared" si="136"/>
        <v>1</v>
      </c>
      <c r="M981" s="12" t="str">
        <f>IF(Raw_Data!AK984="","",Raw_Data!AK984)</f>
        <v/>
      </c>
      <c r="N981" s="12" t="str">
        <f>IF(Raw_Data!T984="","",Raw_Data!T984)</f>
        <v/>
      </c>
      <c r="O981" s="12" t="str">
        <f>IF(Raw_Data!AB984&lt;&gt;"",Raw_Data!AB984,IF(N981="tres_insatisfait",1,IF(N981="insatisfait",2,IF(N981="neutre",3,IF(N981="satisfait",4,IF(N981="tres_satisfait",5,""))))))</f>
        <v/>
      </c>
      <c r="P981" s="12">
        <f>IF(Raw_Data!AL984&lt;&gt;"",Raw_Data!AL984,Raw_Data!R984)</f>
        <v>0</v>
      </c>
      <c r="Q981" s="12">
        <f t="shared" si="137"/>
        <v>0</v>
      </c>
      <c r="R981" s="12" t="str">
        <f>IF(Raw_Data!AM984="","",Raw_Data!AM984)</f>
        <v/>
      </c>
      <c r="S981" s="12" t="str">
        <f t="shared" si="138"/>
        <v/>
      </c>
      <c r="T981" s="12" t="str">
        <f>IF(Raw_Data!AN984="","",Raw_Data!AN984)</f>
        <v/>
      </c>
      <c r="U981" s="12" t="str">
        <f t="shared" si="139"/>
        <v/>
      </c>
      <c r="V981" s="12" t="str">
        <f>IF(Raw_Data!AP984="","",IF(Raw_Data!AP984="oui",1,0))</f>
        <v/>
      </c>
      <c r="W981" s="12" t="str">
        <f>IF(Raw_Data!AQ984="","",IF(Raw_Data!AQ984="oui",1,0))</f>
        <v/>
      </c>
      <c r="X981" s="12" t="str">
        <f>IF(Raw_Data!AR984="","",IF(Raw_Data!AR984="oui",1,0))</f>
        <v/>
      </c>
      <c r="Y981" s="12" t="str">
        <f>IF(Raw_Data!AS984="","",IF(Raw_Data!AS984="oui",1,0))</f>
        <v/>
      </c>
      <c r="Z981" s="12" t="str">
        <f>IF(Raw_Data!V984="","",IF(Raw_Data!V984="oui",1,0))</f>
        <v/>
      </c>
      <c r="AA981" s="12" t="str">
        <f>IF(Raw_Data!W984="","",IF(Raw_Data!W984="oui",1,0))</f>
        <v/>
      </c>
      <c r="AB981" s="12" t="str">
        <f>IF(Raw_Data!Q984="","",IF(Raw_Data!Q984="oui",1,0))</f>
        <v/>
      </c>
      <c r="AC981" s="12">
        <f>Raw_Data!AF984</f>
        <v>0</v>
      </c>
      <c r="AD981" s="12" t="str">
        <f t="shared" si="140"/>
        <v/>
      </c>
      <c r="AE981" s="12" t="str">
        <f t="shared" si="141"/>
        <v/>
      </c>
      <c r="AF981" s="12" t="str">
        <f t="shared" si="142"/>
        <v/>
      </c>
      <c r="AG981" s="12">
        <f t="shared" si="143"/>
        <v>0</v>
      </c>
    </row>
    <row r="982" spans="1:33" ht="15" customHeight="1" x14ac:dyDescent="0.25">
      <c r="A982" s="12" t="str">
        <f>IF(Raw_Data!B985="","",Raw_Data!B985)</f>
        <v/>
      </c>
      <c r="B982" s="12">
        <f>IF(Raw_Data!X985&lt;&gt;"",Raw_Data!X985,Raw_Data!C985)</f>
        <v>0</v>
      </c>
      <c r="C982" s="12" t="str">
        <f>IF(Raw_Data!G985="","",Raw_Data!G985)</f>
        <v/>
      </c>
      <c r="D982" s="12" t="str">
        <f>IF(Raw_Data!H985="","",Raw_Data!H985)</f>
        <v/>
      </c>
      <c r="E982" s="12" t="str">
        <f>IF(Raw_Data!I985="","",Raw_Data!I985)</f>
        <v/>
      </c>
      <c r="F982" s="12" t="str">
        <f>IF(Raw_Data!J985="","",Raw_Data!J985)</f>
        <v/>
      </c>
      <c r="G982" s="12" t="str">
        <f>IF(Raw_Data!AH985&lt;&gt;"",Raw_Data!AH985,IF(Raw_Data!K985&lt;&gt;"",Raw_Data!K985,""))</f>
        <v/>
      </c>
      <c r="H982" s="12" t="str">
        <f>IF(Raw_Data!AI985&lt;&gt;"",Raw_Data!AI985,IF(Raw_Data!L985&lt;&gt;"",Raw_Data!L985,""))</f>
        <v/>
      </c>
      <c r="I982" s="12" t="str">
        <f t="shared" si="135"/>
        <v/>
      </c>
      <c r="J982" s="12" t="str">
        <f>IF(Raw_Data!M985="","",Raw_Data!M985)</f>
        <v/>
      </c>
      <c r="K982" s="12">
        <f>IF(Raw_Data!AJ985&lt;&gt;"",Raw_Data!AJ985,Raw_Data!N985)</f>
        <v>0</v>
      </c>
      <c r="L982" s="12">
        <f t="shared" si="136"/>
        <v>1</v>
      </c>
      <c r="M982" s="12" t="str">
        <f>IF(Raw_Data!AK985="","",Raw_Data!AK985)</f>
        <v/>
      </c>
      <c r="N982" s="12" t="str">
        <f>IF(Raw_Data!T985="","",Raw_Data!T985)</f>
        <v/>
      </c>
      <c r="O982" s="12" t="str">
        <f>IF(Raw_Data!AB985&lt;&gt;"",Raw_Data!AB985,IF(N982="tres_insatisfait",1,IF(N982="insatisfait",2,IF(N982="neutre",3,IF(N982="satisfait",4,IF(N982="tres_satisfait",5,""))))))</f>
        <v/>
      </c>
      <c r="P982" s="12">
        <f>IF(Raw_Data!AL985&lt;&gt;"",Raw_Data!AL985,Raw_Data!R985)</f>
        <v>0</v>
      </c>
      <c r="Q982" s="12">
        <f t="shared" si="137"/>
        <v>0</v>
      </c>
      <c r="R982" s="12" t="str">
        <f>IF(Raw_Data!AM985="","",Raw_Data!AM985)</f>
        <v/>
      </c>
      <c r="S982" s="12" t="str">
        <f t="shared" si="138"/>
        <v/>
      </c>
      <c r="T982" s="12" t="str">
        <f>IF(Raw_Data!AN985="","",Raw_Data!AN985)</f>
        <v/>
      </c>
      <c r="U982" s="12" t="str">
        <f t="shared" si="139"/>
        <v/>
      </c>
      <c r="V982" s="12" t="str">
        <f>IF(Raw_Data!AP985="","",IF(Raw_Data!AP985="oui",1,0))</f>
        <v/>
      </c>
      <c r="W982" s="12" t="str">
        <f>IF(Raw_Data!AQ985="","",IF(Raw_Data!AQ985="oui",1,0))</f>
        <v/>
      </c>
      <c r="X982" s="12" t="str">
        <f>IF(Raw_Data!AR985="","",IF(Raw_Data!AR985="oui",1,0))</f>
        <v/>
      </c>
      <c r="Y982" s="12" t="str">
        <f>IF(Raw_Data!AS985="","",IF(Raw_Data!AS985="oui",1,0))</f>
        <v/>
      </c>
      <c r="Z982" s="12" t="str">
        <f>IF(Raw_Data!V985="","",IF(Raw_Data!V985="oui",1,0))</f>
        <v/>
      </c>
      <c r="AA982" s="12" t="str">
        <f>IF(Raw_Data!W985="","",IF(Raw_Data!W985="oui",1,0))</f>
        <v/>
      </c>
      <c r="AB982" s="12" t="str">
        <f>IF(Raw_Data!Q985="","",IF(Raw_Data!Q985="oui",1,0))</f>
        <v/>
      </c>
      <c r="AC982" s="12">
        <f>Raw_Data!AF985</f>
        <v>0</v>
      </c>
      <c r="AD982" s="12" t="str">
        <f t="shared" si="140"/>
        <v/>
      </c>
      <c r="AE982" s="12" t="str">
        <f t="shared" si="141"/>
        <v/>
      </c>
      <c r="AF982" s="12" t="str">
        <f t="shared" si="142"/>
        <v/>
      </c>
      <c r="AG982" s="12">
        <f t="shared" si="143"/>
        <v>0</v>
      </c>
    </row>
    <row r="983" spans="1:33" ht="15" customHeight="1" x14ac:dyDescent="0.25">
      <c r="A983" s="12" t="str">
        <f>IF(Raw_Data!B986="","",Raw_Data!B986)</f>
        <v/>
      </c>
      <c r="B983" s="12">
        <f>IF(Raw_Data!X986&lt;&gt;"",Raw_Data!X986,Raw_Data!C986)</f>
        <v>0</v>
      </c>
      <c r="C983" s="12" t="str">
        <f>IF(Raw_Data!G986="","",Raw_Data!G986)</f>
        <v/>
      </c>
      <c r="D983" s="12" t="str">
        <f>IF(Raw_Data!H986="","",Raw_Data!H986)</f>
        <v/>
      </c>
      <c r="E983" s="12" t="str">
        <f>IF(Raw_Data!I986="","",Raw_Data!I986)</f>
        <v/>
      </c>
      <c r="F983" s="12" t="str">
        <f>IF(Raw_Data!J986="","",Raw_Data!J986)</f>
        <v/>
      </c>
      <c r="G983" s="12" t="str">
        <f>IF(Raw_Data!AH986&lt;&gt;"",Raw_Data!AH986,IF(Raw_Data!K986&lt;&gt;"",Raw_Data!K986,""))</f>
        <v/>
      </c>
      <c r="H983" s="12" t="str">
        <f>IF(Raw_Data!AI986&lt;&gt;"",Raw_Data!AI986,IF(Raw_Data!L986&lt;&gt;"",Raw_Data!L986,""))</f>
        <v/>
      </c>
      <c r="I983" s="12" t="str">
        <f t="shared" si="135"/>
        <v/>
      </c>
      <c r="J983" s="12" t="str">
        <f>IF(Raw_Data!M986="","",Raw_Data!M986)</f>
        <v/>
      </c>
      <c r="K983" s="12">
        <f>IF(Raw_Data!AJ986&lt;&gt;"",Raw_Data!AJ986,Raw_Data!N986)</f>
        <v>0</v>
      </c>
      <c r="L983" s="12">
        <f t="shared" si="136"/>
        <v>1</v>
      </c>
      <c r="M983" s="12" t="str">
        <f>IF(Raw_Data!AK986="","",Raw_Data!AK986)</f>
        <v/>
      </c>
      <c r="N983" s="12" t="str">
        <f>IF(Raw_Data!T986="","",Raw_Data!T986)</f>
        <v/>
      </c>
      <c r="O983" s="12" t="str">
        <f>IF(Raw_Data!AB986&lt;&gt;"",Raw_Data!AB986,IF(N983="tres_insatisfait",1,IF(N983="insatisfait",2,IF(N983="neutre",3,IF(N983="satisfait",4,IF(N983="tres_satisfait",5,""))))))</f>
        <v/>
      </c>
      <c r="P983" s="12">
        <f>IF(Raw_Data!AL986&lt;&gt;"",Raw_Data!AL986,Raw_Data!R986)</f>
        <v>0</v>
      </c>
      <c r="Q983" s="12">
        <f t="shared" si="137"/>
        <v>0</v>
      </c>
      <c r="R983" s="12" t="str">
        <f>IF(Raw_Data!AM986="","",Raw_Data!AM986)</f>
        <v/>
      </c>
      <c r="S983" s="12" t="str">
        <f t="shared" si="138"/>
        <v/>
      </c>
      <c r="T983" s="12" t="str">
        <f>IF(Raw_Data!AN986="","",Raw_Data!AN986)</f>
        <v/>
      </c>
      <c r="U983" s="12" t="str">
        <f t="shared" si="139"/>
        <v/>
      </c>
      <c r="V983" s="12" t="str">
        <f>IF(Raw_Data!AP986="","",IF(Raw_Data!AP986="oui",1,0))</f>
        <v/>
      </c>
      <c r="W983" s="12" t="str">
        <f>IF(Raw_Data!AQ986="","",IF(Raw_Data!AQ986="oui",1,0))</f>
        <v/>
      </c>
      <c r="X983" s="12" t="str">
        <f>IF(Raw_Data!AR986="","",IF(Raw_Data!AR986="oui",1,0))</f>
        <v/>
      </c>
      <c r="Y983" s="12" t="str">
        <f>IF(Raw_Data!AS986="","",IF(Raw_Data!AS986="oui",1,0))</f>
        <v/>
      </c>
      <c r="Z983" s="12" t="str">
        <f>IF(Raw_Data!V986="","",IF(Raw_Data!V986="oui",1,0))</f>
        <v/>
      </c>
      <c r="AA983" s="12" t="str">
        <f>IF(Raw_Data!W986="","",IF(Raw_Data!W986="oui",1,0))</f>
        <v/>
      </c>
      <c r="AB983" s="12" t="str">
        <f>IF(Raw_Data!Q986="","",IF(Raw_Data!Q986="oui",1,0))</f>
        <v/>
      </c>
      <c r="AC983" s="12">
        <f>Raw_Data!AF986</f>
        <v>0</v>
      </c>
      <c r="AD983" s="12" t="str">
        <f t="shared" si="140"/>
        <v/>
      </c>
      <c r="AE983" s="12" t="str">
        <f t="shared" si="141"/>
        <v/>
      </c>
      <c r="AF983" s="12" t="str">
        <f t="shared" si="142"/>
        <v/>
      </c>
      <c r="AG983" s="12">
        <f t="shared" si="143"/>
        <v>0</v>
      </c>
    </row>
    <row r="984" spans="1:33" ht="15" customHeight="1" x14ac:dyDescent="0.25">
      <c r="A984" s="12" t="str">
        <f>IF(Raw_Data!B987="","",Raw_Data!B987)</f>
        <v/>
      </c>
      <c r="B984" s="12">
        <f>IF(Raw_Data!X987&lt;&gt;"",Raw_Data!X987,Raw_Data!C987)</f>
        <v>0</v>
      </c>
      <c r="C984" s="12" t="str">
        <f>IF(Raw_Data!G987="","",Raw_Data!G987)</f>
        <v/>
      </c>
      <c r="D984" s="12" t="str">
        <f>IF(Raw_Data!H987="","",Raw_Data!H987)</f>
        <v/>
      </c>
      <c r="E984" s="12" t="str">
        <f>IF(Raw_Data!I987="","",Raw_Data!I987)</f>
        <v/>
      </c>
      <c r="F984" s="12" t="str">
        <f>IF(Raw_Data!J987="","",Raw_Data!J987)</f>
        <v/>
      </c>
      <c r="G984" s="12" t="str">
        <f>IF(Raw_Data!AH987&lt;&gt;"",Raw_Data!AH987,IF(Raw_Data!K987&lt;&gt;"",Raw_Data!K987,""))</f>
        <v/>
      </c>
      <c r="H984" s="12" t="str">
        <f>IF(Raw_Data!AI987&lt;&gt;"",Raw_Data!AI987,IF(Raw_Data!L987&lt;&gt;"",Raw_Data!L987,""))</f>
        <v/>
      </c>
      <c r="I984" s="12" t="str">
        <f t="shared" si="135"/>
        <v/>
      </c>
      <c r="J984" s="12" t="str">
        <f>IF(Raw_Data!M987="","",Raw_Data!M987)</f>
        <v/>
      </c>
      <c r="K984" s="12">
        <f>IF(Raw_Data!AJ987&lt;&gt;"",Raw_Data!AJ987,Raw_Data!N987)</f>
        <v>0</v>
      </c>
      <c r="L984" s="12">
        <f t="shared" si="136"/>
        <v>1</v>
      </c>
      <c r="M984" s="12" t="str">
        <f>IF(Raw_Data!AK987="","",Raw_Data!AK987)</f>
        <v/>
      </c>
      <c r="N984" s="12" t="str">
        <f>IF(Raw_Data!T987="","",Raw_Data!T987)</f>
        <v/>
      </c>
      <c r="O984" s="12" t="str">
        <f>IF(Raw_Data!AB987&lt;&gt;"",Raw_Data!AB987,IF(N984="tres_insatisfait",1,IF(N984="insatisfait",2,IF(N984="neutre",3,IF(N984="satisfait",4,IF(N984="tres_satisfait",5,""))))))</f>
        <v/>
      </c>
      <c r="P984" s="12">
        <f>IF(Raw_Data!AL987&lt;&gt;"",Raw_Data!AL987,Raw_Data!R987)</f>
        <v>0</v>
      </c>
      <c r="Q984" s="12">
        <f t="shared" si="137"/>
        <v>0</v>
      </c>
      <c r="R984" s="12" t="str">
        <f>IF(Raw_Data!AM987="","",Raw_Data!AM987)</f>
        <v/>
      </c>
      <c r="S984" s="12" t="str">
        <f t="shared" si="138"/>
        <v/>
      </c>
      <c r="T984" s="12" t="str">
        <f>IF(Raw_Data!AN987="","",Raw_Data!AN987)</f>
        <v/>
      </c>
      <c r="U984" s="12" t="str">
        <f t="shared" si="139"/>
        <v/>
      </c>
      <c r="V984" s="12" t="str">
        <f>IF(Raw_Data!AP987="","",IF(Raw_Data!AP987="oui",1,0))</f>
        <v/>
      </c>
      <c r="W984" s="12" t="str">
        <f>IF(Raw_Data!AQ987="","",IF(Raw_Data!AQ987="oui",1,0))</f>
        <v/>
      </c>
      <c r="X984" s="12" t="str">
        <f>IF(Raw_Data!AR987="","",IF(Raw_Data!AR987="oui",1,0))</f>
        <v/>
      </c>
      <c r="Y984" s="12" t="str">
        <f>IF(Raw_Data!AS987="","",IF(Raw_Data!AS987="oui",1,0))</f>
        <v/>
      </c>
      <c r="Z984" s="12" t="str">
        <f>IF(Raw_Data!V987="","",IF(Raw_Data!V987="oui",1,0))</f>
        <v/>
      </c>
      <c r="AA984" s="12" t="str">
        <f>IF(Raw_Data!W987="","",IF(Raw_Data!W987="oui",1,0))</f>
        <v/>
      </c>
      <c r="AB984" s="12" t="str">
        <f>IF(Raw_Data!Q987="","",IF(Raw_Data!Q987="oui",1,0))</f>
        <v/>
      </c>
      <c r="AC984" s="12">
        <f>Raw_Data!AF987</f>
        <v>0</v>
      </c>
      <c r="AD984" s="12" t="str">
        <f t="shared" si="140"/>
        <v/>
      </c>
      <c r="AE984" s="12" t="str">
        <f t="shared" si="141"/>
        <v/>
      </c>
      <c r="AF984" s="12" t="str">
        <f t="shared" si="142"/>
        <v/>
      </c>
      <c r="AG984" s="12">
        <f t="shared" si="143"/>
        <v>0</v>
      </c>
    </row>
    <row r="985" spans="1:33" ht="15" customHeight="1" x14ac:dyDescent="0.25">
      <c r="A985" s="12" t="str">
        <f>IF(Raw_Data!B988="","",Raw_Data!B988)</f>
        <v/>
      </c>
      <c r="B985" s="12">
        <f>IF(Raw_Data!X988&lt;&gt;"",Raw_Data!X988,Raw_Data!C988)</f>
        <v>0</v>
      </c>
      <c r="C985" s="12" t="str">
        <f>IF(Raw_Data!G988="","",Raw_Data!G988)</f>
        <v/>
      </c>
      <c r="D985" s="12" t="str">
        <f>IF(Raw_Data!H988="","",Raw_Data!H988)</f>
        <v/>
      </c>
      <c r="E985" s="12" t="str">
        <f>IF(Raw_Data!I988="","",Raw_Data!I988)</f>
        <v/>
      </c>
      <c r="F985" s="12" t="str">
        <f>IF(Raw_Data!J988="","",Raw_Data!J988)</f>
        <v/>
      </c>
      <c r="G985" s="12" t="str">
        <f>IF(Raw_Data!AH988&lt;&gt;"",Raw_Data!AH988,IF(Raw_Data!K988&lt;&gt;"",Raw_Data!K988,""))</f>
        <v/>
      </c>
      <c r="H985" s="12" t="str">
        <f>IF(Raw_Data!AI988&lt;&gt;"",Raw_Data!AI988,IF(Raw_Data!L988&lt;&gt;"",Raw_Data!L988,""))</f>
        <v/>
      </c>
      <c r="I985" s="12" t="str">
        <f t="shared" si="135"/>
        <v/>
      </c>
      <c r="J985" s="12" t="str">
        <f>IF(Raw_Data!M988="","",Raw_Data!M988)</f>
        <v/>
      </c>
      <c r="K985" s="12">
        <f>IF(Raw_Data!AJ988&lt;&gt;"",Raw_Data!AJ988,Raw_Data!N988)</f>
        <v>0</v>
      </c>
      <c r="L985" s="12">
        <f t="shared" si="136"/>
        <v>1</v>
      </c>
      <c r="M985" s="12" t="str">
        <f>IF(Raw_Data!AK988="","",Raw_Data!AK988)</f>
        <v/>
      </c>
      <c r="N985" s="12" t="str">
        <f>IF(Raw_Data!T988="","",Raw_Data!T988)</f>
        <v/>
      </c>
      <c r="O985" s="12" t="str">
        <f>IF(Raw_Data!AB988&lt;&gt;"",Raw_Data!AB988,IF(N985="tres_insatisfait",1,IF(N985="insatisfait",2,IF(N985="neutre",3,IF(N985="satisfait",4,IF(N985="tres_satisfait",5,""))))))</f>
        <v/>
      </c>
      <c r="P985" s="12">
        <f>IF(Raw_Data!AL988&lt;&gt;"",Raw_Data!AL988,Raw_Data!R988)</f>
        <v>0</v>
      </c>
      <c r="Q985" s="12">
        <f t="shared" si="137"/>
        <v>0</v>
      </c>
      <c r="R985" s="12" t="str">
        <f>IF(Raw_Data!AM988="","",Raw_Data!AM988)</f>
        <v/>
      </c>
      <c r="S985" s="12" t="str">
        <f t="shared" si="138"/>
        <v/>
      </c>
      <c r="T985" s="12" t="str">
        <f>IF(Raw_Data!AN988="","",Raw_Data!AN988)</f>
        <v/>
      </c>
      <c r="U985" s="12" t="str">
        <f t="shared" si="139"/>
        <v/>
      </c>
      <c r="V985" s="12" t="str">
        <f>IF(Raw_Data!AP988="","",IF(Raw_Data!AP988="oui",1,0))</f>
        <v/>
      </c>
      <c r="W985" s="12" t="str">
        <f>IF(Raw_Data!AQ988="","",IF(Raw_Data!AQ988="oui",1,0))</f>
        <v/>
      </c>
      <c r="X985" s="12" t="str">
        <f>IF(Raw_Data!AR988="","",IF(Raw_Data!AR988="oui",1,0))</f>
        <v/>
      </c>
      <c r="Y985" s="12" t="str">
        <f>IF(Raw_Data!AS988="","",IF(Raw_Data!AS988="oui",1,0))</f>
        <v/>
      </c>
      <c r="Z985" s="12" t="str">
        <f>IF(Raw_Data!V988="","",IF(Raw_Data!V988="oui",1,0))</f>
        <v/>
      </c>
      <c r="AA985" s="12" t="str">
        <f>IF(Raw_Data!W988="","",IF(Raw_Data!W988="oui",1,0))</f>
        <v/>
      </c>
      <c r="AB985" s="12" t="str">
        <f>IF(Raw_Data!Q988="","",IF(Raw_Data!Q988="oui",1,0))</f>
        <v/>
      </c>
      <c r="AC985" s="12">
        <f>Raw_Data!AF988</f>
        <v>0</v>
      </c>
      <c r="AD985" s="12" t="str">
        <f t="shared" si="140"/>
        <v/>
      </c>
      <c r="AE985" s="12" t="str">
        <f t="shared" si="141"/>
        <v/>
      </c>
      <c r="AF985" s="12" t="str">
        <f t="shared" si="142"/>
        <v/>
      </c>
      <c r="AG985" s="12">
        <f t="shared" si="143"/>
        <v>0</v>
      </c>
    </row>
    <row r="986" spans="1:33" ht="15" customHeight="1" x14ac:dyDescent="0.25">
      <c r="A986" s="12" t="str">
        <f>IF(Raw_Data!B989="","",Raw_Data!B989)</f>
        <v/>
      </c>
      <c r="B986" s="12">
        <f>IF(Raw_Data!X989&lt;&gt;"",Raw_Data!X989,Raw_Data!C989)</f>
        <v>0</v>
      </c>
      <c r="C986" s="12" t="str">
        <f>IF(Raw_Data!G989="","",Raw_Data!G989)</f>
        <v/>
      </c>
      <c r="D986" s="12" t="str">
        <f>IF(Raw_Data!H989="","",Raw_Data!H989)</f>
        <v/>
      </c>
      <c r="E986" s="12" t="str">
        <f>IF(Raw_Data!I989="","",Raw_Data!I989)</f>
        <v/>
      </c>
      <c r="F986" s="12" t="str">
        <f>IF(Raw_Data!J989="","",Raw_Data!J989)</f>
        <v/>
      </c>
      <c r="G986" s="12" t="str">
        <f>IF(Raw_Data!AH989&lt;&gt;"",Raw_Data!AH989,IF(Raw_Data!K989&lt;&gt;"",Raw_Data!K989,""))</f>
        <v/>
      </c>
      <c r="H986" s="12" t="str">
        <f>IF(Raw_Data!AI989&lt;&gt;"",Raw_Data!AI989,IF(Raw_Data!L989&lt;&gt;"",Raw_Data!L989,""))</f>
        <v/>
      </c>
      <c r="I986" s="12" t="str">
        <f t="shared" si="135"/>
        <v/>
      </c>
      <c r="J986" s="12" t="str">
        <f>IF(Raw_Data!M989="","",Raw_Data!M989)</f>
        <v/>
      </c>
      <c r="K986" s="12">
        <f>IF(Raw_Data!AJ989&lt;&gt;"",Raw_Data!AJ989,Raw_Data!N989)</f>
        <v>0</v>
      </c>
      <c r="L986" s="12">
        <f t="shared" si="136"/>
        <v>1</v>
      </c>
      <c r="M986" s="12" t="str">
        <f>IF(Raw_Data!AK989="","",Raw_Data!AK989)</f>
        <v/>
      </c>
      <c r="N986" s="12" t="str">
        <f>IF(Raw_Data!T989="","",Raw_Data!T989)</f>
        <v/>
      </c>
      <c r="O986" s="12" t="str">
        <f>IF(Raw_Data!AB989&lt;&gt;"",Raw_Data!AB989,IF(N986="tres_insatisfait",1,IF(N986="insatisfait",2,IF(N986="neutre",3,IF(N986="satisfait",4,IF(N986="tres_satisfait",5,""))))))</f>
        <v/>
      </c>
      <c r="P986" s="12">
        <f>IF(Raw_Data!AL989&lt;&gt;"",Raw_Data!AL989,Raw_Data!R989)</f>
        <v>0</v>
      </c>
      <c r="Q986" s="12">
        <f t="shared" si="137"/>
        <v>0</v>
      </c>
      <c r="R986" s="12" t="str">
        <f>IF(Raw_Data!AM989="","",Raw_Data!AM989)</f>
        <v/>
      </c>
      <c r="S986" s="12" t="str">
        <f t="shared" si="138"/>
        <v/>
      </c>
      <c r="T986" s="12" t="str">
        <f>IF(Raw_Data!AN989="","",Raw_Data!AN989)</f>
        <v/>
      </c>
      <c r="U986" s="12" t="str">
        <f t="shared" si="139"/>
        <v/>
      </c>
      <c r="V986" s="12" t="str">
        <f>IF(Raw_Data!AP989="","",IF(Raw_Data!AP989="oui",1,0))</f>
        <v/>
      </c>
      <c r="W986" s="12" t="str">
        <f>IF(Raw_Data!AQ989="","",IF(Raw_Data!AQ989="oui",1,0))</f>
        <v/>
      </c>
      <c r="X986" s="12" t="str">
        <f>IF(Raw_Data!AR989="","",IF(Raw_Data!AR989="oui",1,0))</f>
        <v/>
      </c>
      <c r="Y986" s="12" t="str">
        <f>IF(Raw_Data!AS989="","",IF(Raw_Data!AS989="oui",1,0))</f>
        <v/>
      </c>
      <c r="Z986" s="12" t="str">
        <f>IF(Raw_Data!V989="","",IF(Raw_Data!V989="oui",1,0))</f>
        <v/>
      </c>
      <c r="AA986" s="12" t="str">
        <f>IF(Raw_Data!W989="","",IF(Raw_Data!W989="oui",1,0))</f>
        <v/>
      </c>
      <c r="AB986" s="12" t="str">
        <f>IF(Raw_Data!Q989="","",IF(Raw_Data!Q989="oui",1,0))</f>
        <v/>
      </c>
      <c r="AC986" s="12">
        <f>Raw_Data!AF989</f>
        <v>0</v>
      </c>
      <c r="AD986" s="12" t="str">
        <f t="shared" si="140"/>
        <v/>
      </c>
      <c r="AE986" s="12" t="str">
        <f t="shared" si="141"/>
        <v/>
      </c>
      <c r="AF986" s="12" t="str">
        <f t="shared" si="142"/>
        <v/>
      </c>
      <c r="AG986" s="12">
        <f t="shared" si="143"/>
        <v>0</v>
      </c>
    </row>
    <row r="987" spans="1:33" ht="15" customHeight="1" x14ac:dyDescent="0.25">
      <c r="A987" s="12" t="str">
        <f>IF(Raw_Data!B990="","",Raw_Data!B990)</f>
        <v/>
      </c>
      <c r="B987" s="12">
        <f>IF(Raw_Data!X990&lt;&gt;"",Raw_Data!X990,Raw_Data!C990)</f>
        <v>0</v>
      </c>
      <c r="C987" s="12" t="str">
        <f>IF(Raw_Data!G990="","",Raw_Data!G990)</f>
        <v/>
      </c>
      <c r="D987" s="12" t="str">
        <f>IF(Raw_Data!H990="","",Raw_Data!H990)</f>
        <v/>
      </c>
      <c r="E987" s="12" t="str">
        <f>IF(Raw_Data!I990="","",Raw_Data!I990)</f>
        <v/>
      </c>
      <c r="F987" s="12" t="str">
        <f>IF(Raw_Data!J990="","",Raw_Data!J990)</f>
        <v/>
      </c>
      <c r="G987" s="12" t="str">
        <f>IF(Raw_Data!AH990&lt;&gt;"",Raw_Data!AH990,IF(Raw_Data!K990&lt;&gt;"",Raw_Data!K990,""))</f>
        <v/>
      </c>
      <c r="H987" s="12" t="str">
        <f>IF(Raw_Data!AI990&lt;&gt;"",Raw_Data!AI990,IF(Raw_Data!L990&lt;&gt;"",Raw_Data!L990,""))</f>
        <v/>
      </c>
      <c r="I987" s="12" t="str">
        <f t="shared" si="135"/>
        <v/>
      </c>
      <c r="J987" s="12" t="str">
        <f>IF(Raw_Data!M990="","",Raw_Data!M990)</f>
        <v/>
      </c>
      <c r="K987" s="12">
        <f>IF(Raw_Data!AJ990&lt;&gt;"",Raw_Data!AJ990,Raw_Data!N990)</f>
        <v>0</v>
      </c>
      <c r="L987" s="12">
        <f t="shared" si="136"/>
        <v>1</v>
      </c>
      <c r="M987" s="12" t="str">
        <f>IF(Raw_Data!AK990="","",Raw_Data!AK990)</f>
        <v/>
      </c>
      <c r="N987" s="12" t="str">
        <f>IF(Raw_Data!T990="","",Raw_Data!T990)</f>
        <v/>
      </c>
      <c r="O987" s="12" t="str">
        <f>IF(Raw_Data!AB990&lt;&gt;"",Raw_Data!AB990,IF(N987="tres_insatisfait",1,IF(N987="insatisfait",2,IF(N987="neutre",3,IF(N987="satisfait",4,IF(N987="tres_satisfait",5,""))))))</f>
        <v/>
      </c>
      <c r="P987" s="12">
        <f>IF(Raw_Data!AL990&lt;&gt;"",Raw_Data!AL990,Raw_Data!R990)</f>
        <v>0</v>
      </c>
      <c r="Q987" s="12">
        <f t="shared" si="137"/>
        <v>0</v>
      </c>
      <c r="R987" s="12" t="str">
        <f>IF(Raw_Data!AM990="","",Raw_Data!AM990)</f>
        <v/>
      </c>
      <c r="S987" s="12" t="str">
        <f t="shared" si="138"/>
        <v/>
      </c>
      <c r="T987" s="12" t="str">
        <f>IF(Raw_Data!AN990="","",Raw_Data!AN990)</f>
        <v/>
      </c>
      <c r="U987" s="12" t="str">
        <f t="shared" si="139"/>
        <v/>
      </c>
      <c r="V987" s="12" t="str">
        <f>IF(Raw_Data!AP990="","",IF(Raw_Data!AP990="oui",1,0))</f>
        <v/>
      </c>
      <c r="W987" s="12" t="str">
        <f>IF(Raw_Data!AQ990="","",IF(Raw_Data!AQ990="oui",1,0))</f>
        <v/>
      </c>
      <c r="X987" s="12" t="str">
        <f>IF(Raw_Data!AR990="","",IF(Raw_Data!AR990="oui",1,0))</f>
        <v/>
      </c>
      <c r="Y987" s="12" t="str">
        <f>IF(Raw_Data!AS990="","",IF(Raw_Data!AS990="oui",1,0))</f>
        <v/>
      </c>
      <c r="Z987" s="12" t="str">
        <f>IF(Raw_Data!V990="","",IF(Raw_Data!V990="oui",1,0))</f>
        <v/>
      </c>
      <c r="AA987" s="12" t="str">
        <f>IF(Raw_Data!W990="","",IF(Raw_Data!W990="oui",1,0))</f>
        <v/>
      </c>
      <c r="AB987" s="12" t="str">
        <f>IF(Raw_Data!Q990="","",IF(Raw_Data!Q990="oui",1,0))</f>
        <v/>
      </c>
      <c r="AC987" s="12">
        <f>Raw_Data!AF990</f>
        <v>0</v>
      </c>
      <c r="AD987" s="12" t="str">
        <f t="shared" si="140"/>
        <v/>
      </c>
      <c r="AE987" s="12" t="str">
        <f t="shared" si="141"/>
        <v/>
      </c>
      <c r="AF987" s="12" t="str">
        <f t="shared" si="142"/>
        <v/>
      </c>
      <c r="AG987" s="12">
        <f t="shared" si="143"/>
        <v>0</v>
      </c>
    </row>
    <row r="988" spans="1:33" ht="15" customHeight="1" x14ac:dyDescent="0.25">
      <c r="A988" s="12" t="str">
        <f>IF(Raw_Data!B991="","",Raw_Data!B991)</f>
        <v/>
      </c>
      <c r="B988" s="12">
        <f>IF(Raw_Data!X991&lt;&gt;"",Raw_Data!X991,Raw_Data!C991)</f>
        <v>0</v>
      </c>
      <c r="C988" s="12" t="str">
        <f>IF(Raw_Data!G991="","",Raw_Data!G991)</f>
        <v/>
      </c>
      <c r="D988" s="12" t="str">
        <f>IF(Raw_Data!H991="","",Raw_Data!H991)</f>
        <v/>
      </c>
      <c r="E988" s="12" t="str">
        <f>IF(Raw_Data!I991="","",Raw_Data!I991)</f>
        <v/>
      </c>
      <c r="F988" s="12" t="str">
        <f>IF(Raw_Data!J991="","",Raw_Data!J991)</f>
        <v/>
      </c>
      <c r="G988" s="12" t="str">
        <f>IF(Raw_Data!AH991&lt;&gt;"",Raw_Data!AH991,IF(Raw_Data!K991&lt;&gt;"",Raw_Data!K991,""))</f>
        <v/>
      </c>
      <c r="H988" s="12" t="str">
        <f>IF(Raw_Data!AI991&lt;&gt;"",Raw_Data!AI991,IF(Raw_Data!L991&lt;&gt;"",Raw_Data!L991,""))</f>
        <v/>
      </c>
      <c r="I988" s="12" t="str">
        <f t="shared" si="135"/>
        <v/>
      </c>
      <c r="J988" s="12" t="str">
        <f>IF(Raw_Data!M991="","",Raw_Data!M991)</f>
        <v/>
      </c>
      <c r="K988" s="12">
        <f>IF(Raw_Data!AJ991&lt;&gt;"",Raw_Data!AJ991,Raw_Data!N991)</f>
        <v>0</v>
      </c>
      <c r="L988" s="12">
        <f t="shared" si="136"/>
        <v>1</v>
      </c>
      <c r="M988" s="12" t="str">
        <f>IF(Raw_Data!AK991="","",Raw_Data!AK991)</f>
        <v/>
      </c>
      <c r="N988" s="12" t="str">
        <f>IF(Raw_Data!T991="","",Raw_Data!T991)</f>
        <v/>
      </c>
      <c r="O988" s="12" t="str">
        <f>IF(Raw_Data!AB991&lt;&gt;"",Raw_Data!AB991,IF(N988="tres_insatisfait",1,IF(N988="insatisfait",2,IF(N988="neutre",3,IF(N988="satisfait",4,IF(N988="tres_satisfait",5,""))))))</f>
        <v/>
      </c>
      <c r="P988" s="12">
        <f>IF(Raw_Data!AL991&lt;&gt;"",Raw_Data!AL991,Raw_Data!R991)</f>
        <v>0</v>
      </c>
      <c r="Q988" s="12">
        <f t="shared" si="137"/>
        <v>0</v>
      </c>
      <c r="R988" s="12" t="str">
        <f>IF(Raw_Data!AM991="","",Raw_Data!AM991)</f>
        <v/>
      </c>
      <c r="S988" s="12" t="str">
        <f t="shared" si="138"/>
        <v/>
      </c>
      <c r="T988" s="12" t="str">
        <f>IF(Raw_Data!AN991="","",Raw_Data!AN991)</f>
        <v/>
      </c>
      <c r="U988" s="12" t="str">
        <f t="shared" si="139"/>
        <v/>
      </c>
      <c r="V988" s="12" t="str">
        <f>IF(Raw_Data!AP991="","",IF(Raw_Data!AP991="oui",1,0))</f>
        <v/>
      </c>
      <c r="W988" s="12" t="str">
        <f>IF(Raw_Data!AQ991="","",IF(Raw_Data!AQ991="oui",1,0))</f>
        <v/>
      </c>
      <c r="X988" s="12" t="str">
        <f>IF(Raw_Data!AR991="","",IF(Raw_Data!AR991="oui",1,0))</f>
        <v/>
      </c>
      <c r="Y988" s="12" t="str">
        <f>IF(Raw_Data!AS991="","",IF(Raw_Data!AS991="oui",1,0))</f>
        <v/>
      </c>
      <c r="Z988" s="12" t="str">
        <f>IF(Raw_Data!V991="","",IF(Raw_Data!V991="oui",1,0))</f>
        <v/>
      </c>
      <c r="AA988" s="12" t="str">
        <f>IF(Raw_Data!W991="","",IF(Raw_Data!W991="oui",1,0))</f>
        <v/>
      </c>
      <c r="AB988" s="12" t="str">
        <f>IF(Raw_Data!Q991="","",IF(Raw_Data!Q991="oui",1,0))</f>
        <v/>
      </c>
      <c r="AC988" s="12">
        <f>Raw_Data!AF991</f>
        <v>0</v>
      </c>
      <c r="AD988" s="12" t="str">
        <f t="shared" si="140"/>
        <v/>
      </c>
      <c r="AE988" s="12" t="str">
        <f t="shared" si="141"/>
        <v/>
      </c>
      <c r="AF988" s="12" t="str">
        <f t="shared" si="142"/>
        <v/>
      </c>
      <c r="AG988" s="12">
        <f t="shared" si="143"/>
        <v>0</v>
      </c>
    </row>
    <row r="989" spans="1:33" ht="15" customHeight="1" x14ac:dyDescent="0.25">
      <c r="A989" s="12" t="str">
        <f>IF(Raw_Data!B992="","",Raw_Data!B992)</f>
        <v/>
      </c>
      <c r="B989" s="12">
        <f>IF(Raw_Data!X992&lt;&gt;"",Raw_Data!X992,Raw_Data!C992)</f>
        <v>0</v>
      </c>
      <c r="C989" s="12" t="str">
        <f>IF(Raw_Data!G992="","",Raw_Data!G992)</f>
        <v/>
      </c>
      <c r="D989" s="12" t="str">
        <f>IF(Raw_Data!H992="","",Raw_Data!H992)</f>
        <v/>
      </c>
      <c r="E989" s="12" t="str">
        <f>IF(Raw_Data!I992="","",Raw_Data!I992)</f>
        <v/>
      </c>
      <c r="F989" s="12" t="str">
        <f>IF(Raw_Data!J992="","",Raw_Data!J992)</f>
        <v/>
      </c>
      <c r="G989" s="12" t="str">
        <f>IF(Raw_Data!AH992&lt;&gt;"",Raw_Data!AH992,IF(Raw_Data!K992&lt;&gt;"",Raw_Data!K992,""))</f>
        <v/>
      </c>
      <c r="H989" s="12" t="str">
        <f>IF(Raw_Data!AI992&lt;&gt;"",Raw_Data!AI992,IF(Raw_Data!L992&lt;&gt;"",Raw_Data!L992,""))</f>
        <v/>
      </c>
      <c r="I989" s="12" t="str">
        <f t="shared" si="135"/>
        <v/>
      </c>
      <c r="J989" s="12" t="str">
        <f>IF(Raw_Data!M992="","",Raw_Data!M992)</f>
        <v/>
      </c>
      <c r="K989" s="12">
        <f>IF(Raw_Data!AJ992&lt;&gt;"",Raw_Data!AJ992,Raw_Data!N992)</f>
        <v>0</v>
      </c>
      <c r="L989" s="12">
        <f t="shared" si="136"/>
        <v>1</v>
      </c>
      <c r="M989" s="12" t="str">
        <f>IF(Raw_Data!AK992="","",Raw_Data!AK992)</f>
        <v/>
      </c>
      <c r="N989" s="12" t="str">
        <f>IF(Raw_Data!T992="","",Raw_Data!T992)</f>
        <v/>
      </c>
      <c r="O989" s="12" t="str">
        <f>IF(Raw_Data!AB992&lt;&gt;"",Raw_Data!AB992,IF(N989="tres_insatisfait",1,IF(N989="insatisfait",2,IF(N989="neutre",3,IF(N989="satisfait",4,IF(N989="tres_satisfait",5,""))))))</f>
        <v/>
      </c>
      <c r="P989" s="12">
        <f>IF(Raw_Data!AL992&lt;&gt;"",Raw_Data!AL992,Raw_Data!R992)</f>
        <v>0</v>
      </c>
      <c r="Q989" s="12">
        <f t="shared" si="137"/>
        <v>0</v>
      </c>
      <c r="R989" s="12" t="str">
        <f>IF(Raw_Data!AM992="","",Raw_Data!AM992)</f>
        <v/>
      </c>
      <c r="S989" s="12" t="str">
        <f t="shared" si="138"/>
        <v/>
      </c>
      <c r="T989" s="12" t="str">
        <f>IF(Raw_Data!AN992="","",Raw_Data!AN992)</f>
        <v/>
      </c>
      <c r="U989" s="12" t="str">
        <f t="shared" si="139"/>
        <v/>
      </c>
      <c r="V989" s="12" t="str">
        <f>IF(Raw_Data!AP992="","",IF(Raw_Data!AP992="oui",1,0))</f>
        <v/>
      </c>
      <c r="W989" s="12" t="str">
        <f>IF(Raw_Data!AQ992="","",IF(Raw_Data!AQ992="oui",1,0))</f>
        <v/>
      </c>
      <c r="X989" s="12" t="str">
        <f>IF(Raw_Data!AR992="","",IF(Raw_Data!AR992="oui",1,0))</f>
        <v/>
      </c>
      <c r="Y989" s="12" t="str">
        <f>IF(Raw_Data!AS992="","",IF(Raw_Data!AS992="oui",1,0))</f>
        <v/>
      </c>
      <c r="Z989" s="12" t="str">
        <f>IF(Raw_Data!V992="","",IF(Raw_Data!V992="oui",1,0))</f>
        <v/>
      </c>
      <c r="AA989" s="12" t="str">
        <f>IF(Raw_Data!W992="","",IF(Raw_Data!W992="oui",1,0))</f>
        <v/>
      </c>
      <c r="AB989" s="12" t="str">
        <f>IF(Raw_Data!Q992="","",IF(Raw_Data!Q992="oui",1,0))</f>
        <v/>
      </c>
      <c r="AC989" s="12">
        <f>Raw_Data!AF992</f>
        <v>0</v>
      </c>
      <c r="AD989" s="12" t="str">
        <f t="shared" si="140"/>
        <v/>
      </c>
      <c r="AE989" s="12" t="str">
        <f t="shared" si="141"/>
        <v/>
      </c>
      <c r="AF989" s="12" t="str">
        <f t="shared" si="142"/>
        <v/>
      </c>
      <c r="AG989" s="12">
        <f t="shared" si="143"/>
        <v>0</v>
      </c>
    </row>
    <row r="990" spans="1:33" ht="15" customHeight="1" x14ac:dyDescent="0.25">
      <c r="A990" s="12" t="str">
        <f>IF(Raw_Data!B993="","",Raw_Data!B993)</f>
        <v/>
      </c>
      <c r="B990" s="12">
        <f>IF(Raw_Data!X993&lt;&gt;"",Raw_Data!X993,Raw_Data!C993)</f>
        <v>0</v>
      </c>
      <c r="C990" s="12" t="str">
        <f>IF(Raw_Data!G993="","",Raw_Data!G993)</f>
        <v/>
      </c>
      <c r="D990" s="12" t="str">
        <f>IF(Raw_Data!H993="","",Raw_Data!H993)</f>
        <v/>
      </c>
      <c r="E990" s="12" t="str">
        <f>IF(Raw_Data!I993="","",Raw_Data!I993)</f>
        <v/>
      </c>
      <c r="F990" s="12" t="str">
        <f>IF(Raw_Data!J993="","",Raw_Data!J993)</f>
        <v/>
      </c>
      <c r="G990" s="12" t="str">
        <f>IF(Raw_Data!AH993&lt;&gt;"",Raw_Data!AH993,IF(Raw_Data!K993&lt;&gt;"",Raw_Data!K993,""))</f>
        <v/>
      </c>
      <c r="H990" s="12" t="str">
        <f>IF(Raw_Data!AI993&lt;&gt;"",Raw_Data!AI993,IF(Raw_Data!L993&lt;&gt;"",Raw_Data!L993,""))</f>
        <v/>
      </c>
      <c r="I990" s="12" t="str">
        <f t="shared" si="135"/>
        <v/>
      </c>
      <c r="J990" s="12" t="str">
        <f>IF(Raw_Data!M993="","",Raw_Data!M993)</f>
        <v/>
      </c>
      <c r="K990" s="12">
        <f>IF(Raw_Data!AJ993&lt;&gt;"",Raw_Data!AJ993,Raw_Data!N993)</f>
        <v>0</v>
      </c>
      <c r="L990" s="12">
        <f t="shared" si="136"/>
        <v>1</v>
      </c>
      <c r="M990" s="12" t="str">
        <f>IF(Raw_Data!AK993="","",Raw_Data!AK993)</f>
        <v/>
      </c>
      <c r="N990" s="12" t="str">
        <f>IF(Raw_Data!T993="","",Raw_Data!T993)</f>
        <v/>
      </c>
      <c r="O990" s="12" t="str">
        <f>IF(Raw_Data!AB993&lt;&gt;"",Raw_Data!AB993,IF(N990="tres_insatisfait",1,IF(N990="insatisfait",2,IF(N990="neutre",3,IF(N990="satisfait",4,IF(N990="tres_satisfait",5,""))))))</f>
        <v/>
      </c>
      <c r="P990" s="12">
        <f>IF(Raw_Data!AL993&lt;&gt;"",Raw_Data!AL993,Raw_Data!R993)</f>
        <v>0</v>
      </c>
      <c r="Q990" s="12">
        <f t="shared" si="137"/>
        <v>0</v>
      </c>
      <c r="R990" s="12" t="str">
        <f>IF(Raw_Data!AM993="","",Raw_Data!AM993)</f>
        <v/>
      </c>
      <c r="S990" s="12" t="str">
        <f t="shared" si="138"/>
        <v/>
      </c>
      <c r="T990" s="12" t="str">
        <f>IF(Raw_Data!AN993="","",Raw_Data!AN993)</f>
        <v/>
      </c>
      <c r="U990" s="12" t="str">
        <f t="shared" si="139"/>
        <v/>
      </c>
      <c r="V990" s="12" t="str">
        <f>IF(Raw_Data!AP993="","",IF(Raw_Data!AP993="oui",1,0))</f>
        <v/>
      </c>
      <c r="W990" s="12" t="str">
        <f>IF(Raw_Data!AQ993="","",IF(Raw_Data!AQ993="oui",1,0))</f>
        <v/>
      </c>
      <c r="X990" s="12" t="str">
        <f>IF(Raw_Data!AR993="","",IF(Raw_Data!AR993="oui",1,0))</f>
        <v/>
      </c>
      <c r="Y990" s="12" t="str">
        <f>IF(Raw_Data!AS993="","",IF(Raw_Data!AS993="oui",1,0))</f>
        <v/>
      </c>
      <c r="Z990" s="12" t="str">
        <f>IF(Raw_Data!V993="","",IF(Raw_Data!V993="oui",1,0))</f>
        <v/>
      </c>
      <c r="AA990" s="12" t="str">
        <f>IF(Raw_Data!W993="","",IF(Raw_Data!W993="oui",1,0))</f>
        <v/>
      </c>
      <c r="AB990" s="12" t="str">
        <f>IF(Raw_Data!Q993="","",IF(Raw_Data!Q993="oui",1,0))</f>
        <v/>
      </c>
      <c r="AC990" s="12">
        <f>Raw_Data!AF993</f>
        <v>0</v>
      </c>
      <c r="AD990" s="12" t="str">
        <f t="shared" si="140"/>
        <v/>
      </c>
      <c r="AE990" s="12" t="str">
        <f t="shared" si="141"/>
        <v/>
      </c>
      <c r="AF990" s="12" t="str">
        <f t="shared" si="142"/>
        <v/>
      </c>
      <c r="AG990" s="12">
        <f t="shared" si="143"/>
        <v>0</v>
      </c>
    </row>
    <row r="991" spans="1:33" ht="15" customHeight="1" x14ac:dyDescent="0.25">
      <c r="A991" s="12" t="str">
        <f>IF(Raw_Data!B994="","",Raw_Data!B994)</f>
        <v/>
      </c>
      <c r="B991" s="12">
        <f>IF(Raw_Data!X994&lt;&gt;"",Raw_Data!X994,Raw_Data!C994)</f>
        <v>0</v>
      </c>
      <c r="C991" s="12" t="str">
        <f>IF(Raw_Data!G994="","",Raw_Data!G994)</f>
        <v/>
      </c>
      <c r="D991" s="12" t="str">
        <f>IF(Raw_Data!H994="","",Raw_Data!H994)</f>
        <v/>
      </c>
      <c r="E991" s="12" t="str">
        <f>IF(Raw_Data!I994="","",Raw_Data!I994)</f>
        <v/>
      </c>
      <c r="F991" s="12" t="str">
        <f>IF(Raw_Data!J994="","",Raw_Data!J994)</f>
        <v/>
      </c>
      <c r="G991" s="12" t="str">
        <f>IF(Raw_Data!AH994&lt;&gt;"",Raw_Data!AH994,IF(Raw_Data!K994&lt;&gt;"",Raw_Data!K994,""))</f>
        <v/>
      </c>
      <c r="H991" s="12" t="str">
        <f>IF(Raw_Data!AI994&lt;&gt;"",Raw_Data!AI994,IF(Raw_Data!L994&lt;&gt;"",Raw_Data!L994,""))</f>
        <v/>
      </c>
      <c r="I991" s="12" t="str">
        <f t="shared" si="135"/>
        <v/>
      </c>
      <c r="J991" s="12" t="str">
        <f>IF(Raw_Data!M994="","",Raw_Data!M994)</f>
        <v/>
      </c>
      <c r="K991" s="12">
        <f>IF(Raw_Data!AJ994&lt;&gt;"",Raw_Data!AJ994,Raw_Data!N994)</f>
        <v>0</v>
      </c>
      <c r="L991" s="12">
        <f t="shared" si="136"/>
        <v>1</v>
      </c>
      <c r="M991" s="12" t="str">
        <f>IF(Raw_Data!AK994="","",Raw_Data!AK994)</f>
        <v/>
      </c>
      <c r="N991" s="12" t="str">
        <f>IF(Raw_Data!T994="","",Raw_Data!T994)</f>
        <v/>
      </c>
      <c r="O991" s="12" t="str">
        <f>IF(Raw_Data!AB994&lt;&gt;"",Raw_Data!AB994,IF(N991="tres_insatisfait",1,IF(N991="insatisfait",2,IF(N991="neutre",3,IF(N991="satisfait",4,IF(N991="tres_satisfait",5,""))))))</f>
        <v/>
      </c>
      <c r="P991" s="12">
        <f>IF(Raw_Data!AL994&lt;&gt;"",Raw_Data!AL994,Raw_Data!R994)</f>
        <v>0</v>
      </c>
      <c r="Q991" s="12">
        <f t="shared" si="137"/>
        <v>0</v>
      </c>
      <c r="R991" s="12" t="str">
        <f>IF(Raw_Data!AM994="","",Raw_Data!AM994)</f>
        <v/>
      </c>
      <c r="S991" s="12" t="str">
        <f t="shared" si="138"/>
        <v/>
      </c>
      <c r="T991" s="12" t="str">
        <f>IF(Raw_Data!AN994="","",Raw_Data!AN994)</f>
        <v/>
      </c>
      <c r="U991" s="12" t="str">
        <f t="shared" si="139"/>
        <v/>
      </c>
      <c r="V991" s="12" t="str">
        <f>IF(Raw_Data!AP994="","",IF(Raw_Data!AP994="oui",1,0))</f>
        <v/>
      </c>
      <c r="W991" s="12" t="str">
        <f>IF(Raw_Data!AQ994="","",IF(Raw_Data!AQ994="oui",1,0))</f>
        <v/>
      </c>
      <c r="X991" s="12" t="str">
        <f>IF(Raw_Data!AR994="","",IF(Raw_Data!AR994="oui",1,0))</f>
        <v/>
      </c>
      <c r="Y991" s="12" t="str">
        <f>IF(Raw_Data!AS994="","",IF(Raw_Data!AS994="oui",1,0))</f>
        <v/>
      </c>
      <c r="Z991" s="12" t="str">
        <f>IF(Raw_Data!V994="","",IF(Raw_Data!V994="oui",1,0))</f>
        <v/>
      </c>
      <c r="AA991" s="12" t="str">
        <f>IF(Raw_Data!W994="","",IF(Raw_Data!W994="oui",1,0))</f>
        <v/>
      </c>
      <c r="AB991" s="12" t="str">
        <f>IF(Raw_Data!Q994="","",IF(Raw_Data!Q994="oui",1,0))</f>
        <v/>
      </c>
      <c r="AC991" s="12">
        <f>Raw_Data!AF994</f>
        <v>0</v>
      </c>
      <c r="AD991" s="12" t="str">
        <f t="shared" si="140"/>
        <v/>
      </c>
      <c r="AE991" s="12" t="str">
        <f t="shared" si="141"/>
        <v/>
      </c>
      <c r="AF991" s="12" t="str">
        <f t="shared" si="142"/>
        <v/>
      </c>
      <c r="AG991" s="12">
        <f t="shared" si="143"/>
        <v>0</v>
      </c>
    </row>
    <row r="992" spans="1:33" ht="15" customHeight="1" x14ac:dyDescent="0.25">
      <c r="A992" s="12" t="str">
        <f>IF(Raw_Data!B995="","",Raw_Data!B995)</f>
        <v/>
      </c>
      <c r="B992" s="12">
        <f>IF(Raw_Data!X995&lt;&gt;"",Raw_Data!X995,Raw_Data!C995)</f>
        <v>0</v>
      </c>
      <c r="C992" s="12" t="str">
        <f>IF(Raw_Data!G995="","",Raw_Data!G995)</f>
        <v/>
      </c>
      <c r="D992" s="12" t="str">
        <f>IF(Raw_Data!H995="","",Raw_Data!H995)</f>
        <v/>
      </c>
      <c r="E992" s="12" t="str">
        <f>IF(Raw_Data!I995="","",Raw_Data!I995)</f>
        <v/>
      </c>
      <c r="F992" s="12" t="str">
        <f>IF(Raw_Data!J995="","",Raw_Data!J995)</f>
        <v/>
      </c>
      <c r="G992" s="12" t="str">
        <f>IF(Raw_Data!AH995&lt;&gt;"",Raw_Data!AH995,IF(Raw_Data!K995&lt;&gt;"",Raw_Data!K995,""))</f>
        <v/>
      </c>
      <c r="H992" s="12" t="str">
        <f>IF(Raw_Data!AI995&lt;&gt;"",Raw_Data!AI995,IF(Raw_Data!L995&lt;&gt;"",Raw_Data!L995,""))</f>
        <v/>
      </c>
      <c r="I992" s="12" t="str">
        <f t="shared" si="135"/>
        <v/>
      </c>
      <c r="J992" s="12" t="str">
        <f>IF(Raw_Data!M995="","",Raw_Data!M995)</f>
        <v/>
      </c>
      <c r="K992" s="12">
        <f>IF(Raw_Data!AJ995&lt;&gt;"",Raw_Data!AJ995,Raw_Data!N995)</f>
        <v>0</v>
      </c>
      <c r="L992" s="12">
        <f t="shared" si="136"/>
        <v>1</v>
      </c>
      <c r="M992" s="12" t="str">
        <f>IF(Raw_Data!AK995="","",Raw_Data!AK995)</f>
        <v/>
      </c>
      <c r="N992" s="12" t="str">
        <f>IF(Raw_Data!T995="","",Raw_Data!T995)</f>
        <v/>
      </c>
      <c r="O992" s="12" t="str">
        <f>IF(Raw_Data!AB995&lt;&gt;"",Raw_Data!AB995,IF(N992="tres_insatisfait",1,IF(N992="insatisfait",2,IF(N992="neutre",3,IF(N992="satisfait",4,IF(N992="tres_satisfait",5,""))))))</f>
        <v/>
      </c>
      <c r="P992" s="12">
        <f>IF(Raw_Data!AL995&lt;&gt;"",Raw_Data!AL995,Raw_Data!R995)</f>
        <v>0</v>
      </c>
      <c r="Q992" s="12">
        <f t="shared" si="137"/>
        <v>0</v>
      </c>
      <c r="R992" s="12" t="str">
        <f>IF(Raw_Data!AM995="","",Raw_Data!AM995)</f>
        <v/>
      </c>
      <c r="S992" s="12" t="str">
        <f t="shared" si="138"/>
        <v/>
      </c>
      <c r="T992" s="12" t="str">
        <f>IF(Raw_Data!AN995="","",Raw_Data!AN995)</f>
        <v/>
      </c>
      <c r="U992" s="12" t="str">
        <f t="shared" si="139"/>
        <v/>
      </c>
      <c r="V992" s="12" t="str">
        <f>IF(Raw_Data!AP995="","",IF(Raw_Data!AP995="oui",1,0))</f>
        <v/>
      </c>
      <c r="W992" s="12" t="str">
        <f>IF(Raw_Data!AQ995="","",IF(Raw_Data!AQ995="oui",1,0))</f>
        <v/>
      </c>
      <c r="X992" s="12" t="str">
        <f>IF(Raw_Data!AR995="","",IF(Raw_Data!AR995="oui",1,0))</f>
        <v/>
      </c>
      <c r="Y992" s="12" t="str">
        <f>IF(Raw_Data!AS995="","",IF(Raw_Data!AS995="oui",1,0))</f>
        <v/>
      </c>
      <c r="Z992" s="12" t="str">
        <f>IF(Raw_Data!V995="","",IF(Raw_Data!V995="oui",1,0))</f>
        <v/>
      </c>
      <c r="AA992" s="12" t="str">
        <f>IF(Raw_Data!W995="","",IF(Raw_Data!W995="oui",1,0))</f>
        <v/>
      </c>
      <c r="AB992" s="12" t="str">
        <f>IF(Raw_Data!Q995="","",IF(Raw_Data!Q995="oui",1,0))</f>
        <v/>
      </c>
      <c r="AC992" s="12">
        <f>Raw_Data!AF995</f>
        <v>0</v>
      </c>
      <c r="AD992" s="12" t="str">
        <f t="shared" si="140"/>
        <v/>
      </c>
      <c r="AE992" s="12" t="str">
        <f t="shared" si="141"/>
        <v/>
      </c>
      <c r="AF992" s="12" t="str">
        <f t="shared" si="142"/>
        <v/>
      </c>
      <c r="AG992" s="12">
        <f t="shared" si="143"/>
        <v>0</v>
      </c>
    </row>
    <row r="993" spans="1:33" ht="15" customHeight="1" x14ac:dyDescent="0.25">
      <c r="A993" s="12" t="str">
        <f>IF(Raw_Data!B996="","",Raw_Data!B996)</f>
        <v/>
      </c>
      <c r="B993" s="12">
        <f>IF(Raw_Data!X996&lt;&gt;"",Raw_Data!X996,Raw_Data!C996)</f>
        <v>0</v>
      </c>
      <c r="C993" s="12" t="str">
        <f>IF(Raw_Data!G996="","",Raw_Data!G996)</f>
        <v/>
      </c>
      <c r="D993" s="12" t="str">
        <f>IF(Raw_Data!H996="","",Raw_Data!H996)</f>
        <v/>
      </c>
      <c r="E993" s="12" t="str">
        <f>IF(Raw_Data!I996="","",Raw_Data!I996)</f>
        <v/>
      </c>
      <c r="F993" s="12" t="str">
        <f>IF(Raw_Data!J996="","",Raw_Data!J996)</f>
        <v/>
      </c>
      <c r="G993" s="12" t="str">
        <f>IF(Raw_Data!AH996&lt;&gt;"",Raw_Data!AH996,IF(Raw_Data!K996&lt;&gt;"",Raw_Data!K996,""))</f>
        <v/>
      </c>
      <c r="H993" s="12" t="str">
        <f>IF(Raw_Data!AI996&lt;&gt;"",Raw_Data!AI996,IF(Raw_Data!L996&lt;&gt;"",Raw_Data!L996,""))</f>
        <v/>
      </c>
      <c r="I993" s="12" t="str">
        <f t="shared" si="135"/>
        <v/>
      </c>
      <c r="J993" s="12" t="str">
        <f>IF(Raw_Data!M996="","",Raw_Data!M996)</f>
        <v/>
      </c>
      <c r="K993" s="12">
        <f>IF(Raw_Data!AJ996&lt;&gt;"",Raw_Data!AJ996,Raw_Data!N996)</f>
        <v>0</v>
      </c>
      <c r="L993" s="12">
        <f t="shared" si="136"/>
        <v>1</v>
      </c>
      <c r="M993" s="12" t="str">
        <f>IF(Raw_Data!AK996="","",Raw_Data!AK996)</f>
        <v/>
      </c>
      <c r="N993" s="12" t="str">
        <f>IF(Raw_Data!T996="","",Raw_Data!T996)</f>
        <v/>
      </c>
      <c r="O993" s="12" t="str">
        <f>IF(Raw_Data!AB996&lt;&gt;"",Raw_Data!AB996,IF(N993="tres_insatisfait",1,IF(N993="insatisfait",2,IF(N993="neutre",3,IF(N993="satisfait",4,IF(N993="tres_satisfait",5,""))))))</f>
        <v/>
      </c>
      <c r="P993" s="12">
        <f>IF(Raw_Data!AL996&lt;&gt;"",Raw_Data!AL996,Raw_Data!R996)</f>
        <v>0</v>
      </c>
      <c r="Q993" s="12">
        <f t="shared" si="137"/>
        <v>0</v>
      </c>
      <c r="R993" s="12" t="str">
        <f>IF(Raw_Data!AM996="","",Raw_Data!AM996)</f>
        <v/>
      </c>
      <c r="S993" s="12" t="str">
        <f t="shared" si="138"/>
        <v/>
      </c>
      <c r="T993" s="12" t="str">
        <f>IF(Raw_Data!AN996="","",Raw_Data!AN996)</f>
        <v/>
      </c>
      <c r="U993" s="12" t="str">
        <f t="shared" si="139"/>
        <v/>
      </c>
      <c r="V993" s="12" t="str">
        <f>IF(Raw_Data!AP996="","",IF(Raw_Data!AP996="oui",1,0))</f>
        <v/>
      </c>
      <c r="W993" s="12" t="str">
        <f>IF(Raw_Data!AQ996="","",IF(Raw_Data!AQ996="oui",1,0))</f>
        <v/>
      </c>
      <c r="X993" s="12" t="str">
        <f>IF(Raw_Data!AR996="","",IF(Raw_Data!AR996="oui",1,0))</f>
        <v/>
      </c>
      <c r="Y993" s="12" t="str">
        <f>IF(Raw_Data!AS996="","",IF(Raw_Data!AS996="oui",1,0))</f>
        <v/>
      </c>
      <c r="Z993" s="12" t="str">
        <f>IF(Raw_Data!V996="","",IF(Raw_Data!V996="oui",1,0))</f>
        <v/>
      </c>
      <c r="AA993" s="12" t="str">
        <f>IF(Raw_Data!W996="","",IF(Raw_Data!W996="oui",1,0))</f>
        <v/>
      </c>
      <c r="AB993" s="12" t="str">
        <f>IF(Raw_Data!Q996="","",IF(Raw_Data!Q996="oui",1,0))</f>
        <v/>
      </c>
      <c r="AC993" s="12">
        <f>Raw_Data!AF996</f>
        <v>0</v>
      </c>
      <c r="AD993" s="12" t="str">
        <f t="shared" si="140"/>
        <v/>
      </c>
      <c r="AE993" s="12" t="str">
        <f t="shared" si="141"/>
        <v/>
      </c>
      <c r="AF993" s="12" t="str">
        <f t="shared" si="142"/>
        <v/>
      </c>
      <c r="AG993" s="12">
        <f t="shared" si="143"/>
        <v>0</v>
      </c>
    </row>
    <row r="994" spans="1:33" ht="15" customHeight="1" x14ac:dyDescent="0.25">
      <c r="A994" s="12" t="str">
        <f>IF(Raw_Data!B997="","",Raw_Data!B997)</f>
        <v/>
      </c>
      <c r="B994" s="12">
        <f>IF(Raw_Data!X997&lt;&gt;"",Raw_Data!X997,Raw_Data!C997)</f>
        <v>0</v>
      </c>
      <c r="C994" s="12" t="str">
        <f>IF(Raw_Data!G997="","",Raw_Data!G997)</f>
        <v/>
      </c>
      <c r="D994" s="12" t="str">
        <f>IF(Raw_Data!H997="","",Raw_Data!H997)</f>
        <v/>
      </c>
      <c r="E994" s="12" t="str">
        <f>IF(Raw_Data!I997="","",Raw_Data!I997)</f>
        <v/>
      </c>
      <c r="F994" s="12" t="str">
        <f>IF(Raw_Data!J997="","",Raw_Data!J997)</f>
        <v/>
      </c>
      <c r="G994" s="12" t="str">
        <f>IF(Raw_Data!AH997&lt;&gt;"",Raw_Data!AH997,IF(Raw_Data!K997&lt;&gt;"",Raw_Data!K997,""))</f>
        <v/>
      </c>
      <c r="H994" s="12" t="str">
        <f>IF(Raw_Data!AI997&lt;&gt;"",Raw_Data!AI997,IF(Raw_Data!L997&lt;&gt;"",Raw_Data!L997,""))</f>
        <v/>
      </c>
      <c r="I994" s="12" t="str">
        <f t="shared" si="135"/>
        <v/>
      </c>
      <c r="J994" s="12" t="str">
        <f>IF(Raw_Data!M997="","",Raw_Data!M997)</f>
        <v/>
      </c>
      <c r="K994" s="12">
        <f>IF(Raw_Data!AJ997&lt;&gt;"",Raw_Data!AJ997,Raw_Data!N997)</f>
        <v>0</v>
      </c>
      <c r="L994" s="12">
        <f t="shared" si="136"/>
        <v>1</v>
      </c>
      <c r="M994" s="12" t="str">
        <f>IF(Raw_Data!AK997="","",Raw_Data!AK997)</f>
        <v/>
      </c>
      <c r="N994" s="12" t="str">
        <f>IF(Raw_Data!T997="","",Raw_Data!T997)</f>
        <v/>
      </c>
      <c r="O994" s="12" t="str">
        <f>IF(Raw_Data!AB997&lt;&gt;"",Raw_Data!AB997,IF(N994="tres_insatisfait",1,IF(N994="insatisfait",2,IF(N994="neutre",3,IF(N994="satisfait",4,IF(N994="tres_satisfait",5,""))))))</f>
        <v/>
      </c>
      <c r="P994" s="12">
        <f>IF(Raw_Data!AL997&lt;&gt;"",Raw_Data!AL997,Raw_Data!R997)</f>
        <v>0</v>
      </c>
      <c r="Q994" s="12">
        <f t="shared" si="137"/>
        <v>0</v>
      </c>
      <c r="R994" s="12" t="str">
        <f>IF(Raw_Data!AM997="","",Raw_Data!AM997)</f>
        <v/>
      </c>
      <c r="S994" s="12" t="str">
        <f t="shared" si="138"/>
        <v/>
      </c>
      <c r="T994" s="12" t="str">
        <f>IF(Raw_Data!AN997="","",Raw_Data!AN997)</f>
        <v/>
      </c>
      <c r="U994" s="12" t="str">
        <f t="shared" si="139"/>
        <v/>
      </c>
      <c r="V994" s="12" t="str">
        <f>IF(Raw_Data!AP997="","",IF(Raw_Data!AP997="oui",1,0))</f>
        <v/>
      </c>
      <c r="W994" s="12" t="str">
        <f>IF(Raw_Data!AQ997="","",IF(Raw_Data!AQ997="oui",1,0))</f>
        <v/>
      </c>
      <c r="X994" s="12" t="str">
        <f>IF(Raw_Data!AR997="","",IF(Raw_Data!AR997="oui",1,0))</f>
        <v/>
      </c>
      <c r="Y994" s="12" t="str">
        <f>IF(Raw_Data!AS997="","",IF(Raw_Data!AS997="oui",1,0))</f>
        <v/>
      </c>
      <c r="Z994" s="12" t="str">
        <f>IF(Raw_Data!V997="","",IF(Raw_Data!V997="oui",1,0))</f>
        <v/>
      </c>
      <c r="AA994" s="12" t="str">
        <f>IF(Raw_Data!W997="","",IF(Raw_Data!W997="oui",1,0))</f>
        <v/>
      </c>
      <c r="AB994" s="12" t="str">
        <f>IF(Raw_Data!Q997="","",IF(Raw_Data!Q997="oui",1,0))</f>
        <v/>
      </c>
      <c r="AC994" s="12">
        <f>Raw_Data!AF997</f>
        <v>0</v>
      </c>
      <c r="AD994" s="12" t="str">
        <f t="shared" si="140"/>
        <v/>
      </c>
      <c r="AE994" s="12" t="str">
        <f t="shared" si="141"/>
        <v/>
      </c>
      <c r="AF994" s="12" t="str">
        <f t="shared" si="142"/>
        <v/>
      </c>
      <c r="AG994" s="12">
        <f t="shared" si="143"/>
        <v>0</v>
      </c>
    </row>
    <row r="995" spans="1:33" ht="15" customHeight="1" x14ac:dyDescent="0.25">
      <c r="A995" s="12" t="str">
        <f>IF(Raw_Data!B998="","",Raw_Data!B998)</f>
        <v/>
      </c>
      <c r="B995" s="12">
        <f>IF(Raw_Data!X998&lt;&gt;"",Raw_Data!X998,Raw_Data!C998)</f>
        <v>0</v>
      </c>
      <c r="C995" s="12" t="str">
        <f>IF(Raw_Data!G998="","",Raw_Data!G998)</f>
        <v/>
      </c>
      <c r="D995" s="12" t="str">
        <f>IF(Raw_Data!H998="","",Raw_Data!H998)</f>
        <v/>
      </c>
      <c r="E995" s="12" t="str">
        <f>IF(Raw_Data!I998="","",Raw_Data!I998)</f>
        <v/>
      </c>
      <c r="F995" s="12" t="str">
        <f>IF(Raw_Data!J998="","",Raw_Data!J998)</f>
        <v/>
      </c>
      <c r="G995" s="12" t="str">
        <f>IF(Raw_Data!AH998&lt;&gt;"",Raw_Data!AH998,IF(Raw_Data!K998&lt;&gt;"",Raw_Data!K998,""))</f>
        <v/>
      </c>
      <c r="H995" s="12" t="str">
        <f>IF(Raw_Data!AI998&lt;&gt;"",Raw_Data!AI998,IF(Raw_Data!L998&lt;&gt;"",Raw_Data!L998,""))</f>
        <v/>
      </c>
      <c r="I995" s="12" t="str">
        <f t="shared" si="135"/>
        <v/>
      </c>
      <c r="J995" s="12" t="str">
        <f>IF(Raw_Data!M998="","",Raw_Data!M998)</f>
        <v/>
      </c>
      <c r="K995" s="12">
        <f>IF(Raw_Data!AJ998&lt;&gt;"",Raw_Data!AJ998,Raw_Data!N998)</f>
        <v>0</v>
      </c>
      <c r="L995" s="12">
        <f t="shared" si="136"/>
        <v>1</v>
      </c>
      <c r="M995" s="12" t="str">
        <f>IF(Raw_Data!AK998="","",Raw_Data!AK998)</f>
        <v/>
      </c>
      <c r="N995" s="12" t="str">
        <f>IF(Raw_Data!T998="","",Raw_Data!T998)</f>
        <v/>
      </c>
      <c r="O995" s="12" t="str">
        <f>IF(Raw_Data!AB998&lt;&gt;"",Raw_Data!AB998,IF(N995="tres_insatisfait",1,IF(N995="insatisfait",2,IF(N995="neutre",3,IF(N995="satisfait",4,IF(N995="tres_satisfait",5,""))))))</f>
        <v/>
      </c>
      <c r="P995" s="12">
        <f>IF(Raw_Data!AL998&lt;&gt;"",Raw_Data!AL998,Raw_Data!R998)</f>
        <v>0</v>
      </c>
      <c r="Q995" s="12">
        <f t="shared" si="137"/>
        <v>0</v>
      </c>
      <c r="R995" s="12" t="str">
        <f>IF(Raw_Data!AM998="","",Raw_Data!AM998)</f>
        <v/>
      </c>
      <c r="S995" s="12" t="str">
        <f t="shared" si="138"/>
        <v/>
      </c>
      <c r="T995" s="12" t="str">
        <f>IF(Raw_Data!AN998="","",Raw_Data!AN998)</f>
        <v/>
      </c>
      <c r="U995" s="12" t="str">
        <f t="shared" si="139"/>
        <v/>
      </c>
      <c r="V995" s="12" t="str">
        <f>IF(Raw_Data!AP998="","",IF(Raw_Data!AP998="oui",1,0))</f>
        <v/>
      </c>
      <c r="W995" s="12" t="str">
        <f>IF(Raw_Data!AQ998="","",IF(Raw_Data!AQ998="oui",1,0))</f>
        <v/>
      </c>
      <c r="X995" s="12" t="str">
        <f>IF(Raw_Data!AR998="","",IF(Raw_Data!AR998="oui",1,0))</f>
        <v/>
      </c>
      <c r="Y995" s="12" t="str">
        <f>IF(Raw_Data!AS998="","",IF(Raw_Data!AS998="oui",1,0))</f>
        <v/>
      </c>
      <c r="Z995" s="12" t="str">
        <f>IF(Raw_Data!V998="","",IF(Raw_Data!V998="oui",1,0))</f>
        <v/>
      </c>
      <c r="AA995" s="12" t="str">
        <f>IF(Raw_Data!W998="","",IF(Raw_Data!W998="oui",1,0))</f>
        <v/>
      </c>
      <c r="AB995" s="12" t="str">
        <f>IF(Raw_Data!Q998="","",IF(Raw_Data!Q998="oui",1,0))</f>
        <v/>
      </c>
      <c r="AC995" s="12">
        <f>Raw_Data!AF998</f>
        <v>0</v>
      </c>
      <c r="AD995" s="12" t="str">
        <f t="shared" si="140"/>
        <v/>
      </c>
      <c r="AE995" s="12" t="str">
        <f t="shared" si="141"/>
        <v/>
      </c>
      <c r="AF995" s="12" t="str">
        <f t="shared" si="142"/>
        <v/>
      </c>
      <c r="AG995" s="12">
        <f t="shared" si="143"/>
        <v>0</v>
      </c>
    </row>
    <row r="996" spans="1:33" ht="15" customHeight="1" x14ac:dyDescent="0.25">
      <c r="A996" s="12" t="str">
        <f>IF(Raw_Data!B999="","",Raw_Data!B999)</f>
        <v/>
      </c>
      <c r="B996" s="12">
        <f>IF(Raw_Data!X999&lt;&gt;"",Raw_Data!X999,Raw_Data!C999)</f>
        <v>0</v>
      </c>
      <c r="C996" s="12" t="str">
        <f>IF(Raw_Data!G999="","",Raw_Data!G999)</f>
        <v/>
      </c>
      <c r="D996" s="12" t="str">
        <f>IF(Raw_Data!H999="","",Raw_Data!H999)</f>
        <v/>
      </c>
      <c r="E996" s="12" t="str">
        <f>IF(Raw_Data!I999="","",Raw_Data!I999)</f>
        <v/>
      </c>
      <c r="F996" s="12" t="str">
        <f>IF(Raw_Data!J999="","",Raw_Data!J999)</f>
        <v/>
      </c>
      <c r="G996" s="12" t="str">
        <f>IF(Raw_Data!AH999&lt;&gt;"",Raw_Data!AH999,IF(Raw_Data!K999&lt;&gt;"",Raw_Data!K999,""))</f>
        <v/>
      </c>
      <c r="H996" s="12" t="str">
        <f>IF(Raw_Data!AI999&lt;&gt;"",Raw_Data!AI999,IF(Raw_Data!L999&lt;&gt;"",Raw_Data!L999,""))</f>
        <v/>
      </c>
      <c r="I996" s="12" t="str">
        <f t="shared" si="135"/>
        <v/>
      </c>
      <c r="J996" s="12" t="str">
        <f>IF(Raw_Data!M999="","",Raw_Data!M999)</f>
        <v/>
      </c>
      <c r="K996" s="12">
        <f>IF(Raw_Data!AJ999&lt;&gt;"",Raw_Data!AJ999,Raw_Data!N999)</f>
        <v>0</v>
      </c>
      <c r="L996" s="12">
        <f t="shared" si="136"/>
        <v>1</v>
      </c>
      <c r="M996" s="12" t="str">
        <f>IF(Raw_Data!AK999="","",Raw_Data!AK999)</f>
        <v/>
      </c>
      <c r="N996" s="12" t="str">
        <f>IF(Raw_Data!T999="","",Raw_Data!T999)</f>
        <v/>
      </c>
      <c r="O996" s="12" t="str">
        <f>IF(Raw_Data!AB999&lt;&gt;"",Raw_Data!AB999,IF(N996="tres_insatisfait",1,IF(N996="insatisfait",2,IF(N996="neutre",3,IF(N996="satisfait",4,IF(N996="tres_satisfait",5,""))))))</f>
        <v/>
      </c>
      <c r="P996" s="12">
        <f>IF(Raw_Data!AL999&lt;&gt;"",Raw_Data!AL999,Raw_Data!R999)</f>
        <v>0</v>
      </c>
      <c r="Q996" s="12">
        <f t="shared" si="137"/>
        <v>0</v>
      </c>
      <c r="R996" s="12" t="str">
        <f>IF(Raw_Data!AM999="","",Raw_Data!AM999)</f>
        <v/>
      </c>
      <c r="S996" s="12" t="str">
        <f t="shared" si="138"/>
        <v/>
      </c>
      <c r="T996" s="12" t="str">
        <f>IF(Raw_Data!AN999="","",Raw_Data!AN999)</f>
        <v/>
      </c>
      <c r="U996" s="12" t="str">
        <f t="shared" si="139"/>
        <v/>
      </c>
      <c r="V996" s="12" t="str">
        <f>IF(Raw_Data!AP999="","",IF(Raw_Data!AP999="oui",1,0))</f>
        <v/>
      </c>
      <c r="W996" s="12" t="str">
        <f>IF(Raw_Data!AQ999="","",IF(Raw_Data!AQ999="oui",1,0))</f>
        <v/>
      </c>
      <c r="X996" s="12" t="str">
        <f>IF(Raw_Data!AR999="","",IF(Raw_Data!AR999="oui",1,0))</f>
        <v/>
      </c>
      <c r="Y996" s="12" t="str">
        <f>IF(Raw_Data!AS999="","",IF(Raw_Data!AS999="oui",1,0))</f>
        <v/>
      </c>
      <c r="Z996" s="12" t="str">
        <f>IF(Raw_Data!V999="","",IF(Raw_Data!V999="oui",1,0))</f>
        <v/>
      </c>
      <c r="AA996" s="12" t="str">
        <f>IF(Raw_Data!W999="","",IF(Raw_Data!W999="oui",1,0))</f>
        <v/>
      </c>
      <c r="AB996" s="12" t="str">
        <f>IF(Raw_Data!Q999="","",IF(Raw_Data!Q999="oui",1,0))</f>
        <v/>
      </c>
      <c r="AC996" s="12">
        <f>Raw_Data!AF999</f>
        <v>0</v>
      </c>
      <c r="AD996" s="12" t="str">
        <f t="shared" si="140"/>
        <v/>
      </c>
      <c r="AE996" s="12" t="str">
        <f t="shared" si="141"/>
        <v/>
      </c>
      <c r="AF996" s="12" t="str">
        <f t="shared" si="142"/>
        <v/>
      </c>
      <c r="AG996" s="12">
        <f t="shared" si="143"/>
        <v>0</v>
      </c>
    </row>
    <row r="997" spans="1:33" ht="15" customHeight="1" x14ac:dyDescent="0.25">
      <c r="A997" s="12" t="str">
        <f>IF(Raw_Data!B1000="","",Raw_Data!B1000)</f>
        <v/>
      </c>
      <c r="B997" s="12">
        <f>IF(Raw_Data!X1000&lt;&gt;"",Raw_Data!X1000,Raw_Data!C1000)</f>
        <v>0</v>
      </c>
      <c r="C997" s="12" t="str">
        <f>IF(Raw_Data!G1000="","",Raw_Data!G1000)</f>
        <v/>
      </c>
      <c r="D997" s="12" t="str">
        <f>IF(Raw_Data!H1000="","",Raw_Data!H1000)</f>
        <v/>
      </c>
      <c r="E997" s="12" t="str">
        <f>IF(Raw_Data!I1000="","",Raw_Data!I1000)</f>
        <v/>
      </c>
      <c r="F997" s="12" t="str">
        <f>IF(Raw_Data!J1000="","",Raw_Data!J1000)</f>
        <v/>
      </c>
      <c r="G997" s="12" t="str">
        <f>IF(Raw_Data!AH1000&lt;&gt;"",Raw_Data!AH1000,IF(Raw_Data!K1000&lt;&gt;"",Raw_Data!K1000,""))</f>
        <v/>
      </c>
      <c r="H997" s="12" t="str">
        <f>IF(Raw_Data!AI1000&lt;&gt;"",Raw_Data!AI1000,IF(Raw_Data!L1000&lt;&gt;"",Raw_Data!L1000,""))</f>
        <v/>
      </c>
      <c r="I997" s="12" t="str">
        <f t="shared" si="135"/>
        <v/>
      </c>
      <c r="J997" s="12" t="str">
        <f>IF(Raw_Data!M1000="","",Raw_Data!M1000)</f>
        <v/>
      </c>
      <c r="K997" s="12">
        <f>IF(Raw_Data!AJ1000&lt;&gt;"",Raw_Data!AJ1000,Raw_Data!N1000)</f>
        <v>0</v>
      </c>
      <c r="L997" s="12">
        <f t="shared" si="136"/>
        <v>1</v>
      </c>
      <c r="M997" s="12" t="str">
        <f>IF(Raw_Data!AK1000="","",Raw_Data!AK1000)</f>
        <v/>
      </c>
      <c r="N997" s="12" t="str">
        <f>IF(Raw_Data!T1000="","",Raw_Data!T1000)</f>
        <v/>
      </c>
      <c r="O997" s="12" t="str">
        <f>IF(Raw_Data!AB1000&lt;&gt;"",Raw_Data!AB1000,IF(N997="tres_insatisfait",1,IF(N997="insatisfait",2,IF(N997="neutre",3,IF(N997="satisfait",4,IF(N997="tres_satisfait",5,""))))))</f>
        <v/>
      </c>
      <c r="P997" s="12">
        <f>IF(Raw_Data!AL1000&lt;&gt;"",Raw_Data!AL1000,Raw_Data!R1000)</f>
        <v>0</v>
      </c>
      <c r="Q997" s="12">
        <f t="shared" si="137"/>
        <v>0</v>
      </c>
      <c r="R997" s="12" t="str">
        <f>IF(Raw_Data!AM1000="","",Raw_Data!AM1000)</f>
        <v/>
      </c>
      <c r="S997" s="12" t="str">
        <f t="shared" si="138"/>
        <v/>
      </c>
      <c r="T997" s="12" t="str">
        <f>IF(Raw_Data!AN1000="","",Raw_Data!AN1000)</f>
        <v/>
      </c>
      <c r="U997" s="12" t="str">
        <f t="shared" si="139"/>
        <v/>
      </c>
      <c r="V997" s="12" t="str">
        <f>IF(Raw_Data!AP1000="","",IF(Raw_Data!AP1000="oui",1,0))</f>
        <v/>
      </c>
      <c r="W997" s="12" t="str">
        <f>IF(Raw_Data!AQ1000="","",IF(Raw_Data!AQ1000="oui",1,0))</f>
        <v/>
      </c>
      <c r="X997" s="12" t="str">
        <f>IF(Raw_Data!AR1000="","",IF(Raw_Data!AR1000="oui",1,0))</f>
        <v/>
      </c>
      <c r="Y997" s="12" t="str">
        <f>IF(Raw_Data!AS1000="","",IF(Raw_Data!AS1000="oui",1,0))</f>
        <v/>
      </c>
      <c r="Z997" s="12" t="str">
        <f>IF(Raw_Data!V1000="","",IF(Raw_Data!V1000="oui",1,0))</f>
        <v/>
      </c>
      <c r="AA997" s="12" t="str">
        <f>IF(Raw_Data!W1000="","",IF(Raw_Data!W1000="oui",1,0))</f>
        <v/>
      </c>
      <c r="AB997" s="12" t="str">
        <f>IF(Raw_Data!Q1000="","",IF(Raw_Data!Q1000="oui",1,0))</f>
        <v/>
      </c>
      <c r="AC997" s="12">
        <f>Raw_Data!AF1000</f>
        <v>0</v>
      </c>
      <c r="AD997" s="12" t="str">
        <f t="shared" si="140"/>
        <v/>
      </c>
      <c r="AE997" s="12" t="str">
        <f t="shared" si="141"/>
        <v/>
      </c>
      <c r="AF997" s="12" t="str">
        <f t="shared" si="142"/>
        <v/>
      </c>
      <c r="AG997" s="12">
        <f t="shared" si="143"/>
        <v>0</v>
      </c>
    </row>
    <row r="998" spans="1:33" ht="15" customHeight="1" x14ac:dyDescent="0.25">
      <c r="A998" s="12" t="str">
        <f>IF(Raw_Data!B1001="","",Raw_Data!B1001)</f>
        <v/>
      </c>
      <c r="B998" s="12">
        <f>IF(Raw_Data!X1001&lt;&gt;"",Raw_Data!X1001,Raw_Data!C1001)</f>
        <v>0</v>
      </c>
      <c r="C998" s="12" t="str">
        <f>IF(Raw_Data!G1001="","",Raw_Data!G1001)</f>
        <v/>
      </c>
      <c r="D998" s="12" t="str">
        <f>IF(Raw_Data!H1001="","",Raw_Data!H1001)</f>
        <v/>
      </c>
      <c r="E998" s="12" t="str">
        <f>IF(Raw_Data!I1001="","",Raw_Data!I1001)</f>
        <v/>
      </c>
      <c r="F998" s="12" t="str">
        <f>IF(Raw_Data!J1001="","",Raw_Data!J1001)</f>
        <v/>
      </c>
      <c r="G998" s="12" t="str">
        <f>IF(Raw_Data!AH1001&lt;&gt;"",Raw_Data!AH1001,IF(Raw_Data!K1001&lt;&gt;"",Raw_Data!K1001,""))</f>
        <v/>
      </c>
      <c r="H998" s="12" t="str">
        <f>IF(Raw_Data!AI1001&lt;&gt;"",Raw_Data!AI1001,IF(Raw_Data!L1001&lt;&gt;"",Raw_Data!L1001,""))</f>
        <v/>
      </c>
      <c r="I998" s="12" t="str">
        <f t="shared" si="135"/>
        <v/>
      </c>
      <c r="J998" s="12" t="str">
        <f>IF(Raw_Data!M1001="","",Raw_Data!M1001)</f>
        <v/>
      </c>
      <c r="K998" s="12">
        <f>IF(Raw_Data!AJ1001&lt;&gt;"",Raw_Data!AJ1001,Raw_Data!N1001)</f>
        <v>0</v>
      </c>
      <c r="L998" s="12">
        <f t="shared" si="136"/>
        <v>1</v>
      </c>
      <c r="M998" s="12" t="str">
        <f>IF(Raw_Data!AK1001="","",Raw_Data!AK1001)</f>
        <v/>
      </c>
      <c r="N998" s="12" t="str">
        <f>IF(Raw_Data!T1001="","",Raw_Data!T1001)</f>
        <v/>
      </c>
      <c r="O998" s="12" t="str">
        <f>IF(Raw_Data!AB1001&lt;&gt;"",Raw_Data!AB1001,IF(N998="tres_insatisfait",1,IF(N998="insatisfait",2,IF(N998="neutre",3,IF(N998="satisfait",4,IF(N998="tres_satisfait",5,""))))))</f>
        <v/>
      </c>
      <c r="P998" s="12">
        <f>IF(Raw_Data!AL1001&lt;&gt;"",Raw_Data!AL1001,Raw_Data!R1001)</f>
        <v>0</v>
      </c>
      <c r="Q998" s="12">
        <f t="shared" si="137"/>
        <v>0</v>
      </c>
      <c r="R998" s="12" t="str">
        <f>IF(Raw_Data!AM1001="","",Raw_Data!AM1001)</f>
        <v/>
      </c>
      <c r="S998" s="12" t="str">
        <f t="shared" si="138"/>
        <v/>
      </c>
      <c r="T998" s="12" t="str">
        <f>IF(Raw_Data!AN1001="","",Raw_Data!AN1001)</f>
        <v/>
      </c>
      <c r="U998" s="12" t="str">
        <f t="shared" si="139"/>
        <v/>
      </c>
      <c r="V998" s="12" t="str">
        <f>IF(Raw_Data!AP1001="","",IF(Raw_Data!AP1001="oui",1,0))</f>
        <v/>
      </c>
      <c r="W998" s="12" t="str">
        <f>IF(Raw_Data!AQ1001="","",IF(Raw_Data!AQ1001="oui",1,0))</f>
        <v/>
      </c>
      <c r="X998" s="12" t="str">
        <f>IF(Raw_Data!AR1001="","",IF(Raw_Data!AR1001="oui",1,0))</f>
        <v/>
      </c>
      <c r="Y998" s="12" t="str">
        <f>IF(Raw_Data!AS1001="","",IF(Raw_Data!AS1001="oui",1,0))</f>
        <v/>
      </c>
      <c r="Z998" s="12" t="str">
        <f>IF(Raw_Data!V1001="","",IF(Raw_Data!V1001="oui",1,0))</f>
        <v/>
      </c>
      <c r="AA998" s="12" t="str">
        <f>IF(Raw_Data!W1001="","",IF(Raw_Data!W1001="oui",1,0))</f>
        <v/>
      </c>
      <c r="AB998" s="12" t="str">
        <f>IF(Raw_Data!Q1001="","",IF(Raw_Data!Q1001="oui",1,0))</f>
        <v/>
      </c>
      <c r="AC998" s="12">
        <f>Raw_Data!AF1001</f>
        <v>0</v>
      </c>
      <c r="AD998" s="12" t="str">
        <f t="shared" si="140"/>
        <v/>
      </c>
      <c r="AE998" s="12" t="str">
        <f t="shared" si="141"/>
        <v/>
      </c>
      <c r="AF998" s="12" t="str">
        <f t="shared" si="142"/>
        <v/>
      </c>
      <c r="AG998" s="12">
        <f t="shared" si="143"/>
        <v>0</v>
      </c>
    </row>
    <row r="999" spans="1:33" ht="15" customHeight="1" x14ac:dyDescent="0.25">
      <c r="A999" s="12" t="str">
        <f>IF(Raw_Data!B1002="","",Raw_Data!B1002)</f>
        <v/>
      </c>
      <c r="B999" s="12">
        <f>IF(Raw_Data!X1002&lt;&gt;"",Raw_Data!X1002,Raw_Data!C1002)</f>
        <v>0</v>
      </c>
      <c r="C999" s="12" t="str">
        <f>IF(Raw_Data!G1002="","",Raw_Data!G1002)</f>
        <v/>
      </c>
      <c r="D999" s="12" t="str">
        <f>IF(Raw_Data!H1002="","",Raw_Data!H1002)</f>
        <v/>
      </c>
      <c r="E999" s="12" t="str">
        <f>IF(Raw_Data!I1002="","",Raw_Data!I1002)</f>
        <v/>
      </c>
      <c r="F999" s="12" t="str">
        <f>IF(Raw_Data!J1002="","",Raw_Data!J1002)</f>
        <v/>
      </c>
      <c r="G999" s="12" t="str">
        <f>IF(Raw_Data!AH1002&lt;&gt;"",Raw_Data!AH1002,IF(Raw_Data!K1002&lt;&gt;"",Raw_Data!K1002,""))</f>
        <v/>
      </c>
      <c r="H999" s="12" t="str">
        <f>IF(Raw_Data!AI1002&lt;&gt;"",Raw_Data!AI1002,IF(Raw_Data!L1002&lt;&gt;"",Raw_Data!L1002,""))</f>
        <v/>
      </c>
      <c r="I999" s="12" t="str">
        <f t="shared" si="135"/>
        <v/>
      </c>
      <c r="J999" s="12" t="str">
        <f>IF(Raw_Data!M1002="","",Raw_Data!M1002)</f>
        <v/>
      </c>
      <c r="K999" s="12">
        <f>IF(Raw_Data!AJ1002&lt;&gt;"",Raw_Data!AJ1002,Raw_Data!N1002)</f>
        <v>0</v>
      </c>
      <c r="L999" s="12">
        <f t="shared" si="136"/>
        <v>1</v>
      </c>
      <c r="M999" s="12" t="str">
        <f>IF(Raw_Data!AK1002="","",Raw_Data!AK1002)</f>
        <v/>
      </c>
      <c r="N999" s="12" t="str">
        <f>IF(Raw_Data!T1002="","",Raw_Data!T1002)</f>
        <v/>
      </c>
      <c r="O999" s="12" t="str">
        <f>IF(Raw_Data!AB1002&lt;&gt;"",Raw_Data!AB1002,IF(N999="tres_insatisfait",1,IF(N999="insatisfait",2,IF(N999="neutre",3,IF(N999="satisfait",4,IF(N999="tres_satisfait",5,""))))))</f>
        <v/>
      </c>
      <c r="P999" s="12">
        <f>IF(Raw_Data!AL1002&lt;&gt;"",Raw_Data!AL1002,Raw_Data!R1002)</f>
        <v>0</v>
      </c>
      <c r="Q999" s="12">
        <f t="shared" si="137"/>
        <v>0</v>
      </c>
      <c r="R999" s="12" t="str">
        <f>IF(Raw_Data!AM1002="","",Raw_Data!AM1002)</f>
        <v/>
      </c>
      <c r="S999" s="12" t="str">
        <f t="shared" si="138"/>
        <v/>
      </c>
      <c r="T999" s="12" t="str">
        <f>IF(Raw_Data!AN1002="","",Raw_Data!AN1002)</f>
        <v/>
      </c>
      <c r="U999" s="12" t="str">
        <f t="shared" si="139"/>
        <v/>
      </c>
      <c r="V999" s="12" t="str">
        <f>IF(Raw_Data!AP1002="","",IF(Raw_Data!AP1002="oui",1,0))</f>
        <v/>
      </c>
      <c r="W999" s="12" t="str">
        <f>IF(Raw_Data!AQ1002="","",IF(Raw_Data!AQ1002="oui",1,0))</f>
        <v/>
      </c>
      <c r="X999" s="12" t="str">
        <f>IF(Raw_Data!AR1002="","",IF(Raw_Data!AR1002="oui",1,0))</f>
        <v/>
      </c>
      <c r="Y999" s="12" t="str">
        <f>IF(Raw_Data!AS1002="","",IF(Raw_Data!AS1002="oui",1,0))</f>
        <v/>
      </c>
      <c r="Z999" s="12" t="str">
        <f>IF(Raw_Data!V1002="","",IF(Raw_Data!V1002="oui",1,0))</f>
        <v/>
      </c>
      <c r="AA999" s="12" t="str">
        <f>IF(Raw_Data!W1002="","",IF(Raw_Data!W1002="oui",1,0))</f>
        <v/>
      </c>
      <c r="AB999" s="12" t="str">
        <f>IF(Raw_Data!Q1002="","",IF(Raw_Data!Q1002="oui",1,0))</f>
        <v/>
      </c>
      <c r="AC999" s="12">
        <f>Raw_Data!AF1002</f>
        <v>0</v>
      </c>
      <c r="AD999" s="12" t="str">
        <f t="shared" si="140"/>
        <v/>
      </c>
      <c r="AE999" s="12" t="str">
        <f t="shared" si="141"/>
        <v/>
      </c>
      <c r="AF999" s="12" t="str">
        <f t="shared" si="142"/>
        <v/>
      </c>
      <c r="AG999" s="12">
        <f t="shared" si="143"/>
        <v>0</v>
      </c>
    </row>
    <row r="1000" spans="1:33" ht="15" customHeight="1" x14ac:dyDescent="0.25">
      <c r="A1000" s="12" t="str">
        <f>IF(Raw_Data!B1003="","",Raw_Data!B1003)</f>
        <v/>
      </c>
      <c r="B1000" s="12">
        <f>IF(Raw_Data!X1003&lt;&gt;"",Raw_Data!X1003,Raw_Data!C1003)</f>
        <v>0</v>
      </c>
      <c r="C1000" s="12" t="str">
        <f>IF(Raw_Data!G1003="","",Raw_Data!G1003)</f>
        <v/>
      </c>
      <c r="D1000" s="12" t="str">
        <f>IF(Raw_Data!H1003="","",Raw_Data!H1003)</f>
        <v/>
      </c>
      <c r="E1000" s="12" t="str">
        <f>IF(Raw_Data!I1003="","",Raw_Data!I1003)</f>
        <v/>
      </c>
      <c r="F1000" s="12" t="str">
        <f>IF(Raw_Data!J1003="","",Raw_Data!J1003)</f>
        <v/>
      </c>
      <c r="G1000" s="12" t="str">
        <f>IF(Raw_Data!AH1003&lt;&gt;"",Raw_Data!AH1003,IF(Raw_Data!K1003&lt;&gt;"",Raw_Data!K1003,""))</f>
        <v/>
      </c>
      <c r="H1000" s="12" t="str">
        <f>IF(Raw_Data!AI1003&lt;&gt;"",Raw_Data!AI1003,IF(Raw_Data!L1003&lt;&gt;"",Raw_Data!L1003,""))</f>
        <v/>
      </c>
      <c r="I1000" s="12" t="str">
        <f t="shared" si="135"/>
        <v/>
      </c>
      <c r="J1000" s="12" t="str">
        <f>IF(Raw_Data!M1003="","",Raw_Data!M1003)</f>
        <v/>
      </c>
      <c r="K1000" s="12">
        <f>IF(Raw_Data!AJ1003&lt;&gt;"",Raw_Data!AJ1003,Raw_Data!N1003)</f>
        <v>0</v>
      </c>
      <c r="L1000" s="12">
        <f t="shared" si="136"/>
        <v>1</v>
      </c>
      <c r="M1000" s="12" t="str">
        <f>IF(Raw_Data!AK1003="","",Raw_Data!AK1003)</f>
        <v/>
      </c>
      <c r="N1000" s="12" t="str">
        <f>IF(Raw_Data!T1003="","",Raw_Data!T1003)</f>
        <v/>
      </c>
      <c r="O1000" s="12" t="str">
        <f>IF(Raw_Data!AB1003&lt;&gt;"",Raw_Data!AB1003,IF(N1000="tres_insatisfait",1,IF(N1000="insatisfait",2,IF(N1000="neutre",3,IF(N1000="satisfait",4,IF(N1000="tres_satisfait",5,""))))))</f>
        <v/>
      </c>
      <c r="P1000" s="12">
        <f>IF(Raw_Data!AL1003&lt;&gt;"",Raw_Data!AL1003,Raw_Data!R1003)</f>
        <v>0</v>
      </c>
      <c r="Q1000" s="12">
        <f t="shared" si="137"/>
        <v>0</v>
      </c>
      <c r="R1000" s="12" t="str">
        <f>IF(Raw_Data!AM1003="","",Raw_Data!AM1003)</f>
        <v/>
      </c>
      <c r="S1000" s="12" t="str">
        <f t="shared" si="138"/>
        <v/>
      </c>
      <c r="T1000" s="12" t="str">
        <f>IF(Raw_Data!AN1003="","",Raw_Data!AN1003)</f>
        <v/>
      </c>
      <c r="U1000" s="12" t="str">
        <f t="shared" si="139"/>
        <v/>
      </c>
      <c r="V1000" s="12" t="str">
        <f>IF(Raw_Data!AP1003="","",IF(Raw_Data!AP1003="oui",1,0))</f>
        <v/>
      </c>
      <c r="W1000" s="12" t="str">
        <f>IF(Raw_Data!AQ1003="","",IF(Raw_Data!AQ1003="oui",1,0))</f>
        <v/>
      </c>
      <c r="X1000" s="12" t="str">
        <f>IF(Raw_Data!AR1003="","",IF(Raw_Data!AR1003="oui",1,0))</f>
        <v/>
      </c>
      <c r="Y1000" s="12" t="str">
        <f>IF(Raw_Data!AS1003="","",IF(Raw_Data!AS1003="oui",1,0))</f>
        <v/>
      </c>
      <c r="Z1000" s="12" t="str">
        <f>IF(Raw_Data!V1003="","",IF(Raw_Data!V1003="oui",1,0))</f>
        <v/>
      </c>
      <c r="AA1000" s="12" t="str">
        <f>IF(Raw_Data!W1003="","",IF(Raw_Data!W1003="oui",1,0))</f>
        <v/>
      </c>
      <c r="AB1000" s="12" t="str">
        <f>IF(Raw_Data!Q1003="","",IF(Raw_Data!Q1003="oui",1,0))</f>
        <v/>
      </c>
      <c r="AC1000" s="12">
        <f>Raw_Data!AF1003</f>
        <v>0</v>
      </c>
      <c r="AD1000" s="12" t="str">
        <f t="shared" si="140"/>
        <v/>
      </c>
      <c r="AE1000" s="12" t="str">
        <f t="shared" si="141"/>
        <v/>
      </c>
      <c r="AF1000" s="12" t="str">
        <f t="shared" si="142"/>
        <v/>
      </c>
      <c r="AG1000" s="12">
        <f t="shared" si="143"/>
        <v>0</v>
      </c>
    </row>
  </sheetData>
  <sheetProtection sheet="1" formatCells="0" formatColumns="0" formatRows="0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showGridLines="0" zoomScaleNormal="100" workbookViewId="0"/>
  </sheetViews>
  <sheetFormatPr baseColWidth="10" defaultColWidth="8.7109375" defaultRowHeight="15" x14ac:dyDescent="0.25"/>
  <cols>
    <col min="1" max="1" width="45" style="12" customWidth="1"/>
    <col min="2" max="3" width="16" style="12" customWidth="1"/>
    <col min="4" max="4" width="55" style="12" customWidth="1"/>
  </cols>
  <sheetData>
    <row r="1" spans="1:4" ht="19.5" customHeight="1" x14ac:dyDescent="0.3">
      <c r="A1" s="25" t="s">
        <v>133</v>
      </c>
    </row>
    <row r="2" spans="1:4" ht="15" customHeight="1" x14ac:dyDescent="0.25">
      <c r="A2" s="26" t="s">
        <v>134</v>
      </c>
    </row>
    <row r="4" spans="1:4" ht="15" customHeight="1" x14ac:dyDescent="0.25">
      <c r="A4" s="27" t="s">
        <v>135</v>
      </c>
      <c r="B4" s="27" t="s">
        <v>136</v>
      </c>
      <c r="C4" s="27" t="s">
        <v>137</v>
      </c>
      <c r="D4" s="27" t="s">
        <v>138</v>
      </c>
    </row>
    <row r="5" spans="1:4" ht="30" customHeight="1" x14ac:dyDescent="0.25">
      <c r="A5" s="28" t="s">
        <v>139</v>
      </c>
      <c r="B5" s="29">
        <f>SUM(Data_Clean!AG2:AG1000)</f>
        <v>1</v>
      </c>
      <c r="C5" s="30"/>
      <c r="D5" s="31" t="s">
        <v>140</v>
      </c>
    </row>
    <row r="6" spans="1:4" ht="30" customHeight="1" x14ac:dyDescent="0.25">
      <c r="A6" s="28" t="s">
        <v>141</v>
      </c>
      <c r="B6" s="29">
        <f>SUM(Data_Clean!AE2:AE1000)</f>
        <v>0</v>
      </c>
      <c r="C6" s="30">
        <f>IFERROR(B6/B5,"")</f>
        <v>0</v>
      </c>
      <c r="D6" s="31" t="s">
        <v>142</v>
      </c>
    </row>
    <row r="7" spans="1:4" ht="30" customHeight="1" x14ac:dyDescent="0.25">
      <c r="A7" s="28" t="s">
        <v>143</v>
      </c>
      <c r="B7" s="29">
        <f>SUM(Data_Clean!AF2:AF1000)</f>
        <v>0</v>
      </c>
      <c r="C7" s="30">
        <f>IFERROR(B7/B5,"")</f>
        <v>0</v>
      </c>
      <c r="D7" s="31" t="s">
        <v>144</v>
      </c>
    </row>
    <row r="8" spans="1:4" ht="30" customHeight="1" x14ac:dyDescent="0.25">
      <c r="A8" s="28" t="s">
        <v>145</v>
      </c>
      <c r="B8" s="29">
        <f>SUMPRODUCT((Data_Clean!H2:H1000&lt;&gt;"")*((Data_Clean!H2:H1000&lt;0)+(Data_Clean!H2:H1000&gt;120)))</f>
        <v>1</v>
      </c>
      <c r="C8" s="30">
        <f>IFERROR(B8/B5,"")</f>
        <v>1</v>
      </c>
      <c r="D8" s="31" t="s">
        <v>146</v>
      </c>
    </row>
    <row r="9" spans="1:4" ht="30" customHeight="1" x14ac:dyDescent="0.25">
      <c r="A9" s="28" t="s">
        <v>147</v>
      </c>
      <c r="B9" s="29">
        <f>SUMPRODUCT((Raw_Data!D5:D1003&lt;&gt;"")*(Raw_Data!E5:E1003&lt;&gt;"")*(Raw_Data!E5:E1003&lt;Raw_Data!D5:D1003))</f>
        <v>0</v>
      </c>
      <c r="C9" s="30">
        <f>IFERROR(B9/B5,"")</f>
        <v>0</v>
      </c>
      <c r="D9" s="31" t="s">
        <v>148</v>
      </c>
    </row>
    <row r="10" spans="1:4" ht="30" customHeight="1" x14ac:dyDescent="0.25">
      <c r="A10" s="28" t="s">
        <v>149</v>
      </c>
      <c r="B10" s="29">
        <f>SUMPRODUCT((Data_Clean!A2:A1000&lt;&gt;"")*(Data_Clean!AC2:AC1000=""))</f>
        <v>0</v>
      </c>
      <c r="C10" s="30">
        <f>IFERROR(B10/B5,"")</f>
        <v>0</v>
      </c>
      <c r="D10" s="31" t="s">
        <v>150</v>
      </c>
    </row>
    <row r="11" spans="1:4" ht="30" customHeight="1" x14ac:dyDescent="0.25">
      <c r="A11" s="28" t="s">
        <v>151</v>
      </c>
      <c r="B11" s="32">
        <f>IFERROR(1-((B6+B7+B8+B9+B10)/(B5*5)),"")</f>
        <v>0.8</v>
      </c>
      <c r="C11" s="30"/>
      <c r="D11" s="31" t="s">
        <v>152</v>
      </c>
    </row>
    <row r="14" spans="1:4" ht="15" customHeight="1" x14ac:dyDescent="0.25">
      <c r="A14" s="21" t="s">
        <v>153</v>
      </c>
    </row>
    <row r="15" spans="1:4" ht="15" customHeight="1" x14ac:dyDescent="0.25">
      <c r="A15" s="11" t="s">
        <v>154</v>
      </c>
      <c r="B15" s="11"/>
      <c r="C15" s="11"/>
      <c r="D15" s="11"/>
    </row>
  </sheetData>
  <sheetProtection sheet="1" formatCells="0" formatColumns="0" formatRows="0"/>
  <mergeCells count="1">
    <mergeCell ref="A15:D1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showGridLines="0" zoomScaleNormal="100" workbookViewId="0">
      <pane ySplit="10" topLeftCell="A11" activePane="bottomLeft" state="frozen"/>
      <selection pane="bottomLeft"/>
    </sheetView>
  </sheetViews>
  <sheetFormatPr baseColWidth="10" defaultColWidth="8.7109375" defaultRowHeight="15" x14ac:dyDescent="0.25"/>
  <cols>
    <col min="1" max="1" width="48" style="12" customWidth="1"/>
    <col min="2" max="3" width="16" style="12" customWidth="1"/>
    <col min="4" max="4" width="3" style="12" customWidth="1"/>
    <col min="5" max="5" width="55" style="12" customWidth="1"/>
  </cols>
  <sheetData>
    <row r="1" spans="1:5" ht="19.5" customHeight="1" x14ac:dyDescent="0.3">
      <c r="A1" s="25" t="s">
        <v>155</v>
      </c>
    </row>
    <row r="3" spans="1:5" ht="15" customHeight="1" x14ac:dyDescent="0.25">
      <c r="A3" s="10" t="s">
        <v>156</v>
      </c>
      <c r="B3" s="10"/>
      <c r="C3" s="10"/>
    </row>
    <row r="4" spans="1:5" ht="15" customHeight="1" x14ac:dyDescent="0.25">
      <c r="A4" s="18" t="s">
        <v>157</v>
      </c>
      <c r="B4" s="33" t="s">
        <v>38</v>
      </c>
    </row>
    <row r="5" spans="1:5" ht="15" customHeight="1" x14ac:dyDescent="0.25">
      <c r="A5" s="18" t="s">
        <v>158</v>
      </c>
      <c r="B5" s="33" t="s">
        <v>38</v>
      </c>
    </row>
    <row r="6" spans="1:5" ht="15" customHeight="1" x14ac:dyDescent="0.25">
      <c r="A6" s="18" t="s">
        <v>36</v>
      </c>
      <c r="B6" s="33" t="s">
        <v>38</v>
      </c>
    </row>
    <row r="7" spans="1:5" ht="15" customHeight="1" x14ac:dyDescent="0.25">
      <c r="A7" s="18" t="s">
        <v>159</v>
      </c>
      <c r="B7" s="34"/>
      <c r="C7" s="9" t="s">
        <v>160</v>
      </c>
      <c r="D7" s="9"/>
      <c r="E7" s="9"/>
    </row>
    <row r="8" spans="1:5" ht="15" customHeight="1" x14ac:dyDescent="0.25">
      <c r="A8" s="18" t="s">
        <v>161</v>
      </c>
      <c r="B8" s="34"/>
    </row>
    <row r="10" spans="1:5" ht="15" customHeight="1" x14ac:dyDescent="0.25">
      <c r="A10" s="27" t="s">
        <v>162</v>
      </c>
      <c r="B10" s="27" t="s">
        <v>136</v>
      </c>
      <c r="C10" s="27" t="s">
        <v>163</v>
      </c>
      <c r="E10" s="27" t="s">
        <v>164</v>
      </c>
    </row>
    <row r="11" spans="1:5" ht="27.75" customHeight="1" x14ac:dyDescent="0.25">
      <c r="A11" s="28" t="s">
        <v>165</v>
      </c>
      <c r="B11" s="35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</f>
        <v>1</v>
      </c>
      <c r="C11" s="36"/>
      <c r="E11" s="31" t="s">
        <v>166</v>
      </c>
    </row>
    <row r="12" spans="1:5" ht="27.75" customHeight="1" x14ac:dyDescent="0.25">
      <c r="A12" s="28" t="s">
        <v>167</v>
      </c>
      <c r="B12" s="35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O2:O1000="",0,Data_Clean!O2:O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O2:O1000&lt;&gt;"")),"")</f>
        <v>0</v>
      </c>
      <c r="C12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O2:O1000&lt;&gt;""))</f>
        <v>1</v>
      </c>
      <c r="E12" s="31" t="s">
        <v>168</v>
      </c>
    </row>
    <row r="13" spans="1:5" ht="27.75" customHeight="1" x14ac:dyDescent="0.25">
      <c r="A13" s="28" t="s">
        <v>169</v>
      </c>
      <c r="B13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O2:O1000="",0,--(Data_Clean!O2:O1000&gt;=Config!$B$5)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O2:O1000&lt;&gt;"")),"")</f>
        <v>0</v>
      </c>
      <c r="C13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O2:O1000&lt;&gt;""))</f>
        <v>1</v>
      </c>
      <c r="E13" s="31" t="s">
        <v>170</v>
      </c>
    </row>
    <row r="14" spans="1:5" ht="27.75" customHeight="1" x14ac:dyDescent="0.25">
      <c r="A14" s="28" t="s">
        <v>171</v>
      </c>
      <c r="B14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Q2:Q1000="",0,Data_Clean!Q2:Q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Q2:Q1000&lt;&gt;"")),"")</f>
        <v>1</v>
      </c>
      <c r="C14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Q2:Q1000&lt;&gt;""))</f>
        <v>1</v>
      </c>
      <c r="E14" s="31" t="s">
        <v>172</v>
      </c>
    </row>
    <row r="15" spans="1:5" ht="27.75" customHeight="1" x14ac:dyDescent="0.25">
      <c r="A15" s="28" t="s">
        <v>173</v>
      </c>
      <c r="B15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AB2:AB1000="",0,Data_Clean!AB2:AB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AB2:AB1000&lt;&gt;"")),"")</f>
        <v>0</v>
      </c>
      <c r="C15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AB2:AB1000&lt;&gt;""))</f>
        <v>1</v>
      </c>
      <c r="E15" s="31" t="s">
        <v>174</v>
      </c>
    </row>
    <row r="16" spans="1:5" ht="27.75" customHeight="1" x14ac:dyDescent="0.25">
      <c r="A16" s="28" t="s">
        <v>175</v>
      </c>
      <c r="B16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S2:S1000="",0,Data_Clean!S2:S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S2:S1000&lt;&gt;"")),"")</f>
        <v>0</v>
      </c>
      <c r="C16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S2:S1000&lt;&gt;""))</f>
        <v>1</v>
      </c>
      <c r="E16" s="31" t="s">
        <v>176</v>
      </c>
    </row>
    <row r="17" spans="1:5" ht="27.75" customHeight="1" x14ac:dyDescent="0.25">
      <c r="A17" s="28" t="s">
        <v>177</v>
      </c>
      <c r="B17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U2:U1000="",0,Data_Clean!U2:U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U2:U1000&lt;&gt;"")),"")</f>
        <v>0</v>
      </c>
      <c r="C17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U2:U1000&lt;&gt;""))</f>
        <v>1</v>
      </c>
      <c r="E17" s="31" t="s">
        <v>178</v>
      </c>
    </row>
    <row r="18" spans="1:5" ht="27.75" customHeight="1" x14ac:dyDescent="0.25">
      <c r="A18" s="28" t="s">
        <v>179</v>
      </c>
      <c r="B18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V2:V1000="",0,Data_Clean!V2:V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V2:V1000&lt;&gt;"")),"")</f>
        <v>0</v>
      </c>
      <c r="C18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V2:V1000&lt;&gt;""))</f>
        <v>1</v>
      </c>
      <c r="E18" s="31" t="s">
        <v>180</v>
      </c>
    </row>
    <row r="19" spans="1:5" ht="27.75" customHeight="1" x14ac:dyDescent="0.25">
      <c r="A19" s="28" t="s">
        <v>181</v>
      </c>
      <c r="B19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W2:W1000="",0,Data_Clean!W2:W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W2:W1000&lt;&gt;"")),"")</f>
        <v>0</v>
      </c>
      <c r="C19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W2:W1000&lt;&gt;""))</f>
        <v>1</v>
      </c>
      <c r="E19" s="31" t="s">
        <v>182</v>
      </c>
    </row>
    <row r="20" spans="1:5" ht="27.75" customHeight="1" x14ac:dyDescent="0.25">
      <c r="A20" s="28" t="s">
        <v>183</v>
      </c>
      <c r="B20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X2:X1000="",0,Data_Clean!X2:X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X2:X1000&lt;&gt;"")),"")</f>
        <v>0</v>
      </c>
      <c r="C20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X2:X1000&lt;&gt;""))</f>
        <v>1</v>
      </c>
      <c r="E20" s="31" t="s">
        <v>184</v>
      </c>
    </row>
    <row r="21" spans="1:5" ht="27.75" customHeight="1" x14ac:dyDescent="0.25">
      <c r="A21" s="28" t="s">
        <v>185</v>
      </c>
      <c r="B21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Y2:Y1000="",0,Data_Clean!Y2:Y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Y2:Y1000&lt;&gt;"")),"")</f>
        <v>0</v>
      </c>
      <c r="C21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Y2:Y1000&lt;&gt;""))</f>
        <v>1</v>
      </c>
      <c r="E21" s="31" t="s">
        <v>186</v>
      </c>
    </row>
    <row r="22" spans="1:5" ht="27.75" customHeight="1" x14ac:dyDescent="0.25">
      <c r="A22" s="28" t="s">
        <v>187</v>
      </c>
      <c r="B22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Z2:Z1000="",0,Data_Clean!Z2:Z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Z2:Z1000&lt;&gt;"")),"")</f>
        <v>0</v>
      </c>
      <c r="C22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Z2:Z1000&lt;&gt;""))</f>
        <v>1</v>
      </c>
      <c r="E22" s="31" t="s">
        <v>188</v>
      </c>
    </row>
    <row r="23" spans="1:5" ht="27.75" customHeight="1" x14ac:dyDescent="0.25">
      <c r="A23" s="28" t="s">
        <v>189</v>
      </c>
      <c r="B23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AA2:AA1000="",0,Data_Clean!AA2:AA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AA2:AA1000&lt;&gt;"")),"")</f>
        <v>0</v>
      </c>
      <c r="C23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AA2:AA1000&lt;&gt;""))</f>
        <v>1</v>
      </c>
      <c r="E23" s="31" t="s">
        <v>190</v>
      </c>
    </row>
    <row r="24" spans="1:5" ht="27.75" customHeight="1" x14ac:dyDescent="0.25">
      <c r="A24" s="28" t="s">
        <v>191</v>
      </c>
      <c r="B24" s="37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IF(Data_Clean!L2:L1000="",0,Data_Clean!L2:L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1</v>
      </c>
      <c r="C24" s="36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</f>
        <v>1</v>
      </c>
      <c r="E24" s="31" t="s">
        <v>192</v>
      </c>
    </row>
  </sheetData>
  <sheetProtection sheet="1" formatCells="0" formatColumns="0" formatRows="0"/>
  <mergeCells count="2">
    <mergeCell ref="A3:C3"/>
    <mergeCell ref="C7:E7"/>
  </mergeCells>
  <dataValidations count="3">
    <dataValidation type="list" sqref="B4">
      <formula1>"Tous,zone_1,zone_2,zone_3,zone_4"</formula1>
      <formula2>0</formula2>
    </dataValidation>
    <dataValidation type="list" sqref="B5">
      <formula1>"Tous,wash,sante,nutrition,shelter,drr"</formula1>
      <formula2>0</formula2>
    </dataValidation>
    <dataValidation type="list" sqref="B6">
      <formula1>"Tous,feminin,masculin"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showGridLines="0" zoomScaleNormal="100" workbookViewId="0">
      <selection activeCell="D24" sqref="D24"/>
    </sheetView>
  </sheetViews>
  <sheetFormatPr baseColWidth="10" defaultColWidth="8.7109375" defaultRowHeight="15" x14ac:dyDescent="0.25"/>
  <cols>
    <col min="1" max="1" width="22" style="12" customWidth="1"/>
    <col min="2" max="2" width="12" style="12" customWidth="1"/>
    <col min="3" max="3" width="14" style="12" customWidth="1"/>
    <col min="4" max="4" width="18" style="12" customWidth="1"/>
    <col min="5" max="5" width="20" style="12" customWidth="1"/>
  </cols>
  <sheetData>
    <row r="1" spans="1:5" ht="19.5" customHeight="1" x14ac:dyDescent="0.3">
      <c r="A1" s="25" t="s">
        <v>193</v>
      </c>
    </row>
    <row r="2" spans="1:5" ht="15" customHeight="1" x14ac:dyDescent="0.25">
      <c r="A2" s="26" t="s">
        <v>194</v>
      </c>
    </row>
    <row r="4" spans="1:5" ht="15" customHeight="1" x14ac:dyDescent="0.25">
      <c r="A4" s="10" t="s">
        <v>195</v>
      </c>
      <c r="B4" s="10"/>
      <c r="C4" s="10"/>
      <c r="D4" s="10"/>
      <c r="E4" s="10"/>
    </row>
    <row r="5" spans="1:5" ht="21.75" customHeight="1" x14ac:dyDescent="0.25">
      <c r="A5" s="38" t="s">
        <v>196</v>
      </c>
      <c r="B5" s="38" t="s">
        <v>197</v>
      </c>
      <c r="C5" s="38" t="s">
        <v>198</v>
      </c>
      <c r="D5" s="38" t="s">
        <v>199</v>
      </c>
      <c r="E5" s="38" t="s">
        <v>200</v>
      </c>
    </row>
    <row r="6" spans="1:5" ht="15" customHeight="1" x14ac:dyDescent="0.25">
      <c r="A6" s="39" t="s">
        <v>42</v>
      </c>
      <c r="B6" s="40">
        <f>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feminin"))</f>
        <v>0</v>
      </c>
      <c r="C6" s="30">
        <f>IFERROR(B6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),"")</f>
        <v>0</v>
      </c>
      <c r="D6" s="41" t="str">
        <f>IFERROR(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feminin")*IF(Data_Clean!O2:O1000="",0,Data_Clean!O2:O1000))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feminin")*(Data_Clean!O2:O1000&lt;&gt;"")),"")</f>
        <v/>
      </c>
      <c r="E6" s="30" t="str">
        <f>IFERROR(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feminin")*IF(Data_Clean!Q2:Q1000="",0,Data_Clean!Q2:Q1000))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feminin")*(Data_Clean!Q2:Q1000&lt;&gt;"")),"")</f>
        <v/>
      </c>
    </row>
    <row r="7" spans="1:5" ht="15" customHeight="1" x14ac:dyDescent="0.25">
      <c r="A7" s="39" t="s">
        <v>46</v>
      </c>
      <c r="B7" s="40">
        <f>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masculin"))</f>
        <v>0</v>
      </c>
      <c r="C7" s="30">
        <f>IFERROR(B7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),"")</f>
        <v>0</v>
      </c>
      <c r="D7" s="41" t="str">
        <f>IFERROR(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masculin")*IF(Data_Clean!O2:O1000="",0,Data_Clean!O2:O1000))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masculin")*(Data_Clean!O2:O1000&lt;&gt;"")),"")</f>
        <v/>
      </c>
      <c r="E7" s="30" t="str">
        <f>IFERROR(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masculin")*IF(Data_Clean!Q2:Q1000="",0,Data_Clean!Q2:Q1000))/SUMPRODUCT(((Indicateurs!$B$4="Tous")+(Data_Clean!C2:C1000=Indicateurs!$B$4)&gt;0)*((Indicateurs!$B$5="Tous")+(Data_Clean!D2:D1000=Indicateurs!$B$5)&gt;0)*((Indicateurs!$B$7="")+(Data_Clean!B2:B1000&gt;=Indicateurs!$B$7)&gt;0)*((Indicateurs!$B$8="")+(Data_Clean!B2:B1000&lt;=Indicateurs!$B$8)&gt;0)*(Data_Clean!AG2:AG1000=1)*(Data_Clean!G2:G1000="masculin")*(Data_Clean!Q2:Q1000&lt;&gt;"")),"")</f>
        <v/>
      </c>
    </row>
    <row r="9" spans="1:5" ht="15" customHeight="1" x14ac:dyDescent="0.25">
      <c r="A9" s="10" t="s">
        <v>201</v>
      </c>
      <c r="B9" s="10"/>
      <c r="C9" s="10"/>
      <c r="D9" s="10"/>
      <c r="E9" s="10"/>
    </row>
    <row r="10" spans="1:5" ht="21.75" customHeight="1" x14ac:dyDescent="0.25">
      <c r="A10" s="38" t="s">
        <v>196</v>
      </c>
      <c r="B10" s="38" t="s">
        <v>197</v>
      </c>
      <c r="C10" s="38" t="s">
        <v>198</v>
      </c>
      <c r="D10" s="38" t="s">
        <v>199</v>
      </c>
      <c r="E10" s="38" t="s">
        <v>200</v>
      </c>
    </row>
    <row r="11" spans="1:5" ht="15" customHeight="1" x14ac:dyDescent="0.25">
      <c r="A11" s="39" t="s">
        <v>202</v>
      </c>
      <c r="B11" s="40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&lt;18 ans"))</f>
        <v>0</v>
      </c>
      <c r="C11" s="30">
        <f>IFERROR(B11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11" s="41" t="str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&lt;18 ans")*IF(Data_Clean!O2:O1000="",0,Data_Clean!O2:O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&lt;18 ans")*(Data_Clean!O2:O1000&lt;&gt;"")),"")</f>
        <v/>
      </c>
      <c r="E11" s="30" t="str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&lt;18 ans")*IF(Data_Clean!Q2:Q1000="",0,Data_Clean!Q2:Q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&lt;18 ans")*(Data_Clean!Q2:Q1000&lt;&gt;"")),"")</f>
        <v/>
      </c>
    </row>
    <row r="12" spans="1:5" ht="15" customHeight="1" x14ac:dyDescent="0.25">
      <c r="A12" s="39" t="s">
        <v>203</v>
      </c>
      <c r="B12" s="40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18-59 ans"))</f>
        <v>0</v>
      </c>
      <c r="C12" s="30">
        <f>IFERROR(B12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12" s="41" t="str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18-59 ans")*IF(Data_Clean!O2:O1000="",0,Data_Clean!O2:O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18-59 ans")*(Data_Clean!O2:O1000&lt;&gt;"")),"")</f>
        <v/>
      </c>
      <c r="E12" s="30" t="str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18-59 ans")*IF(Data_Clean!Q2:Q1000="",0,Data_Clean!Q2:Q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18-59 ans")*(Data_Clean!Q2:Q1000&lt;&gt;"")),"")</f>
        <v/>
      </c>
    </row>
    <row r="13" spans="1:5" ht="15" customHeight="1" x14ac:dyDescent="0.25">
      <c r="A13" s="39" t="s">
        <v>204</v>
      </c>
      <c r="B13" s="40">
        <f>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60 ans et +"))</f>
        <v>1</v>
      </c>
      <c r="C13" s="30">
        <f>IFERROR(B13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1</v>
      </c>
      <c r="D13" s="41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60 ans et +")*IF(Data_Clean!O2:O1000="",0,Data_Clean!O2:O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60 ans et +")*(Data_Clean!O2:O1000&lt;&gt;"")),"")</f>
        <v>0</v>
      </c>
      <c r="E13" s="30">
        <f>IFERROR(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60 ans et +")*IF(Data_Clean!Q2:Q1000="",0,Data_Clean!Q2:Q1000))/SUMPRODUCT(((Indicateurs!$B$4="Tous")+(Data_Clean!C2:C1000=Indicateurs!$B$4)&gt;0)*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I2:I1000="60 ans et +")*(Data_Clean!Q2:Q1000&lt;&gt;"")),"")</f>
        <v>1</v>
      </c>
    </row>
    <row r="15" spans="1:5" ht="15" customHeight="1" x14ac:dyDescent="0.25">
      <c r="A15" s="10" t="s">
        <v>205</v>
      </c>
      <c r="B15" s="10"/>
      <c r="C15" s="10"/>
      <c r="D15" s="10"/>
      <c r="E15" s="10"/>
    </row>
    <row r="16" spans="1:5" ht="21.75" customHeight="1" x14ac:dyDescent="0.25">
      <c r="A16" s="38" t="s">
        <v>196</v>
      </c>
      <c r="B16" s="38" t="s">
        <v>197</v>
      </c>
      <c r="C16" s="38" t="s">
        <v>198</v>
      </c>
      <c r="D16" s="38" t="s">
        <v>199</v>
      </c>
      <c r="E16" s="38" t="s">
        <v>200</v>
      </c>
    </row>
    <row r="17" spans="1:5" ht="15" customHeight="1" x14ac:dyDescent="0.25">
      <c r="A17" s="39" t="s">
        <v>40</v>
      </c>
      <c r="B17" s="40">
        <f>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1"))</f>
        <v>0</v>
      </c>
      <c r="C17" s="30">
        <f>IFERROR(B17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17" s="41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1")*IF(Data_Clean!O2:O1000="",0,Data_Clean!O2:O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1")*(Data_Clean!O2:O1000&lt;&gt;"")),"")</f>
        <v/>
      </c>
      <c r="E17" s="30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1")*IF(Data_Clean!Q2:Q1000="",0,Data_Clean!Q2:Q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1")*(Data_Clean!Q2:Q1000&lt;&gt;"")),"")</f>
        <v/>
      </c>
    </row>
    <row r="18" spans="1:5" ht="15" customHeight="1" x14ac:dyDescent="0.25">
      <c r="A18" s="39" t="s">
        <v>44</v>
      </c>
      <c r="B18" s="40">
        <f>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2"))</f>
        <v>0</v>
      </c>
      <c r="C18" s="30">
        <f>IFERROR(B18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18" s="41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2")*IF(Data_Clean!O2:O1000="",0,Data_Clean!O2:O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2")*(Data_Clean!O2:O1000&lt;&gt;"")),"")</f>
        <v/>
      </c>
      <c r="E18" s="30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2")*IF(Data_Clean!Q2:Q1000="",0,Data_Clean!Q2:Q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2")*(Data_Clean!Q2:Q1000&lt;&gt;"")),"")</f>
        <v/>
      </c>
    </row>
    <row r="19" spans="1:5" ht="15" customHeight="1" x14ac:dyDescent="0.25">
      <c r="A19" s="39" t="s">
        <v>47</v>
      </c>
      <c r="B19" s="40">
        <f>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3"))</f>
        <v>0</v>
      </c>
      <c r="C19" s="30">
        <f>IFERROR(B19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19" s="41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3")*IF(Data_Clean!O2:O1000="",0,Data_Clean!O2:O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3")*(Data_Clean!O2:O1000&lt;&gt;"")),"")</f>
        <v/>
      </c>
      <c r="E19" s="30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3")*IF(Data_Clean!Q2:Q1000="",0,Data_Clean!Q2:Q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3")*(Data_Clean!Q2:Q1000&lt;&gt;"")),"")</f>
        <v/>
      </c>
    </row>
    <row r="20" spans="1:5" ht="15" customHeight="1" x14ac:dyDescent="0.25">
      <c r="A20" s="39" t="s">
        <v>49</v>
      </c>
      <c r="B20" s="40">
        <f>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4"))</f>
        <v>0</v>
      </c>
      <c r="C20" s="30">
        <f>IFERROR(B20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0" s="41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4")*IF(Data_Clean!O2:O1000="",0,Data_Clean!O2:O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4")*(Data_Clean!O2:O1000&lt;&gt;"")),"")</f>
        <v/>
      </c>
      <c r="E20" s="30" t="str">
        <f>IFERROR(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4")*IF(Data_Clean!Q2:Q1000="",0,Data_Clean!Q2:Q1000))/SUMPRODUCT(((Indicateurs!$B$5="Tous")+(Data_Clean!D2:D1000=Indicateurs!$B$5)&gt;0)*((Indicateurs!$B$6="Tous")+(Data_Clean!G2:G1000=Indicateurs!$B$6)&gt;0)*((Indicateurs!$B$7="")+(Data_Clean!B2:B1000&gt;=Indicateurs!$B$7)&gt;0)*((Indicateurs!$B$8="")+(Data_Clean!B2:B1000&lt;=Indicateurs!$B$8)&gt;0)*(Data_Clean!AG2:AG1000=1)*(Data_Clean!C2:C1000="zone_4")*(Data_Clean!Q2:Q1000&lt;&gt;"")),"")</f>
        <v/>
      </c>
    </row>
    <row r="22" spans="1:5" ht="15" customHeight="1" x14ac:dyDescent="0.25">
      <c r="A22" s="10" t="s">
        <v>206</v>
      </c>
      <c r="B22" s="10"/>
      <c r="C22" s="10"/>
      <c r="D22" s="10"/>
      <c r="E22" s="10"/>
    </row>
    <row r="23" spans="1:5" ht="21.75" customHeight="1" x14ac:dyDescent="0.25">
      <c r="A23" s="38" t="s">
        <v>196</v>
      </c>
      <c r="B23" s="38" t="s">
        <v>197</v>
      </c>
      <c r="C23" s="38" t="s">
        <v>198</v>
      </c>
      <c r="D23" s="38" t="s">
        <v>199</v>
      </c>
      <c r="E23" s="38" t="s">
        <v>200</v>
      </c>
    </row>
    <row r="24" spans="1:5" ht="15" customHeight="1" x14ac:dyDescent="0.25">
      <c r="A24" s="39" t="s">
        <v>41</v>
      </c>
      <c r="B24" s="40">
        <f>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wash"))</f>
        <v>0</v>
      </c>
      <c r="C24" s="30">
        <f>IFERROR(B24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4" s="41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wash")*IF(Data_Clean!O2:O1000="",0,Data_Clean!O2:O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wash")*(Data_Clean!O2:O1000&lt;&gt;"")),"")</f>
        <v/>
      </c>
      <c r="E24" s="30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wash")*IF(Data_Clean!Q2:Q1000="",0,Data_Clean!Q2:Q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wash")*(Data_Clean!Q2:Q1000&lt;&gt;"")),"")</f>
        <v/>
      </c>
    </row>
    <row r="25" spans="1:5" ht="15" customHeight="1" x14ac:dyDescent="0.25">
      <c r="A25" s="39" t="s">
        <v>45</v>
      </c>
      <c r="B25" s="40">
        <f>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ante"))</f>
        <v>0</v>
      </c>
      <c r="C25" s="30">
        <f>IFERROR(B25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5" s="41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ante")*IF(Data_Clean!O2:O1000="",0,Data_Clean!O2:O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ante")*(Data_Clean!O2:O1000&lt;&gt;"")),"")</f>
        <v/>
      </c>
      <c r="E25" s="30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ante")*IF(Data_Clean!Q2:Q1000="",0,Data_Clean!Q2:Q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ante")*(Data_Clean!Q2:Q1000&lt;&gt;"")),"")</f>
        <v/>
      </c>
    </row>
    <row r="26" spans="1:5" ht="15" customHeight="1" x14ac:dyDescent="0.25">
      <c r="A26" s="39" t="s">
        <v>48</v>
      </c>
      <c r="B26" s="40">
        <f>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nutrition"))</f>
        <v>0</v>
      </c>
      <c r="C26" s="30">
        <f>IFERROR(B26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6" s="41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nutrition")*IF(Data_Clean!O2:O1000="",0,Data_Clean!O2:O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nutrition")*(Data_Clean!O2:O1000&lt;&gt;"")),"")</f>
        <v/>
      </c>
      <c r="E26" s="30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nutrition")*IF(Data_Clean!Q2:Q1000="",0,Data_Clean!Q2:Q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nutrition")*(Data_Clean!Q2:Q1000&lt;&gt;"")),"")</f>
        <v/>
      </c>
    </row>
    <row r="27" spans="1:5" ht="15" customHeight="1" x14ac:dyDescent="0.25">
      <c r="A27" s="39" t="s">
        <v>50</v>
      </c>
      <c r="B27" s="40">
        <f>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helter"))</f>
        <v>0</v>
      </c>
      <c r="C27" s="30">
        <f>IFERROR(B27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7" s="41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helter")*IF(Data_Clean!O2:O1000="",0,Data_Clean!O2:O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helter")*(Data_Clean!O2:O1000&lt;&gt;"")),"")</f>
        <v/>
      </c>
      <c r="E27" s="30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helter")*IF(Data_Clean!Q2:Q1000="",0,Data_Clean!Q2:Q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shelter")*(Data_Clean!Q2:Q1000&lt;&gt;"")),"")</f>
        <v/>
      </c>
    </row>
    <row r="28" spans="1:5" ht="15" customHeight="1" x14ac:dyDescent="0.25">
      <c r="A28" s="39" t="s">
        <v>51</v>
      </c>
      <c r="B28" s="40">
        <f>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drr"))</f>
        <v>0</v>
      </c>
      <c r="C28" s="30">
        <f>IFERROR(B28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),"")</f>
        <v>0</v>
      </c>
      <c r="D28" s="41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drr")*IF(Data_Clean!O2:O1000="",0,Data_Clean!O2:O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drr")*(Data_Clean!O2:O1000&lt;&gt;"")),"")</f>
        <v/>
      </c>
      <c r="E28" s="30" t="str">
        <f>IFERROR(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drr")*IF(Data_Clean!Q2:Q1000="",0,Data_Clean!Q2:Q1000))/SUMPRODUCT(((Indicateurs!$B$4="Tous")+(Data_Clean!C2:C1000=Indicateurs!$B$4)&gt;0)*((Indicateurs!$B$6="Tous")+(Data_Clean!G2:G1000=Indicateurs!$B$6)&gt;0)*((Indicateurs!$B$7="")+(Data_Clean!B2:B1000&gt;=Indicateurs!$B$7)&gt;0)*((Indicateurs!$B$8="")+(Data_Clean!B2:B1000&lt;=Indicateurs!$B$8)&gt;0)*(Data_Clean!AG2:AG1000=1)*(Data_Clean!D2:D1000="drr")*(Data_Clean!Q2:Q1000&lt;&gt;"")),"")</f>
        <v/>
      </c>
    </row>
  </sheetData>
  <sheetProtection sheet="1" formatCells="0" formatColumns="0" formatRows="0"/>
  <mergeCells count="4">
    <mergeCell ref="A4:E4"/>
    <mergeCell ref="A9:E9"/>
    <mergeCell ref="A15:E15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2:L19"/>
  <sheetViews>
    <sheetView showGridLines="0" topLeftCell="A8" zoomScaleNormal="100" workbookViewId="0">
      <selection activeCell="O27" sqref="O27"/>
    </sheetView>
  </sheetViews>
  <sheetFormatPr baseColWidth="10" defaultColWidth="8.7109375" defaultRowHeight="15" x14ac:dyDescent="0.25"/>
  <cols>
    <col min="1" max="1" width="3" style="12" customWidth="1"/>
    <col min="2" max="5" width="16" style="12" customWidth="1"/>
    <col min="6" max="6" width="3" style="12" customWidth="1"/>
    <col min="7" max="10" width="16" style="12" customWidth="1"/>
    <col min="11" max="12" width="3" style="12" customWidth="1"/>
  </cols>
  <sheetData>
    <row r="2" spans="2:11" ht="24" customHeight="1" x14ac:dyDescent="0.4">
      <c r="B2" s="42" t="s">
        <v>207</v>
      </c>
      <c r="H2" s="8" t="s">
        <v>208</v>
      </c>
      <c r="I2" s="8"/>
      <c r="J2" s="8"/>
      <c r="K2" s="8"/>
    </row>
    <row r="3" spans="2:11" ht="15" customHeight="1" x14ac:dyDescent="0.25">
      <c r="B3" s="14" t="s">
        <v>209</v>
      </c>
      <c r="H3" s="7" t="str">
        <f>Config!$B$3&amp;" | Zone: "&amp;Indicateurs!$B$4&amp;" | Secteur: "&amp;Indicateurs!$B$5&amp;" | Sexe: "&amp;Indicateurs!$B$6</f>
        <v>FR | Zone: Tous | Secteur: Tous | Sexe: Tous</v>
      </c>
      <c r="I3" s="7"/>
      <c r="J3" s="7"/>
      <c r="K3" s="7"/>
    </row>
    <row r="5" spans="2:11" ht="27.75" customHeight="1" x14ac:dyDescent="0.25">
      <c r="B5" s="6" t="s">
        <v>210</v>
      </c>
      <c r="C5" s="6"/>
      <c r="D5" s="6"/>
      <c r="G5" s="5" t="s">
        <v>211</v>
      </c>
      <c r="H5" s="5"/>
      <c r="I5" s="5"/>
    </row>
    <row r="6" spans="2:11" ht="30" customHeight="1" x14ac:dyDescent="0.25">
      <c r="B6" s="4">
        <f>Indicateurs!B11</f>
        <v>1</v>
      </c>
      <c r="C6" s="4"/>
      <c r="D6" s="4"/>
      <c r="G6" s="3">
        <f>Indicateurs!B12</f>
        <v>0</v>
      </c>
      <c r="H6" s="3"/>
      <c r="I6" s="3"/>
    </row>
    <row r="7" spans="2:11" ht="6" customHeight="1" x14ac:dyDescent="0.25">
      <c r="B7" s="4"/>
      <c r="C7" s="4"/>
      <c r="D7" s="4"/>
      <c r="G7" s="3"/>
      <c r="H7" s="3"/>
      <c r="I7" s="3"/>
    </row>
    <row r="9" spans="2:11" ht="27.75" customHeight="1" x14ac:dyDescent="0.25">
      <c r="B9" s="6" t="s">
        <v>212</v>
      </c>
      <c r="C9" s="6"/>
      <c r="D9" s="6"/>
      <c r="G9" s="6" t="s">
        <v>213</v>
      </c>
      <c r="H9" s="6"/>
      <c r="I9" s="6"/>
    </row>
    <row r="10" spans="2:11" ht="30" customHeight="1" x14ac:dyDescent="0.25">
      <c r="B10" s="2">
        <f>Indicateurs!B13</f>
        <v>0</v>
      </c>
      <c r="C10" s="2"/>
      <c r="D10" s="2"/>
      <c r="G10" s="2">
        <f>Indicateurs!B14</f>
        <v>1</v>
      </c>
      <c r="H10" s="2"/>
      <c r="I10" s="2"/>
    </row>
    <row r="11" spans="2:11" ht="6" customHeight="1" x14ac:dyDescent="0.25">
      <c r="B11" s="2"/>
      <c r="C11" s="2"/>
      <c r="D11" s="2"/>
      <c r="G11" s="2"/>
      <c r="H11" s="2"/>
      <c r="I11" s="2"/>
    </row>
    <row r="13" spans="2:11" ht="27.75" customHeight="1" x14ac:dyDescent="0.25">
      <c r="B13" s="6" t="s">
        <v>214</v>
      </c>
      <c r="C13" s="6"/>
      <c r="D13" s="6"/>
      <c r="G13" s="6" t="s">
        <v>215</v>
      </c>
      <c r="H13" s="6"/>
      <c r="I13" s="6"/>
    </row>
    <row r="14" spans="2:11" ht="30" customHeight="1" x14ac:dyDescent="0.25">
      <c r="B14" s="2">
        <f>Indicateurs!B16</f>
        <v>0</v>
      </c>
      <c r="C14" s="2"/>
      <c r="D14" s="2"/>
      <c r="G14" s="2">
        <f>Indicateurs!B18</f>
        <v>0</v>
      </c>
      <c r="H14" s="2"/>
      <c r="I14" s="2"/>
    </row>
    <row r="15" spans="2:11" ht="6" customHeight="1" x14ac:dyDescent="0.25">
      <c r="B15" s="2"/>
      <c r="C15" s="2"/>
      <c r="D15" s="2"/>
      <c r="G15" s="2"/>
      <c r="H15" s="2"/>
      <c r="I15" s="2"/>
    </row>
    <row r="17" spans="2:9" ht="27.75" customHeight="1" x14ac:dyDescent="0.25">
      <c r="B17" s="6" t="s">
        <v>216</v>
      </c>
      <c r="C17" s="6"/>
      <c r="D17" s="6"/>
      <c r="G17" s="6" t="s">
        <v>217</v>
      </c>
      <c r="H17" s="6"/>
      <c r="I17" s="6"/>
    </row>
    <row r="18" spans="2:9" ht="30" customHeight="1" x14ac:dyDescent="0.25">
      <c r="B18" s="2">
        <f>Indicateurs!B21</f>
        <v>0</v>
      </c>
      <c r="C18" s="2"/>
      <c r="D18" s="2"/>
      <c r="G18" s="2">
        <f>Indicateurs!B22</f>
        <v>0</v>
      </c>
      <c r="H18" s="2"/>
      <c r="I18" s="2"/>
    </row>
    <row r="19" spans="2:9" ht="6" customHeight="1" x14ac:dyDescent="0.25">
      <c r="B19" s="2"/>
      <c r="C19" s="2"/>
      <c r="D19" s="2"/>
      <c r="G19" s="2"/>
      <c r="H19" s="2"/>
      <c r="I19" s="2"/>
    </row>
  </sheetData>
  <mergeCells count="18">
    <mergeCell ref="B14:D15"/>
    <mergeCell ref="G14:I15"/>
    <mergeCell ref="B17:D17"/>
    <mergeCell ref="G17:I17"/>
    <mergeCell ref="B18:D19"/>
    <mergeCell ref="G18:I19"/>
    <mergeCell ref="B9:D9"/>
    <mergeCell ref="G9:I9"/>
    <mergeCell ref="B10:D11"/>
    <mergeCell ref="G10:I11"/>
    <mergeCell ref="B13:D13"/>
    <mergeCell ref="G13:I13"/>
    <mergeCell ref="H2:K2"/>
    <mergeCell ref="H3:K3"/>
    <mergeCell ref="B5:D5"/>
    <mergeCell ref="G5:I5"/>
    <mergeCell ref="B6:D7"/>
    <mergeCell ref="G6:I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75623"/>
  </sheetPr>
  <dimension ref="A1:C34"/>
  <sheetViews>
    <sheetView showGridLines="0" topLeftCell="A52" zoomScaleNormal="100" workbookViewId="0">
      <selection activeCell="B3" sqref="B3"/>
    </sheetView>
  </sheetViews>
  <sheetFormatPr baseColWidth="10" defaultColWidth="8.7109375" defaultRowHeight="15" x14ac:dyDescent="0.25"/>
  <cols>
    <col min="1" max="1" width="3" style="12" customWidth="1"/>
    <col min="2" max="2" width="100" style="12" customWidth="1"/>
    <col min="3" max="3" width="14" style="12" customWidth="1"/>
  </cols>
  <sheetData>
    <row r="1" spans="2:3" ht="21.75" customHeight="1" x14ac:dyDescent="0.35">
      <c r="B1" s="13" t="s">
        <v>218</v>
      </c>
    </row>
    <row r="2" spans="2:3" ht="15" customHeight="1" x14ac:dyDescent="0.25">
      <c r="B2" s="26" t="e">
        <f ca="1">"Genere automatiquement le "&amp;TEXT(TODAY(),"DD/MM/YYYY")&amp;" — Filtres: Zone="&amp;Indicateurs!$B$4&amp;", Secteur="&amp;Indicateurs!$B$5&amp;", Sexe="&amp;Indicateurs!$B$6</f>
        <v>#VALUE!</v>
      </c>
    </row>
    <row r="4" spans="2:3" ht="15.75" customHeight="1" x14ac:dyDescent="0.25">
      <c r="B4" s="43" t="s">
        <v>219</v>
      </c>
    </row>
    <row r="5" spans="2:3" ht="109.5" customHeight="1" x14ac:dyDescent="0.25">
      <c r="B5" s="44" t="str">
        <f>"Sur la base de "&amp;Indicateurs!$B$11&amp;" enquetes valides collectees, le score de satisfaction moyen des beneficiaires est de "&amp;TEXT(Indicateurs!$B$12,"0.0")&amp;"/5, avec un taux de satisfaction de "&amp;TEXT(Indicateurs!$B$13,"0%")&amp;" (seuil &gt;= "&amp;Config!$B$5&amp;"/5). "&amp;TEXT(Indicateurs!$B$14,"0%")&amp;" des menages utilisent le bien ou service distribue comme prevu, et "&amp;TEXT(Indicateurs!$B$15,"0%")&amp;" jugent l'assistance adaptee a leurs besoins. Concernant la redevabilite, "&amp;TEXT(Indicateurs!$B$16,"0%")&amp;" des repondants connaissent le mecanisme de feedback/plainte et "&amp;TEXT(Indicateurs!$B$17,"0%")&amp;" l'ont deja utilise. Sur les aspects de protection et d'inclusion, "&amp;TEXT(Indicateurs!$B$18,"0%")&amp;" jugent l'acces a l'assistance equitable, "&amp;TEXT(Indicateurs!$B$21,"0%")&amp;" estiment avoir ete traites avec dignite, et "&amp;TEXT(Indicateurs!$B$24,"0%")&amp;" de l'echantillon appartient a un menage vulnerable."</f>
        <v>Sur la base de 1 enquetes valides collectees, le score de satisfaction moyen des beneficiaires est de 0.0/5, avec un taux de satisfaction de 0% (seuil &gt;= 4/5). 100% des menages utilisent le bien ou service distribue comme prevu, et 0% jugent l'assistance adaptee a leurs besoins. Concernant la redevabilite, 0% des repondants connaissent le mecanisme de feedback/plainte et 0% l'ont deja utilise. Sur les aspects de protection et d'inclusion, 0% jugent l'acces a l'assistance equitable, 0% estiment avoir ete traites avec dignite, et 100% de l'echantillon appartient a un menage vulnerable.</v>
      </c>
    </row>
    <row r="7" spans="2:3" ht="15.75" customHeight="1" x14ac:dyDescent="0.25">
      <c r="B7" s="43" t="s">
        <v>220</v>
      </c>
    </row>
    <row r="8" spans="2:3" ht="15" customHeight="1" x14ac:dyDescent="0.25">
      <c r="B8" s="45" t="s">
        <v>162</v>
      </c>
      <c r="C8" s="45" t="s">
        <v>136</v>
      </c>
    </row>
    <row r="9" spans="2:3" ht="15" customHeight="1" x14ac:dyDescent="0.25">
      <c r="B9" s="39" t="s">
        <v>221</v>
      </c>
      <c r="C9" s="46">
        <f>Indicateurs!B11</f>
        <v>1</v>
      </c>
    </row>
    <row r="10" spans="2:3" ht="15" customHeight="1" x14ac:dyDescent="0.25">
      <c r="B10" s="39" t="s">
        <v>167</v>
      </c>
      <c r="C10" s="46">
        <f>Indicateurs!B12</f>
        <v>0</v>
      </c>
    </row>
    <row r="11" spans="2:3" ht="15" customHeight="1" x14ac:dyDescent="0.25">
      <c r="B11" s="39" t="s">
        <v>222</v>
      </c>
      <c r="C11" s="47">
        <f>Indicateurs!B13</f>
        <v>0</v>
      </c>
    </row>
    <row r="12" spans="2:3" ht="15" customHeight="1" x14ac:dyDescent="0.25">
      <c r="B12" s="39" t="s">
        <v>223</v>
      </c>
      <c r="C12" s="47">
        <f>Indicateurs!B14</f>
        <v>1</v>
      </c>
    </row>
    <row r="13" spans="2:3" ht="15" customHeight="1" x14ac:dyDescent="0.25">
      <c r="B13" s="39" t="s">
        <v>173</v>
      </c>
      <c r="C13" s="47">
        <f>Indicateurs!B15</f>
        <v>0</v>
      </c>
    </row>
    <row r="14" spans="2:3" ht="15" customHeight="1" x14ac:dyDescent="0.25">
      <c r="B14" s="39" t="s">
        <v>224</v>
      </c>
      <c r="C14" s="47">
        <f>Indicateurs!B16</f>
        <v>0</v>
      </c>
    </row>
    <row r="15" spans="2:3" ht="15" customHeight="1" x14ac:dyDescent="0.25">
      <c r="B15" s="39" t="s">
        <v>225</v>
      </c>
      <c r="C15" s="47">
        <f>Indicateurs!B17</f>
        <v>0</v>
      </c>
    </row>
    <row r="16" spans="2:3" ht="15" customHeight="1" x14ac:dyDescent="0.25">
      <c r="B16" s="39" t="s">
        <v>179</v>
      </c>
      <c r="C16" s="47">
        <f>Indicateurs!B18</f>
        <v>0</v>
      </c>
    </row>
    <row r="17" spans="2:3" ht="15" customHeight="1" x14ac:dyDescent="0.25">
      <c r="B17" s="39" t="s">
        <v>181</v>
      </c>
      <c r="C17" s="47">
        <f>Indicateurs!B19</f>
        <v>0</v>
      </c>
    </row>
    <row r="18" spans="2:3" ht="15" customHeight="1" x14ac:dyDescent="0.25">
      <c r="B18" s="39" t="s">
        <v>226</v>
      </c>
      <c r="C18" s="47">
        <f>Indicateurs!B20</f>
        <v>0</v>
      </c>
    </row>
    <row r="19" spans="2:3" ht="15" customHeight="1" x14ac:dyDescent="0.25">
      <c r="B19" s="39" t="s">
        <v>185</v>
      </c>
      <c r="C19" s="47">
        <f>Indicateurs!B21</f>
        <v>0</v>
      </c>
    </row>
    <row r="20" spans="2:3" ht="15" customHeight="1" x14ac:dyDescent="0.25">
      <c r="B20" s="39" t="s">
        <v>227</v>
      </c>
      <c r="C20" s="47">
        <f>Indicateurs!B22</f>
        <v>0</v>
      </c>
    </row>
    <row r="21" spans="2:3" ht="15" customHeight="1" x14ac:dyDescent="0.25">
      <c r="B21" s="39" t="s">
        <v>189</v>
      </c>
      <c r="C21" s="47">
        <f>Indicateurs!B23</f>
        <v>0</v>
      </c>
    </row>
    <row r="22" spans="2:3" ht="15" customHeight="1" x14ac:dyDescent="0.25">
      <c r="B22" s="39" t="s">
        <v>228</v>
      </c>
      <c r="C22" s="47">
        <f>Indicateurs!B24</f>
        <v>1</v>
      </c>
    </row>
    <row r="24" spans="2:3" ht="15.75" customHeight="1" x14ac:dyDescent="0.25">
      <c r="B24" s="43" t="s">
        <v>229</v>
      </c>
    </row>
    <row r="25" spans="2:3" ht="30" customHeight="1" x14ac:dyDescent="0.25">
      <c r="B25" s="48" t="str">
        <f>"Score de qualite globale des donnees: "&amp;TEXT(QC_Qualite!B11,"0%")&amp;" ("&amp;QC_Qualite!B6&amp;" doublons, "&amp;QC_Qualite!B7&amp;" lignes avec champs manquants sur "&amp;QC_Qualite!B5&amp;" enquetes importees)."</f>
        <v>Score de qualite globale des donnees: 80% (0 doublons, 0 lignes avec champs manquants sur 1 enquetes importees).</v>
      </c>
    </row>
    <row r="27" spans="2:3" ht="15.75" customHeight="1" x14ac:dyDescent="0.25">
      <c r="B27" s="43" t="s">
        <v>230</v>
      </c>
    </row>
    <row r="28" spans="2:3" ht="15" customHeight="1" x14ac:dyDescent="0.25">
      <c r="B28" s="49" t="s">
        <v>231</v>
      </c>
    </row>
    <row r="29" spans="2:3" ht="21.75" customHeight="1" x14ac:dyDescent="0.25">
      <c r="B29" s="50"/>
    </row>
    <row r="30" spans="2:3" ht="21.75" customHeight="1" x14ac:dyDescent="0.25">
      <c r="B30" s="50"/>
    </row>
    <row r="31" spans="2:3" ht="21.75" customHeight="1" x14ac:dyDescent="0.25">
      <c r="B31" s="50"/>
    </row>
    <row r="32" spans="2:3" ht="21.75" customHeight="1" x14ac:dyDescent="0.25">
      <c r="B32" s="50"/>
    </row>
    <row r="34" spans="2:3" ht="24" customHeight="1" x14ac:dyDescent="0.25">
      <c r="B34" s="1" t="s">
        <v>232</v>
      </c>
      <c r="C34" s="1"/>
    </row>
  </sheetData>
  <mergeCells count="1">
    <mergeCell ref="B34:C34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D961C-281F-42A7-84F7-CBC44E9CFA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9</vt:i4>
      </vt:variant>
      <vt:variant>
        <vt:lpstr>Plages nommées</vt:lpstr>
      </vt:variant>
      <vt:variant>
        <vt:i4>1</vt:i4>
      </vt:variant>
    </vt:vector>
  </HeadingPairs>
  <TitlesOfParts>
    <vt:vector size="10" baseType="lpstr">
      <vt:lpstr>Guide</vt:lpstr>
      <vt:lpstr>Config</vt:lpstr>
      <vt:lpstr>Raw_Data</vt:lpstr>
      <vt:lpstr>Data_Clean</vt:lpstr>
      <vt:lpstr>QC_Qualite</vt:lpstr>
      <vt:lpstr>Indicateurs</vt:lpstr>
      <vt:lpstr>Desagregation</vt:lpstr>
      <vt:lpstr>Dashboard</vt:lpstr>
      <vt:lpstr>Rapport</vt:lpstr>
      <vt:lpstr>Rapport!Zone_d_impression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Parrain</cp:lastModifiedBy>
  <cp:revision>3</cp:revision>
  <dcterms:created xsi:type="dcterms:W3CDTF">2026-08-17T05:54:19Z</dcterms:created>
  <dcterms:modified xsi:type="dcterms:W3CDTF">2026-08-20T09:55:43Z</dcterms:modified>
  <dc:language>en-US</dc:language>
</cp:coreProperties>
</file>